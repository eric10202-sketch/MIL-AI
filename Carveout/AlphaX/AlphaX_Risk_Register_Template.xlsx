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https://bosch-my.sharepoint.com/personal/kho1sgp_bosch_com/Documents/My Work Documents/Carveout/AlphaX/"/>
    </mc:Choice>
  </mc:AlternateContent>
  <xr:revisionPtr revIDLastSave="1" documentId="11_A3306FF242F35B117A08DF4E35E60FD74E41E768" xr6:coauthVersionLast="47" xr6:coauthVersionMax="47" xr10:uidLastSave="{5C0F5107-C8F8-4690-AFAB-3F5E5AE925EC}"/>
  <bookViews>
    <workbookView xWindow="-108" yWindow="-108" windowWidth="23256" windowHeight="13896" tabRatio="505" xr2:uid="{00000000-000D-0000-FFFF-FFFF00000000}"/>
  </bookViews>
  <sheets>
    <sheet name="Cover sheet" sheetId="1" r:id="rId1"/>
    <sheet name="Analysis of project risks" sheetId="2" r:id="rId2"/>
    <sheet name="Explanation_History" sheetId="3" r:id="rId3"/>
  </sheets>
  <externalReferences>
    <externalReference r:id="rId4"/>
  </externalReferences>
  <definedNames>
    <definedName name="Nr">'Analysis of project risks'!$A$7</definedName>
    <definedName name="_xlnm.Print_Area" localSheetId="1">'Analysis of project risks'!$A$1:$O$32</definedName>
    <definedName name="_xlnm.Print_Titles" localSheetId="1">'Analysis of project risks'!$7:$7</definedName>
    <definedName name="RZ">'Analysis of project risks'!$J$9:$J$27</definedName>
    <definedName name="Status">'Analysis of project risks'!$N$9:$N$27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62" i="2" l="1"/>
  <c r="J61" i="2"/>
  <c r="J60" i="2"/>
  <c r="J59" i="2"/>
  <c r="J58" i="2"/>
  <c r="J57" i="2"/>
  <c r="J56" i="2"/>
  <c r="J55" i="2"/>
  <c r="J54" i="2"/>
  <c r="J53" i="2"/>
  <c r="J52" i="2"/>
  <c r="J27" i="2"/>
  <c r="J26" i="2"/>
  <c r="J25" i="2"/>
  <c r="J24" i="2"/>
  <c r="J23" i="2"/>
  <c r="J22" i="2"/>
  <c r="J21" i="2"/>
  <c r="J20" i="2"/>
  <c r="J19" i="2"/>
  <c r="J18" i="2"/>
  <c r="J17" i="2"/>
  <c r="J16" i="2"/>
  <c r="J15" i="2"/>
  <c r="J14" i="2"/>
  <c r="J13" i="2"/>
  <c r="J12" i="2"/>
  <c r="J11" i="2"/>
  <c r="J10" i="2"/>
  <c r="J9" i="2"/>
  <c r="G4" i="2"/>
  <c r="F4" i="2"/>
  <c r="D4" i="2"/>
  <c r="A4" i="2"/>
  <c r="L3" i="2"/>
  <c r="G3" i="2"/>
  <c r="F3" i="2"/>
  <c r="D3" i="2"/>
  <c r="A3" i="2"/>
  <c r="G2" i="2"/>
  <c r="F2" i="2"/>
  <c r="D2" i="2"/>
  <c r="A2"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ib86fe</author>
    <author>Ulrike Lasinger</author>
    <author>Marcel Hirsch</author>
    <author>him8fe</author>
  </authors>
  <commentList>
    <comment ref="A7" authorId="0" shapeId="0" xr:uid="{00000000-0006-0000-0100-000001000000}">
      <text>
        <r>
          <rPr>
            <sz val="11"/>
            <color theme="1"/>
            <rFont val="Calibri"/>
            <family val="2"/>
            <scheme val="minor"/>
          </rPr>
          <t xml:space="preserve">The risks are numbered sequentially.
</t>
        </r>
      </text>
    </comment>
    <comment ref="B7" authorId="1" shapeId="0" xr:uid="{00000000-0006-0000-0100-000002000000}">
      <text>
        <r>
          <rPr>
            <sz val="11"/>
            <color theme="1"/>
            <rFont val="Calibri"/>
            <family val="2"/>
            <scheme val="minor"/>
          </rPr>
          <t xml:space="preserve">Multi-Projects: Please insert the project to which the risk  refers
</t>
        </r>
      </text>
    </comment>
    <comment ref="C7" authorId="1" shapeId="0" xr:uid="{00000000-0006-0000-0100-000003000000}">
      <text>
        <r>
          <rPr>
            <sz val="11"/>
            <color theme="1"/>
            <rFont val="Calibri"/>
            <family val="2"/>
            <scheme val="minor"/>
          </rPr>
          <t>Only relevant for risks  identified after creation of risk analysis.</t>
        </r>
      </text>
    </comment>
    <comment ref="D7" authorId="0" shapeId="0" xr:uid="{00000000-0006-0000-0100-000004000000}">
      <text>
        <r>
          <rPr>
            <sz val="11"/>
            <color theme="1"/>
            <rFont val="Calibri"/>
            <family val="2"/>
            <scheme val="minor"/>
          </rPr>
          <t>If needed, risks can be assigned to risk categories. The following categories can be used as well as others.
BR = Business
BtR = Budget
CR = Customer Satisfaction
QR = Quality
RR = Resource
ScR = Schedule
SR = Scope
LR = Legality
SrR = Security
PR = Further product risks
EM = Employee</t>
        </r>
      </text>
    </comment>
    <comment ref="F7" authorId="2" shapeId="0" xr:uid="{00000000-0006-0000-0100-000005000000}">
      <text>
        <r>
          <rPr>
            <sz val="11"/>
            <color theme="1"/>
            <rFont val="Calibri"/>
            <family val="2"/>
            <scheme val="minor"/>
          </rPr>
          <t>What are the effects once the risk/ potential failure occurs?</t>
        </r>
      </text>
    </comment>
    <comment ref="G7" authorId="2" shapeId="0" xr:uid="{00000000-0006-0000-0100-000006000000}">
      <text>
        <r>
          <rPr>
            <sz val="11"/>
            <color theme="1"/>
            <rFont val="Calibri"/>
            <family val="2"/>
            <scheme val="minor"/>
          </rPr>
          <t>What are the causes for the risk/the failure  to occur?</t>
        </r>
      </text>
    </comment>
    <comment ref="H7" authorId="0" shapeId="0" xr:uid="{00000000-0006-0000-0100-000007000000}">
      <text>
        <r>
          <rPr>
            <sz val="11"/>
            <color theme="1"/>
            <rFont val="Calibri"/>
            <family val="2"/>
            <scheme val="minor"/>
          </rPr>
          <t xml:space="preserve">W = Probability of occurrence:
5 = very high
4 = high
3= medium
2 = low
1 = unlikley
</t>
        </r>
      </text>
    </comment>
    <comment ref="I7" authorId="1" shapeId="0" xr:uid="{00000000-0006-0000-0100-000008000000}">
      <text>
        <r>
          <rPr>
            <sz val="11"/>
            <color theme="1"/>
            <rFont val="Calibri"/>
            <family val="2"/>
            <scheme val="minor"/>
          </rPr>
          <t xml:space="preserve">T= Significance of effects: 
5 = very high
4 = high
3 = medium
2 = low
1 = unlikley
</t>
        </r>
      </text>
    </comment>
    <comment ref="J7" authorId="1" shapeId="0" xr:uid="{00000000-0006-0000-0100-000009000000}">
      <text>
        <r>
          <rPr>
            <sz val="11"/>
            <color theme="1"/>
            <rFont val="Calibri"/>
            <family val="2"/>
            <scheme val="minor"/>
          </rPr>
          <t>Product of W and T; The RZ  shall support the prioritisation of risks and will be calculated automatically</t>
        </r>
      </text>
    </comment>
    <comment ref="N7" authorId="1" shapeId="0" xr:uid="{00000000-0006-0000-0100-00000A000000}">
      <text>
        <r>
          <rPr>
            <sz val="11"/>
            <color theme="1"/>
            <rFont val="Calibri"/>
            <family val="2"/>
            <scheme val="minor"/>
          </rPr>
          <t xml:space="preserve">Possible values:
open,
in process (iP),
completed  (com)  
</t>
        </r>
      </text>
    </comment>
    <comment ref="O7" authorId="3" shapeId="0" xr:uid="{00000000-0006-0000-0100-00000B000000}">
      <text>
        <r>
          <rPr>
            <sz val="11"/>
            <color theme="1"/>
            <rFont val="Calibri"/>
            <family val="2"/>
            <scheme val="minor"/>
          </rPr>
          <t>What was planned to minimise the risk before carrying out this risk analysis?
E.g.: Database overflow. Plan for a monitoring software generating alerts once data volume reaches 80% of hard disk capacity.
Not all risks can be eliminated by an action.</t>
        </r>
      </text>
    </comment>
  </commentList>
</comments>
</file>

<file path=xl/sharedStrings.xml><?xml version="1.0" encoding="utf-8"?>
<sst xmlns="http://schemas.openxmlformats.org/spreadsheetml/2006/main" count="677" uniqueCount="512">
  <si>
    <t>Risk Analysis
M&amp;A</t>
  </si>
  <si>
    <t>IT-as-is Manager</t>
  </si>
  <si>
    <t>IT-Project Manager</t>
  </si>
  <si>
    <t>IT PM (Bosch-led)</t>
  </si>
  <si>
    <t xml:space="preserve"> - Cover Sheet -</t>
  </si>
  <si>
    <t>PMI-Lead</t>
  </si>
  <si>
    <t>KPMG</t>
  </si>
  <si>
    <t>Information about the project and the risk analysis:</t>
  </si>
  <si>
    <t xml:space="preserve">Actions are tracked in </t>
  </si>
  <si>
    <t>Further information:</t>
  </si>
  <si>
    <t>Participants of latest meeting/update of risk analysis:</t>
  </si>
  <si>
    <t>Participant</t>
  </si>
  <si>
    <t>Department</t>
  </si>
  <si>
    <t>Function</t>
  </si>
  <si>
    <t>PjQM</t>
  </si>
  <si>
    <t>Technical expert from project team</t>
  </si>
  <si>
    <t>The required signature of the risk analysis (PjM and PjQM) is covered by the signature of the respective QA.</t>
  </si>
  <si>
    <t>Document History:</t>
  </si>
  <si>
    <t>Change</t>
  </si>
  <si>
    <t>Version</t>
  </si>
  <si>
    <t>Date</t>
  </si>
  <si>
    <t>Changed by</t>
  </si>
  <si>
    <t/>
  </si>
  <si>
    <t>…</t>
  </si>
  <si>
    <t>The risk analysis has to be updated regularly during the whole merger duration - 
The different states have to be versioned -</t>
  </si>
  <si>
    <t>Analysis of as-is operation risks</t>
  </si>
  <si>
    <t>RZ statistic</t>
  </si>
  <si>
    <t>Please insert rows exclusively over button!</t>
  </si>
  <si>
    <t>Threshold:</t>
  </si>
  <si>
    <t>Risks higher than or equal to threshold:</t>
  </si>
  <si>
    <t>No.</t>
  </si>
  <si>
    <t>Sub-
project
(optional)</t>
  </si>
  <si>
    <t>Entry Date of Risk</t>
  </si>
  <si>
    <t>Risk
category</t>
  </si>
  <si>
    <t xml:space="preserve">Risk
(concrete, understandable description)
</t>
  </si>
  <si>
    <t>Effects
(corresponds with T=Sign. of effects (column I))</t>
  </si>
  <si>
    <t>Causes</t>
  </si>
  <si>
    <t>W</t>
  </si>
  <si>
    <t>T</t>
  </si>
  <si>
    <t>RZ</t>
  </si>
  <si>
    <t>Actions
(preventive and counter measures)</t>
  </si>
  <si>
    <t>Responsible</t>
  </si>
  <si>
    <t>Deadline</t>
  </si>
  <si>
    <t>Status of action</t>
  </si>
  <si>
    <t>Remarks / notes [optional] (e.g., critical general conditions; already planned actions)</t>
  </si>
  <si>
    <t>Phase 1 – Governance</t>
  </si>
  <si>
    <t>2026-07-01</t>
  </si>
  <si>
    <t>ScR = Schedule</t>
  </si>
  <si>
    <t>IT project leadership not appointed on time by Bosch and JCI</t>
  </si>
  <si>
    <t>Delayed project kick-off; governance vacuum; Phase 1 milestones slip</t>
  </si>
  <si>
    <t>Executive bandwidth constraints; unclear mandate between Bosch CIO and JCI CIO</t>
  </si>
  <si>
    <t>Escalate appointment to ExCo by project start date; confirm names in SPA pre-conditions</t>
  </si>
  <si>
    <t>Bosch CIO + JCI CIO</t>
  </si>
  <si>
    <t>2026-07-14</t>
  </si>
  <si>
    <t>Open</t>
  </si>
  <si>
    <t>Prerequisite for all Phase 1 activities</t>
  </si>
  <si>
    <t>SR = Scope</t>
  </si>
  <si>
    <t>Governance model and RACI not agreed between Bosch and JCI within Initialization</t>
  </si>
  <si>
    <t>Unclear decision authority; stalled workstream progress; Steering Committee ineffective</t>
  </si>
  <si>
    <t>Differing governance expectations; prior relationship between JCI and Bosch not yet formalised</t>
  </si>
  <si>
    <t>RACI workshop facilitated by KPMG by week 2; escalation matrix agreed before QG1</t>
  </si>
  <si>
    <t>KPMG + IT PM</t>
  </si>
  <si>
    <t>2026-07-20</t>
  </si>
  <si>
    <t>FRAME precedent: RACI agreed in first 4 weeks</t>
  </si>
  <si>
    <t>Phase 1 – Scope</t>
  </si>
  <si>
    <t>180-site location list incomplete or inaccurate</t>
  </si>
  <si>
    <t>Infrastructure design based on wrong site count; wave planning errors; budget miscalculation</t>
  </si>
  <si>
    <t>JCI facilities data fragmented across regions; AP/AM site data not centrally maintained</t>
  </si>
  <si>
    <t>Mandate JCI Facilities to submit full site list with addresses and types by week 3; validate against HR headcount data</t>
  </si>
  <si>
    <t>JCI IT + Facilities</t>
  </si>
  <si>
    <t>2026-08-24</t>
  </si>
  <si>
    <t>180 sites confirmed as baseline; AP and AM are largest regions</t>
  </si>
  <si>
    <t>Phase 1 – Legal</t>
  </si>
  <si>
    <t>LR = Legality</t>
  </si>
  <si>
    <t>Legal entity identification delayed — especially Mexico, China, India</t>
  </si>
  <si>
    <t>ERP country go-live excluded; manual compliance workarounds; SPA conditions not met</t>
  </si>
  <si>
    <t>Complex local registration processes; bank account setup delays; tax authority lead times</t>
  </si>
  <si>
    <t>Engage local legal counsel per country by Phase 1; Mexico contingency plan (phased go-live); India RBIN exception initiated with Bosch CISO</t>
  </si>
  <si>
    <t>Legal + Finance</t>
  </si>
  <si>
    <t>2026-08-28</t>
  </si>
  <si>
    <t>Brazil/China/India/Mexico flagged as high-complexity in CLAUDE.md</t>
  </si>
  <si>
    <t>Phase 1 – TSA</t>
  </si>
  <si>
    <t>TSA framework not agreed before QG1; 18-month scope and service catalogue disputed</t>
  </si>
  <si>
    <t>TSA cannot be operationalised; service gaps on Day 1; JCI obligations unclear</t>
  </si>
  <si>
    <t>JCI and Bosch not aligned on which services are included; pricing model disputed</t>
  </si>
  <si>
    <t>TSA preliminary framework defined by Legal and IT PM before QG1; catalogue refined in Phase 2</t>
  </si>
  <si>
    <t>Legal + IT PM</t>
  </si>
  <si>
    <t>2026-09-12</t>
  </si>
  <si>
    <t>JCI operates all IT for Bosch for 18 months from 01 Jul 2028</t>
  </si>
  <si>
    <t>2.1 – As-Is Analysis</t>
  </si>
  <si>
    <t>2026-10-01</t>
  </si>
  <si>
    <t>Application inventory incomplete — not all ~500 apps captured in LeanIX / CMDB</t>
  </si>
  <si>
    <t>Unplanned apps discovered during migration; scope inflation; wave plan disruption</t>
  </si>
  <si>
    <t>Shadow IT; regional/local apps not registered centrally; incomplete CMDB entries</t>
  </si>
  <si>
    <t>Mandate all JCI business units to submit full app list; LeanIX discovery scan; app inventory freeze after QG2; regional validation workshops in AP/AM/EMEA</t>
  </si>
  <si>
    <t>JCI IT Architects + KPMG</t>
  </si>
  <si>
    <t>2026-11-26</t>
  </si>
  <si>
    <t>FRAME comparable: ~500 apps; use LeanIX as master landscape tool</t>
  </si>
  <si>
    <t>RR = Resource</t>
  </si>
  <si>
    <t>JCI non-cooperative or slow in providing as-is IT data</t>
  </si>
  <si>
    <t>Incomplete landscape assessment; concept phase delayed; TSA service catalogue gaps</t>
  </si>
  <si>
    <t>JCI data confidentiality concerns pre-SPA; competing JCI operational priorities; unclear SPA obligations</t>
  </si>
  <si>
    <t>Establish data access protocol in SPA; weekly data request tracker; Steering Committee escalation path; KPMG facilitates JCI data sessions</t>
  </si>
  <si>
    <t>Bosch IT PM + KPMG</t>
  </si>
  <si>
    <t>2026-09-30</t>
  </si>
  <si>
    <t>Critical dependency: all Phase 2 analysis relies on JCI data provision</t>
  </si>
  <si>
    <t>2.2 – Architecture</t>
  </si>
  <si>
    <t>Co-locator data centre procurement delayed across 3 regions (AP / AM / EMEA)</t>
  </si>
  <si>
    <t>Regional hub not ready; all Phase 3 infrastructure build activities blocked for affected region</t>
  </si>
  <si>
    <t>Co-locator RFP takes longer than planned; AP/AM data centre capacity constraints; contract negotiation</t>
  </si>
  <si>
    <t>Co-locator selection decision by QG2; parallel RFP for all 3 regions; shortlist of 2 providers per region as contingency</t>
  </si>
  <si>
    <t>Bosch Procurement + Bosch Infra</t>
  </si>
  <si>
    <t>2027-01-13</t>
  </si>
  <si>
    <t>3 regional co-locators required: AP hub, AM hub, EMEA hub</t>
  </si>
  <si>
    <t>2.3 – Migration Strategy</t>
  </si>
  <si>
    <t>QR = Quality</t>
  </si>
  <si>
    <t>Data separation rules not finalised before migration begins</t>
  </si>
  <si>
    <t>Data leakage risk; compliance breach; migration rework; legal disputes between Bosch and JCI</t>
  </si>
  <si>
    <t>Unclear data ownership; shared data between Bosch-retained and JCI carved-out entities</t>
  </si>
  <si>
    <t>Data ownership working group with Legal, JCI, and KPMG; non-selective migration approach (FRAME precedent); finalise rules and obtain sign-off before QG2</t>
  </si>
  <si>
    <t>KPMG + Legal</t>
  </si>
  <si>
    <t>2027-01-29</t>
  </si>
  <si>
    <t>FRAME used non-selective migration approach — recommended for Trinity</t>
  </si>
  <si>
    <t>2.1 – Contracts</t>
  </si>
  <si>
    <t>Change-of-control clauses triggered on key vendor contracts (~6000 device licences)</t>
  </si>
  <si>
    <t>Vendor contract termination; service disruption Day 1; unplanned renegotiation costs</t>
  </si>
  <si>
    <t>~6000 device licences and software contracts contain change-of-control clauses not yet reviewed</t>
  </si>
  <si>
    <t>Full contract audit completed by QG2; proactive vendor engagement initiated early; licence transfer agreements executed before SPA signing</t>
  </si>
  <si>
    <t>JCI Procurement + Legal</t>
  </si>
  <si>
    <t>2028-04-01</t>
  </si>
  <si>
    <t>~6000 device licences in scope; change of control notifications to vendors in Phase 4</t>
  </si>
  <si>
    <t>2.3 – ERP Strategy</t>
  </si>
  <si>
    <t>ERP migration strategy (relocation vs split vs greenfield) not decided by QG2</t>
  </si>
  <si>
    <t>Phase 3 SAP development cannot start; migration partner onboarding delayed; cost unknown</t>
  </si>
  <si>
    <t>Bosch and JCI management not aligned on ERP carve-out model; greenfield cost estimates pending</t>
  </si>
  <si>
    <t>ERP strategy workshop facilitated by KPMG by Dec 2026; decision escalated to Steering Committee; FRAME precedent (relocation/shell copy) used as default baseline</t>
  </si>
  <si>
    <t>ERP Architects + KPMG</t>
  </si>
  <si>
    <t>2026-12-25</t>
  </si>
  <si>
    <t>FRAME used shell copy approach; recommended for Trinity SAP landscape</t>
  </si>
  <si>
    <t>2.1 – Regional</t>
  </si>
  <si>
    <t>Brazil ERP tax complexity causes scope inflation and potential Day 1 exclusion</t>
  </si>
  <si>
    <t>Brazil CSO excluded from Day 1 go-live; manual tax compliance process; additional ERP development cost</t>
  </si>
  <si>
    <t>Brazil nota fiscal / SPED requirements unique; JCI Brazil SAP heavily customised for local tax law</t>
  </si>
  <si>
    <t>Engage Brazilian tax ERP specialist by Phase 2; assess scope of Brazilian localisations; develop Brazil-specific phased go-live contingency; timeline buffer for Brazil</t>
  </si>
  <si>
    <t>JCI ERP Team + KPMG</t>
  </si>
  <si>
    <t>2027-01-22</t>
  </si>
  <si>
    <t>Brazil flagged as extreme tax complexity in project guidelines</t>
  </si>
  <si>
    <t>China local FTS / customs system not available or not compliant in Merger Zone</t>
  </si>
  <si>
    <t>China operations non-compliant on Day 1; customs clearance disruption; regulatory penalties</t>
  </si>
  <si>
    <t>China FTS requires local hosting; Great Firewall constraints; cloud hosting restrictions</t>
  </si>
  <si>
    <t>China IT requirements scoped separately from Phase 2; local IT partner identified; China-specific Merger Zone architecture reviewed with local regulators</t>
  </si>
  <si>
    <t>Regional IT Leads + Legal</t>
  </si>
  <si>
    <t>2027-08-06</t>
  </si>
  <si>
    <t>China local FTS flagged as high-complexity requirement</t>
  </si>
  <si>
    <t>2.1 – OT</t>
  </si>
  <si>
    <t>OT / production IT scope at 180 sites significantly underestimated</t>
  </si>
  <si>
    <t>OT systems not migrated Day 1; production continuity risk; safety risk at manufacturing sites</t>
  </si>
  <si>
    <t>OT systems poorly documented; vendor-specific protocols (Siemens, Rockwell); safety certifications</t>
  </si>
  <si>
    <t>OT assessment including site visits at top 20 production sites; OT security specialist engaged; OT systems catalogued separately from IT applications</t>
  </si>
  <si>
    <t>JCI OT + Production IT</t>
  </si>
  <si>
    <t>2026-11-25</t>
  </si>
  <si>
    <t>OT scope separate from IT; production continuity is critical</t>
  </si>
  <si>
    <t>Merger Zone architecture requires significant rework after QG2 approval</t>
  </si>
  <si>
    <t>Phase 3 build delayed; sunk cost in rework; cascading schedule impacts</t>
  </si>
  <si>
    <t>New security requirements identified post-QG2; JCI landscape findings conflict with initial design</t>
  </si>
  <si>
    <t>Architecture design reviewed with all sub-workstream leads before QG2; architecture freeze after QG2 with formal change control process</t>
  </si>
  <si>
    <t>Bosch IT Architects + KPMG</t>
  </si>
  <si>
    <t>2027-01-11</t>
  </si>
  <si>
    <t>Architecture freeze = Point of No Return for Merger Zone design</t>
  </si>
  <si>
    <t>3.1 – Infrastructure</t>
  </si>
  <si>
    <t>2027-04-01</t>
  </si>
  <si>
    <t>WAN ordering delayed across 180 sites — 4-6 month lead time not met</t>
  </si>
  <si>
    <t>WAN not available for Phase 4 cutover; critical path delay; regional wave plan collapses</t>
  </si>
  <si>
    <t>Late QG2 approval; vendor capacity constraints; regulatory delays in AP/AM regions</t>
  </si>
  <si>
    <t>Order WAN immediately after QG3 (April 2027); dedicated WAN project manager per region; weekly status tracking with all 3 regional WAN providers; pre-qualify vendors in Phase 2</t>
  </si>
  <si>
    <t>Bosch Procurement + WAN Provider</t>
  </si>
  <si>
    <t>2027-04-28</t>
  </si>
  <si>
    <t>FRAME benchmark: 4-6 month minimum lead time — no buffer if ordering late</t>
  </si>
  <si>
    <t>Active Directory (Merger Zone) build delayed — cascades to all app and client migrations</t>
  </si>
  <si>
    <t>All app and 6000 client migrations blocked; Day 1 deadline missed</t>
  </si>
  <si>
    <t>AD design rework post-QG2; Bosch AD team resource constraints; JCI IdM integration complexity</t>
  </si>
  <si>
    <t>AD design workshop completed before QG2; dedicated Bosch AD team from Phase 3 start; AD build dry-run with 100 test accounts before production go-live</t>
  </si>
  <si>
    <t>Bosch AD Team</t>
  </si>
  <si>
    <t>2027-06-10</t>
  </si>
  <si>
    <t>FRAME benchmark: AD build and go-live takes ~6 months — no slack</t>
  </si>
  <si>
    <t>3.2 – ERP</t>
  </si>
  <si>
    <t>SAP shell copy preparation takes significantly longer than 40 days planned</t>
  </si>
  <si>
    <t>ERP not ready for SIT1; SIT1/SIT2/UAT chain delayed; Day 1 ERP go-live at risk</t>
  </si>
  <si>
    <t>SAP system complexity; JCI legacy customisations identified late; migration partner discovery findings</t>
  </si>
  <si>
    <t>Early SAP landscape analysis completed Phase 2; migration partner contracted by QG2; technical dress rehearsal (test shell copy) before production copy</t>
  </si>
  <si>
    <t>Migration Partner + Bosch SAP</t>
  </si>
  <si>
    <t>2027-06-25</t>
  </si>
  <si>
    <t>FRAME benchmark: SAP migration (shell copy + testing) = 9-12 months</t>
  </si>
  <si>
    <t>Migration partner (ERP / SAP) capacity not available per agreed schedule</t>
  </si>
  <si>
    <t>SAP shell copy delayed; SIT1/SIT2 milestones missed; UAT sign-off deadline at risk</t>
  </si>
  <si>
    <t>Migration partner engaged on competing programmes; exclusive SAP DMLT/SNP skill sets</t>
  </si>
  <si>
    <t>Contractual capacity commitments from migration partner signed by QG2; penalty clauses for schedule deviation; backup migration partner identified</t>
  </si>
  <si>
    <t>ERP Team + Procurement</t>
  </si>
  <si>
    <t>2027-03-31</t>
  </si>
  <si>
    <t>Single-source risk — specialist SAP migration skills market is tight</t>
  </si>
  <si>
    <t>3.5 – Security / IAM</t>
  </si>
  <si>
    <t>IAM / Identity Provider deployment delayed or defective</t>
  </si>
  <si>
    <t>User provisioning fails; application access blocked on Day 1; security compliance breach</t>
  </si>
  <si>
    <t>IAM integration complexity; Saviynt SC2 connector restricted to 10 days before closing; late identity data from JCI</t>
  </si>
  <si>
    <t>IAM deployment completed before QG3; connector configuration frozen 10 days pre-closing; fallback manual provisioning plan defined for Day 1</t>
  </si>
  <si>
    <t>Bosch IAM Team</t>
  </si>
  <si>
    <t>2027-05-28</t>
  </si>
  <si>
    <t>FRAME benchmark: IAM/IdM implementation = 6-9 months; Saviynt SC2 10-day constraint is hard</t>
  </si>
  <si>
    <t>CR = Customer Satisfaction</t>
  </si>
  <si>
    <t>Phone number migration incomplete on Day 1 at multiple sites</t>
  </si>
  <si>
    <t>External calls not possible from affected sites; customer-facing communication failure</t>
  </si>
  <si>
    <t>4-8 week per-operator migration lead time; state-owned operators in AP/EMEA unresponsive</t>
  </si>
  <si>
    <t>Start all phone migration requests immediately after WAN cutover per site; temporary external numbers as fallback for operators with &gt;8-week lead time; track per operator per site</t>
  </si>
  <si>
    <t>Bosch Telecom</t>
  </si>
  <si>
    <t>2028-03-14</t>
  </si>
  <si>
    <t>FRAME precedent: phone number migration was a realised risk — plan mitigations early</t>
  </si>
  <si>
    <t>3.3 – Applications</t>
  </si>
  <si>
    <t>Application wave planning disrupted by late-discovered apps (~500 apps)</t>
  </si>
  <si>
    <t>Wave 1 critical apps re-prioritised; migration packages need rework; schedule slip</t>
  </si>
  <si>
    <t>Shadow IT discovered during Phase 3; regional/local apps not in LeanIX; app owners unresponsive</t>
  </si>
  <si>
    <t>App inventory frozen after QG2; any new apps after QG2 require change control; wave plan buffer of 10% capacity for late discoveries</t>
  </si>
  <si>
    <t>KPMG + WS Leads</t>
  </si>
  <si>
    <t>2027-05-19</t>
  </si>
  <si>
    <t>FRAME had comparable scope inflation risk with ~500 apps</t>
  </si>
  <si>
    <t>Phase 3 – Resources</t>
  </si>
  <si>
    <t>Bosch IT team overloaded across 8 parallel sub-workstreams in Phase 3</t>
  </si>
  <si>
    <t>Task delays; quality degradation; key person burnout; critical path slippage</t>
  </si>
  <si>
    <t>8 concurrent Phase 3 workstreams; same resources shared across infra, SAP, M365, CWP, IAM</t>
  </si>
  <si>
    <t>BigRoom planning to surface resource conflicts by QG2; resource plan validated monthly; external contractors for peak load (KPMG + specialist firms); IT PM tracks utilisation weekly</t>
  </si>
  <si>
    <t>IT PM + All WS Leads</t>
  </si>
  <si>
    <t>2027-11-28</t>
  </si>
  <si>
    <t>Phase 3 is the peak resource demand period for the entire programme</t>
  </si>
  <si>
    <t>Custom application adaptation not completed before end of Phase 3</t>
  </si>
  <si>
    <t>Wave 1 migration delayed; critical business apps not ready for Merger Zone</t>
  </si>
  <si>
    <t>Dev team capacity; under-scoped custom app modifications; integration dependency complexity</t>
  </si>
  <si>
    <t>Custom app adaptation started immediately after QG3; dev team capacity confirmed; critical apps prioritised in Wave 1</t>
  </si>
  <si>
    <t>Dev Teams + SWS3</t>
  </si>
  <si>
    <t>2027-07-25</t>
  </si>
  <si>
    <t>~500 apps — even small percentage of custom apps can create significant effort</t>
  </si>
  <si>
    <t>3.6 – IT Org</t>
  </si>
  <si>
    <t>Help desk not adequately staffed for multilingual 24×7 support across AP / AM / EMEA</t>
  </si>
  <si>
    <t>User incidents unresolved post-Day 1; SLA breach; business disruption; management escalations</t>
  </si>
  <si>
    <t>Multilingual staffing across 3 time zones; MSP/ITO contracting delays; training lag</t>
  </si>
  <si>
    <t>Help desk staffing plan approved by QG3; MSP contract signed by QG3; multilingual training programme (AP / AM / EMEA languages); IVR routing by region</t>
  </si>
  <si>
    <t>Bosch IT Ops + Bosch Procurement</t>
  </si>
  <si>
    <t>2027-07-23</t>
  </si>
  <si>
    <t>24×5 multilingual support required at minimum; 24×7 for Day 1 hypercare</t>
  </si>
  <si>
    <t>3.5 – Security</t>
  </si>
  <si>
    <t>Cybersecurity breach during migration transition window</t>
  </si>
  <si>
    <t>Data exfiltration; production environment compromised; regulatory breach; project suspension</t>
  </si>
  <si>
    <t>Expanded attack surface during TSA; migration tooling access rights; weakened controls in transition</t>
  </si>
  <si>
    <t>Security architecture reviewed by CISO before QG3; penetration testing of Merger Zone pre-go-live; SOC monitoring active from Day 1; Zero Trust architecture for Merger Zone connectivity</t>
  </si>
  <si>
    <t>Bosch CISO</t>
  </si>
  <si>
    <t>2027-07-19</t>
  </si>
  <si>
    <t>Transition windows are prime targets; FRAME also had security risk in this phase</t>
  </si>
  <si>
    <t>3.5 – ITSM</t>
  </si>
  <si>
    <t>CMDB not fully populated before Day 1 (6000 assets / 180 sites)</t>
  </si>
  <si>
    <t>Incident management degraded post-Day 1; asset tracking gaps; ITSM SLA reporting unreliable</t>
  </si>
  <si>
    <t>Asset discovery at 180 sites takes longer than planned; JCI CMDB data quality poor</t>
  </si>
  <si>
    <t>CMDB build starts Phase 3; discovery tools deployed at top 30 sites by QG4; CMDB accuracy threshold defined (&gt;80% by Day 1); manual data import for remaining sites</t>
  </si>
  <si>
    <t>Bosch ITSM Team</t>
  </si>
  <si>
    <t>2027-07-09</t>
  </si>
  <si>
    <t>ServiceNow CMDB target for 6000 assets; AP/AM sites = largest data volumes</t>
  </si>
  <si>
    <t>3.7 – TSA</t>
  </si>
  <si>
    <t>TSA service catalogue scope not agreed before QG2</t>
  </si>
  <si>
    <t>TSA SLA gaps; disputed service ownership; Day 1 service gaps; legal disputes</t>
  </si>
  <si>
    <t>JCI and Bosch not aligned on service scope; unclear service exit criteria; pricing disputes</t>
  </si>
  <si>
    <t>TSA catalogue working group from Phase 2; service descriptions approved by both parties before QG2; legal review of all service descriptions; exit criteria defined per service</t>
  </si>
  <si>
    <t>JCI IT + Bosch IT + Legal</t>
  </si>
  <si>
    <t>2027-05-13</t>
  </si>
  <si>
    <t>18-month TSA is the primary operational risk vehicle — catalogue must be watertight</t>
  </si>
  <si>
    <t>4.3 – ERP Migration</t>
  </si>
  <si>
    <t>2027-12-01</t>
  </si>
  <si>
    <t>SAP SIT1 or SIT2 reveals critical defects requiring extended remediation</t>
  </si>
  <si>
    <t>Remediation delay; UAT pushed out; Day 1 ERP go-live at risk; cascades to QG4</t>
  </si>
  <si>
    <t>Incomplete interface mapping in Phase 3; SAP customisation conflicts; data quality issues</t>
  </si>
  <si>
    <t>Comprehensive SIT test plan agreed with business key users before SIT1; dedicated defect triage and remediation sprints; remediation schedule buffer of 15 days</t>
  </si>
  <si>
    <t>ERP Team + Business</t>
  </si>
  <si>
    <t>2028-04-05</t>
  </si>
  <si>
    <t>SIT1 target: Jan 2028; SIT2 target: Mar 2028 — both on critical path</t>
  </si>
  <si>
    <t>BR = Business</t>
  </si>
  <si>
    <t>SAP interface breakage during shell copy — critical SAP-to-non-SAP interfaces</t>
  </si>
  <si>
    <t>Critical business processes fail Day 1; EDI down; supply chain disruption</t>
  </si>
  <si>
    <t>Incomplete interface catalogue; JCI interface customisations not captured in Phase 2</t>
  </si>
  <si>
    <t>Full interface inventory completed by QG2; interface adaptation plan per interface; integration test plan covering all critical interfaces including EDI</t>
  </si>
  <si>
    <t>ERP Team + Integration Team</t>
  </si>
  <si>
    <t>2027-06-11</t>
  </si>
  <si>
    <t>FRAME interface mapping was a major Phase 3 effort — do not underestimate for Trinity</t>
  </si>
  <si>
    <t>4.2 – Client Device</t>
  </si>
  <si>
    <t>Client device migration wave behind schedule — 6000 devices / 180 sites</t>
  </si>
  <si>
    <t>Users unable to work on Day 1; help desk overwhelmed; productivity loss</t>
  </si>
  <si>
    <t>Remote site logistics; device age and hardware failure; network connectivity during reimaging</t>
  </si>
  <si>
    <t>Wave-based migration with AP/AM hubs first; pre-stage devices at regional hubs; regional IT team leads; 10% device buffer per wave for stragglers</t>
  </si>
  <si>
    <t>Bosch CWP + Regional IT</t>
  </si>
  <si>
    <t>2028-03-22</t>
  </si>
  <si>
    <t>6000 devices across 180 sites — logistics risk is high, especially in AP</t>
  </si>
  <si>
    <t>4.4 – App Migration</t>
  </si>
  <si>
    <t>Regression testing sign-off delayed due to Wave 3 local/regional apps</t>
  </si>
  <si>
    <t>QG4 not met; Day 1 postponed; application defects reach production environment</t>
  </si>
  <si>
    <t>Wave 3 apps poorly documented; test team capacity; local app owners unavailable for testing</t>
  </si>
  <si>
    <t>Test planning starts at QG3; risk-based testing prioritises critical apps; Test Manager appointed as formal sign-off authority; regression automation for core suite</t>
  </si>
  <si>
    <t>Test Team + App Teams</t>
  </si>
  <si>
    <t>2028-04-04</t>
  </si>
  <si>
    <t>Wave 3 = regional/local apps — highest uncertainty in test scope</t>
  </si>
  <si>
    <t>4.2 – M365</t>
  </si>
  <si>
    <t>Email / M365 mailbox migration data loss or corruption — 6000+ mailboxes</t>
  </si>
  <si>
    <t>Email data loss; non-compliance; business disruption; end-user trust damage</t>
  </si>
  <si>
    <t>Large mailbox sizes; PST import errors; calendar item corruption; migration tool limitations</t>
  </si>
  <si>
    <t>Pre-migration mailbox audit; pilot migration of 100 mailboxes before Wave 1; full backup before each wave; data integrity validation post-migration per user</t>
  </si>
  <si>
    <t>Bosch Azure Team</t>
  </si>
  <si>
    <t>2028-02-29</t>
  </si>
  <si>
    <t>6000+ mailboxes; FRAME benchmark: M365 tenant build + cutover ~6 months</t>
  </si>
  <si>
    <t>Business key users not available for ERP UAT and app testing</t>
  </si>
  <si>
    <t>UAT incomplete; critical defects not caught; Day 1 production issues; delayed UAT sign-off</t>
  </si>
  <si>
    <t>Business operational commitments; line managers deprioritise UAT; UAT scope too large</t>
  </si>
  <si>
    <t>Formal business UAT commitment signed by business leads at QG2; UAT plan agreed 6 months in advance; dedicated business UAT champions per region</t>
  </si>
  <si>
    <t>Business Leads + IT PM</t>
  </si>
  <si>
    <t>FRAME risk #19: Business does not have enough capacity for testing — realised risk</t>
  </si>
  <si>
    <t>4.5 – Signing</t>
  </si>
  <si>
    <t>2028-02-12</t>
  </si>
  <si>
    <t>SPA / APA execution delayed beyond planned Q2 2028 date</t>
  </si>
  <si>
    <t>Project closure delayed; Phase 5 activities postponed; continued dual-operating cost</t>
  </si>
  <si>
    <t>Regulatory approval delays; final legal entity setup outstanding; SPA conditions precedent</t>
  </si>
  <si>
    <t>Legal entity finalisation tracked from Phase 2; all SPA conditions precedent reviewed monthly; contingency signing date buffer of 4 weeks built into plan</t>
  </si>
  <si>
    <t>Legal + Executive Leadership</t>
  </si>
  <si>
    <t>2028-04-19</t>
  </si>
  <si>
    <t>Signing (SPA/APA) = contractual close; Day 1 = operational go-live on 01 Jul 2028</t>
  </si>
  <si>
    <t>4.5 – Legal Closeout</t>
  </si>
  <si>
    <t>Frozen Zone violations — production changes made after Signing without SteerCo approval</t>
  </si>
  <si>
    <t>Production environment instability; untested changes on Day 1; incident risk</t>
  </si>
  <si>
    <t>Business pressure for last-minute fixes; inadequate change governance post-signing</t>
  </si>
  <si>
    <t>Frozen Zone policy communicated to all teams at Signing; emergency change process requires SteerCo approval; automated change detection alerts in CMDB</t>
  </si>
  <si>
    <t>2028-07-01</t>
  </si>
  <si>
    <t>Frozen Zone begins 19 Apr 2028 — no production changes without SteerCo approval</t>
  </si>
  <si>
    <t>4.6 – Cutover</t>
  </si>
  <si>
    <t>2028-04-22</t>
  </si>
  <si>
    <t>Go/No-Go criteria not met — Day 1 cutover delayed</t>
  </si>
  <si>
    <t>SPA closing date missed; financial and legal penalties; customer and stakeholder disruption</t>
  </si>
  <si>
    <t>Open P1/P2 defects at cutover; critical migration wave not completed; business sign-off withheld</t>
  </si>
  <si>
    <t>Go/No-Go criteria defined and agreed by QG3; weekly readiness dashboard from Phase 4; SteerCo escalation process for blocking issues; minimum viability threshold defined</t>
  </si>
  <si>
    <t>Steering Committee + IT PM</t>
  </si>
  <si>
    <t>2028-06-14</t>
  </si>
  <si>
    <t>Go/No-Go = 14 Jun 2028; Day 1 = 01 Jul 2028 — minimal buffer</t>
  </si>
  <si>
    <t>Phase 5 – GoLive</t>
  </si>
  <si>
    <t>Day 1 critical IT incident causing business operations failure</t>
  </si>
  <si>
    <t>Revenue loss; regulatory breach; reputational damage; SPA penalty clauses triggered</t>
  </si>
  <si>
    <t>Untested integration paths; high complexity simultaneous cutover; insufficient dress rehearsal</t>
  </si>
  <si>
    <t>Dress rehearsal and cutover simulation completed by 07 Jun 2028; comprehensive go/no-go checklist; 24×7 hypercare P1 war room (Bosch + JCI) for 90 days</t>
  </si>
  <si>
    <t>2028-07-05</t>
  </si>
  <si>
    <t>Hypercare = 90 calendar days from 01 Jul 2028 to 30 Sep 2028</t>
  </si>
  <si>
    <t>Phase 5 – TSA</t>
  </si>
  <si>
    <t>JCI TSA service degradation in first 90 days post Day 1</t>
  </si>
  <si>
    <t>Bosch business operations impaired; SLA breaches; financial penalties; stakeholder confidence loss</t>
  </si>
  <si>
    <t>JCI staff attrition post-deal; competing JCI priorities; unclear SLA governance</t>
  </si>
  <si>
    <t>Strong TSA SLA framework with KPIs; monthly service reviews from Day 1; contractual penalty clauses for SLA breach; escalation path to JCI senior management</t>
  </si>
  <si>
    <t>IT PM + JCI IT</t>
  </si>
  <si>
    <t>2028-09-30</t>
  </si>
  <si>
    <t>18-month TSA clock starts 01 Jul 2028; expires 31 Dec 2029</t>
  </si>
  <si>
    <t>Phase 5 – Communications</t>
  </si>
  <si>
    <t>End-user adoption failure post Day 1 — 8000 users across 180 sites</t>
  </si>
  <si>
    <t>Productivity loss; help desk overwhelmed; management escalations; user workarounds</t>
  </si>
  <si>
    <t>Insufficient change management; multi-language communication gap; no end-user training plan</t>
  </si>
  <si>
    <t>End-user communication plan issued 60 days pre-cutover (multilingual: AP/AM/EMEA); regional IT champions; how-to guides per application; hypercare daily standup per region</t>
  </si>
  <si>
    <t>Comms + Regional IT</t>
  </si>
  <si>
    <t>2028-06-07</t>
  </si>
  <si>
    <t>8000 users across 180 sites; multi-language comms critical for AP region</t>
  </si>
  <si>
    <t>6.1 – Stabilisation</t>
  </si>
  <si>
    <t>2028-10-01</t>
  </si>
  <si>
    <t>Key JCI IT personnel leave before completing TSA obligations</t>
  </si>
  <si>
    <t>Knowledge gaps; service degradation; runbook coverage incomplete; TSA exit delayed</t>
  </si>
  <si>
    <t>JCI staff attrition post-deal announcement; alternative employment; JCI restructuring</t>
  </si>
  <si>
    <t>Key person retention plan agreed with JCI in TSA contract; knowledge transfer programme starts Day 1; documentation quality reviews quarterly</t>
  </si>
  <si>
    <t>JCI IT + IT PM</t>
  </si>
  <si>
    <t>2029-12-31</t>
  </si>
  <si>
    <t>TSA = 18 months of JCI operating IT for Bosch — staff retention is critical</t>
  </si>
  <si>
    <t>6.1 – Knowledge Transfer</t>
  </si>
  <si>
    <t>Insufficient knowledge transfer from JCI to Bosch — runbooks, processes, documentation</t>
  </si>
  <si>
    <t>Bosch unable to independently operate IT post-TSA; service gaps after Dec 2029</t>
  </si>
  <si>
    <t>JCI staff attrition; runbook quality low; KT programme not structured; time pressure</t>
  </si>
  <si>
    <t>Formal KT plan with acceptance criteria per service by Day 1; structured runbook review (all 180 sites); KT completion sign-off per service required before TSA exit is approved</t>
  </si>
  <si>
    <t>JCI IT + Bosch IT</t>
  </si>
  <si>
    <t>2029-02-07</t>
  </si>
  <si>
    <t>KT window = Oct 2028 – Feb 2029; AP/AM sites are highest priority</t>
  </si>
  <si>
    <t>6.2 – MZ to Bosch Migration</t>
  </si>
  <si>
    <t>2029-01-15</t>
  </si>
  <si>
    <t>Bosch Active Directory integration (Merger Zone → Bosch) delayed in Phase 6</t>
  </si>
  <si>
    <t>Client re-migration to Bosch domain blocked; TSA exit delayed; user access issues</t>
  </si>
  <si>
    <t>Bosch AD forest complexity; identity federation technical issues; naming convention conflicts</t>
  </si>
  <si>
    <t>Bosch AD integration design started in Phase 5; pilot with 100 test accounts in Oct 2028; rollback plan if federation fails; Bosch IAM lead dedicated resource from Phase 6 start</t>
  </si>
  <si>
    <t>Bosch IAM + Bosch AD Team</t>
  </si>
  <si>
    <t>2029-02-25</t>
  </si>
  <si>
    <t>AD integration = foundation for all Phase 6 client and app re-migrations</t>
  </si>
  <si>
    <t>6.2 – ERP Integration</t>
  </si>
  <si>
    <t>2029-02-26</t>
  </si>
  <si>
    <t>ERP integration with Bosch parent systems fails in Phase 6</t>
  </si>
  <si>
    <t>Bosch financial consolidation broken; audit trail gaps; manual reconciliation required</t>
  </si>
  <si>
    <t>Bosch ERP standard not compatible with Merger Zone SAP customisations; interface gaps</t>
  </si>
  <si>
    <t>Bosch SAP integration design from Phase 5; interface harmonisation plan agreed; reconciliation testing before production cutover; Bosch BW team prepares consolidated reporting</t>
  </si>
  <si>
    <t>ERP Team + Bosch IT</t>
  </si>
  <si>
    <t>2029-04-22</t>
  </si>
  <si>
    <t>ERP integration is on critical path for TSA exit of commercial IT services</t>
  </si>
  <si>
    <t>6.2 – App Migration</t>
  </si>
  <si>
    <t>Phase 6 app re-migration waves discover compatibility issues with Bosch environment</t>
  </si>
  <si>
    <t>Applications cannot migrate; extended TSA for affected apps; rework cost</t>
  </si>
  <si>
    <t>Bosch standard application portfolio differs; version incompatibilities; security policy conflicts</t>
  </si>
  <si>
    <t>Bosch application compatibility assessment in Phase 5; wave planning accounts for compatibility testing buffer; remediation sprint built into each wave timeline</t>
  </si>
  <si>
    <t>App Teams + Bosch IT</t>
  </si>
  <si>
    <t>2029-07-01</t>
  </si>
  <si>
    <t>~500 apps need re-migration from Merger Zone to Bosch; compatibility unknown until Phase 5</t>
  </si>
  <si>
    <t>6.3 – TSA Exit</t>
  </si>
  <si>
    <t>2029-07-02</t>
  </si>
  <si>
    <t>TSA exit delayed beyond contractual 31 Dec 2029 deadline</t>
  </si>
  <si>
    <t>Post-TSA cost exposure; JCI relationship strain; operational dependency continuation</t>
  </si>
  <si>
    <t>Phase 6 migration waves delayed; Bosch AD integration issues; app re-migration complexity</t>
  </si>
  <si>
    <t>TSA exit milestones tracked monthly from Day 1; service exit criteria defined per service from Phase 3; exit readiness reviews from Q3 2029; contractual penalties for JCI if TSA extended beyond Dec 2029 due to JCI failure</t>
  </si>
  <si>
    <t>IT PM + JCI TSA Team</t>
  </si>
  <si>
    <t>2029-11-14</t>
  </si>
  <si>
    <t>TSA hard deadline = 31 Dec 2029 (18 months from 01 Jul 2028 Day 1)</t>
  </si>
  <si>
    <t>Overall – PMO</t>
  </si>
  <si>
    <t>BtR = Budget</t>
  </si>
  <si>
    <t>Overall project budget overrun due to scope growth, resource shortage, or FX exposure</t>
  </si>
  <si>
    <t>Budget cap exceeded; delayed approvals; programme decisions delayed; quality compromised</t>
  </si>
  <si>
    <t>180-site complexity; unexpected as-is findings; additional migration waves; EUR/USD FX exposure</t>
  </si>
  <si>
    <t>Monthly budget-to-complete tracking; change control process for all scope additions; 15% contingency reserve; Steering Committee budget review at every QG</t>
  </si>
  <si>
    <t>Finance + IT PM</t>
  </si>
  <si>
    <t>Permanent</t>
  </si>
  <si>
    <t>Trinity budget is multi-year (~3.5 years); FX and scope are primary drivers</t>
  </si>
  <si>
    <t>KPMG consulting capacity reduced or key consultant departs</t>
  </si>
  <si>
    <t>Methodology gaps; delayed concept deliverables; loss of institutional project knowledge</t>
  </si>
  <si>
    <t>KPMG reallocation to other engagements; consulting market demand; key staff turnover</t>
  </si>
  <si>
    <t>KPMG staffing plan contractually committed by project start; knowledge management in SharePoint updated weekly; backup consultants briefed from Phase 2</t>
  </si>
  <si>
    <t>IT PM + KPMG</t>
  </si>
  <si>
    <t>KPMG is lead consulting partner across all workstreams in Phases 1-4</t>
  </si>
  <si>
    <t>Overall – Legal</t>
  </si>
  <si>
    <t>GDPR / data privacy compliance gaps during cross-border data migration</t>
  </si>
  <si>
    <t>Regulatory fines; reputational damage; personal data breach notification obligation</t>
  </si>
  <si>
    <t>Data transferred across AP/EMEA/AM without adequate controls; migration tooling not GDPR-validated</t>
  </si>
  <si>
    <t>GDPR compliance review of all migration tools before Phase 3; DPIA for cross-border transfers; GDPR representative in Legal workstream; data minimisation approach adopted</t>
  </si>
  <si>
    <t>Legal + Bosch CISO</t>
  </si>
  <si>
    <t>2028-06-30</t>
  </si>
  <si>
    <t>GDPR applies across EMEA; Brazil LGPD applies in AM; China PIPL applies in AP</t>
  </si>
  <si>
    <t>Overall – Governance</t>
  </si>
  <si>
    <t>Steering Committee engagement insufficient — decision velocity too slow</t>
  </si>
  <si>
    <t>Delayed decisions on critical issues; QG approvals delayed; workstream blockers unresolved</t>
  </si>
  <si>
    <t>SteerCo member availability (Bosch + JCI executives); competing strategic priorities</t>
  </si>
  <si>
    <t>Monthly SteerCo cadence from Phase 1; pre-aligned recommendations before each session; documented decision log; escalation tracker for blocking issues</t>
  </si>
  <si>
    <t>IT PM + Steering Committee</t>
  </si>
  <si>
    <t>FRAME lesson: early governance alignment is critical for speed of decision-making</t>
  </si>
  <si>
    <t>Overall – Dependency</t>
  </si>
  <si>
    <t>JCI cooperation deteriorates over the 3.5-year programme timeline</t>
  </si>
  <si>
    <t>Data provision delays; TSA service degradation; knowledge transfer gaps; exit disputes</t>
  </si>
  <si>
    <t>JCI management changes; competing JCI strategic priorities; relationship friction post-deal</t>
  </si>
  <si>
    <t>Joint governance forums (monthly); clear contractual obligations in SPA and TSA; escalation path to both CEOs; relationship management plan</t>
  </si>
  <si>
    <t>IT PM + Executive Leadership</t>
  </si>
  <si>
    <t>JCI cooperation is a dependency across all 6 phases — critical to maintain</t>
  </si>
  <si>
    <t>Stakeholder confidence erodes due to poor programme communications over 3.5 years</t>
  </si>
  <si>
    <t>Business disengagement; management resistance; press/media risk; programme credibility loss</t>
  </si>
  <si>
    <t>Complex multi-year programme; frequent design changes; multi-region stakeholder base</t>
  </si>
  <si>
    <t>Quarterly executive briefing pack; QG milestone communications; monthly stakeholder newsletter; Day 1 communication plan for all 8000 users</t>
  </si>
  <si>
    <t>IT PM + Comms</t>
  </si>
  <si>
    <t>Programme spans Jul 2026 – Dec 2029; stakeholder fatigue is a genuine risk</t>
  </si>
  <si>
    <t>Overall – Regional</t>
  </si>
  <si>
    <t>AP region migration (largest) delayed — hub sites fall behind plan</t>
  </si>
  <si>
    <t>AP users not migrated on time; Merger Zone AP hub unstable; regional wave plan collapses</t>
  </si>
  <si>
    <t>Largest region by device count; complex country mix; WAN lead time variance across AP countries</t>
  </si>
  <si>
    <t>AP hub-first approach; dedicated AP IT Team; weekly AP migration status report; Steering Committee escalation if &gt;10% behind wave plan</t>
  </si>
  <si>
    <t>AP IT Team + Bosch Infra</t>
  </si>
  <si>
    <t>2028-02-23</t>
  </si>
  <si>
    <t>AP is largest region by sites and device count; highest logistical complexity</t>
  </si>
  <si>
    <t>Overall – India</t>
  </si>
  <si>
    <t>India RBIN (Restricted Bosch Internal Network) compliance conflicts with Merger Zone architecture</t>
  </si>
  <si>
    <t>India sites cannot connect to Merger Zone; workaround required; user access disrupted</t>
  </si>
  <si>
    <t>RBIN restricts external network connectivity; India-specific Bosch security policy</t>
  </si>
  <si>
    <t>India IT requirements scoped in Phase 2; RBIN exception process initiated with Bosch CISO; India-specific network design approved before QG2</t>
  </si>
  <si>
    <t>Regional IT Leads + Bosch CISO</t>
  </si>
  <si>
    <t>2026-11-20</t>
  </si>
  <si>
    <t>India RBIN flagged as country-specific requirement in project guidelines</t>
  </si>
  <si>
    <t>Information about method/template</t>
  </si>
  <si>
    <t>Scope of risk analysis:
(Attention: Procedure partly changed compared to previous template version!)</t>
  </si>
  <si>
    <t xml:space="preserve">Project risks can generally be differed by product risks (e.g. product suitability, general conditions of product) and process risks (e.g. project management; development process or process of producing the project result).
In the risk analysis both has to be covered.
</t>
  </si>
  <si>
    <t>Update: Cycle and versions</t>
  </si>
  <si>
    <t>The risk analysis has to be updated regularly during the whole project duration - at least to each QA.
The different states have to be versioned - the currently latest version has to be filed with the respective QA.</t>
  </si>
  <si>
    <t>Update: Procedure
(Attention: Procedure partly changed compared to previous template version!)</t>
  </si>
  <si>
    <t>Updating the risk analysis, existing risks will be reassessed and new risk will be listed in the overview.
By reassessing existing risks, the existing values can be overwritten with the new values because previous values are saved in the different versions of the document.
Therefor old versions of the risk analysis have to be archived with the project documentation.</t>
  </si>
  <si>
    <t>Definition of actions
(Attention: Procedure partly changed compared to previous template version!)</t>
  </si>
  <si>
    <t>At least for risks whose risk figure (RZ) is higher than or equal to the threshold value of 12, an action or a reason why no action is defined has to be named.
It is recommended to define actions also to risks with high significance of effects (T). The threshold can be lowered (e.g. from 12 to 9) but not increased for the single project.
To every action a responsible person and deadline have to be named.</t>
  </si>
  <si>
    <t>Tracking of risks and actions
(Attention:Procedure partly changed compared to previous template version!)</t>
  </si>
  <si>
    <t>The document in which the actions are tracked has to be named in the cover sheet.
Actions have to be done on schedule (requirement of C/AU)!
If an action is processed and the status is set on 'completed', the risk has to be reassessed. Therefore the old values can simply be overwritten.
If an action lowers the former significance of effects (T) of the risk, not only the value of T but also the effects (verbal description column F) have to be overwritten. 
If a risk is still high after completion of the action, a new action has to be defined.
Traceability of the actions and their completion is given by the recording of the different versions of the risk analysis.</t>
  </si>
  <si>
    <t>Documentation</t>
  </si>
  <si>
    <t>To ensure the traceability of the risk analysis (requirement of C/AU),
- the docment history (cover sheet) and 
- the column " entry date of risk" (for later listed risks)
have to be filled in.</t>
  </si>
  <si>
    <t>If risks are escalated,  this has to be definde as an action.</t>
  </si>
  <si>
    <t>Information about the makros</t>
  </si>
  <si>
    <t>To ensure the consistency of the template it is absolutely necessary that new lines are inserted exclusively about the button "New line".</t>
  </si>
  <si>
    <t>Additional Information about risk categories</t>
  </si>
  <si>
    <t>Explanation "Business Risk": Risk that the business processes of the customers do not work as needed</t>
  </si>
  <si>
    <t>Risk assessment:</t>
  </si>
  <si>
    <t>W - Probability of occurrence:</t>
  </si>
  <si>
    <t>5 = very high
4 = high
3 = medium
2 = low
1 = unlikely</t>
  </si>
  <si>
    <t>T - Significance of effects:</t>
  </si>
  <si>
    <t>5 = very severe
4 = severe
3 = medium
2 = low
1 = none</t>
  </si>
  <si>
    <t>RZ - Risk figure</t>
  </si>
  <si>
    <t>The risk figure supports the prioritization of risks and is the result of the product of W and T
(RZ = W x T).</t>
  </si>
  <si>
    <t>Document History Template "AS-IS operation Risk Analysis"</t>
  </si>
  <si>
    <t>Release Date</t>
  </si>
  <si>
    <t>Author</t>
  </si>
  <si>
    <t>Description of Changes</t>
  </si>
  <si>
    <t>1.0</t>
  </si>
  <si>
    <t>BD/MIL-MIA Ladenburgerr</t>
  </si>
  <si>
    <t>Adaption to new BD-organisation</t>
  </si>
  <si>
    <t>Changes of Content:</t>
  </si>
  <si>
    <t>first version: Risk analysis template based on project risk analysis</t>
  </si>
  <si>
    <t>Bosch CIO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</si>
</sst>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
    <numFmt numFmtId="165" formatCode="dd/mm/yy;@"/>
  </numFmts>
  <fonts count="17" x14ac:knownFonts="1">
    <font>
      <sz val="11"/>
      <color theme="1"/>
      <name val="Calibri"/>
      <family val="2"/>
      <scheme val="minor"/>
    </font>
    <font>
      <sz val="10"/>
      <name val="Arial"/>
      <family val="2"/>
    </font>
    <font>
      <b/>
      <sz val="16"/>
      <name val="Arial"/>
      <family val="2"/>
    </font>
    <font>
      <b/>
      <sz val="10"/>
      <name val="Arial"/>
      <family val="2"/>
    </font>
    <font>
      <u/>
      <sz val="10"/>
      <name val="Arial"/>
      <family val="2"/>
    </font>
    <font>
      <b/>
      <u/>
      <sz val="10"/>
      <name val="Arial"/>
      <family val="2"/>
    </font>
    <font>
      <i/>
      <sz val="10"/>
      <color indexed="12"/>
      <name val="Arial"/>
      <family val="2"/>
    </font>
    <font>
      <sz val="10"/>
      <color indexed="12"/>
      <name val="Arial"/>
      <family val="2"/>
    </font>
    <font>
      <i/>
      <sz val="10"/>
      <name val="Arial"/>
      <family val="2"/>
    </font>
    <font>
      <b/>
      <sz val="12"/>
      <name val="Arial"/>
      <family val="2"/>
    </font>
    <font>
      <sz val="8"/>
      <name val="Arial"/>
      <family val="2"/>
    </font>
    <font>
      <b/>
      <sz val="8"/>
      <name val="Arial"/>
      <family val="2"/>
    </font>
    <font>
      <b/>
      <u/>
      <sz val="8"/>
      <color indexed="12"/>
      <name val="Arial"/>
      <family val="2"/>
    </font>
    <font>
      <b/>
      <u/>
      <sz val="8"/>
      <color indexed="23"/>
      <name val="Arial"/>
      <family val="2"/>
    </font>
    <font>
      <b/>
      <sz val="9"/>
      <name val="Arial"/>
      <family val="2"/>
    </font>
    <font>
      <sz val="10"/>
      <color theme="1"/>
      <name val="Arial"/>
      <family val="2"/>
    </font>
    <font>
      <b/>
      <sz val="14"/>
      <name val="Arial"/>
      <family val="2"/>
    </font>
  </fonts>
  <fills count="8">
    <fill>
      <patternFill patternType="none"/>
    </fill>
    <fill>
      <patternFill patternType="gray125"/>
    </fill>
    <fill>
      <patternFill patternType="solid">
        <fgColor indexed="42"/>
        <bgColor indexed="64"/>
      </patternFill>
    </fill>
    <fill>
      <patternFill patternType="solid">
        <fgColor indexed="41"/>
        <bgColor indexed="64"/>
      </patternFill>
    </fill>
    <fill>
      <patternFill patternType="solid">
        <fgColor indexed="22"/>
        <bgColor indexed="64"/>
      </patternFill>
    </fill>
    <fill>
      <patternFill patternType="solid">
        <fgColor indexed="9"/>
        <bgColor indexed="64"/>
      </patternFill>
    </fill>
    <fill>
      <patternFill patternType="solid">
        <fgColor indexed="43"/>
        <bgColor indexed="64"/>
      </patternFill>
    </fill>
    <fill>
      <patternFill patternType="solid">
        <fgColor indexed="47"/>
        <bgColor indexed="64"/>
      </patternFill>
    </fill>
  </fills>
  <borders count="61">
    <border>
      <left/>
      <right/>
      <top/>
      <bottom/>
      <diagonal/>
    </border>
    <border>
      <left style="medium">
        <color indexed="64"/>
      </left>
      <right/>
      <top style="medium">
        <color indexed="64"/>
      </top>
      <bottom/>
      <diagonal/>
    </border>
    <border>
      <left/>
      <right style="medium">
        <color indexed="64"/>
      </right>
      <top style="medium">
        <color indexed="64"/>
      </top>
      <bottom/>
      <diagonal/>
    </border>
    <border>
      <left/>
      <right style="thin">
        <color indexed="64"/>
      </right>
      <top style="thin">
        <color indexed="64"/>
      </top>
      <bottom/>
      <diagonal/>
    </border>
    <border>
      <left style="thin">
        <color indexed="64"/>
      </left>
      <right/>
      <top style="medium">
        <color indexed="64"/>
      </top>
      <bottom style="thin">
        <color indexed="64"/>
      </bottom>
      <diagonal/>
    </border>
    <border>
      <left/>
      <right style="double">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style="double">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bottom style="medium">
        <color indexed="64"/>
      </bottom>
      <diagonal/>
    </border>
    <border>
      <left style="thin">
        <color indexed="64"/>
      </left>
      <right style="medium">
        <color indexed="64"/>
      </right>
      <top style="medium">
        <color indexed="64"/>
      </top>
      <bottom/>
      <diagonal/>
    </border>
    <border>
      <left/>
      <right style="thin">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bottom/>
      <diagonal/>
    </border>
    <border>
      <left style="medium">
        <color indexed="64"/>
      </left>
      <right style="thin">
        <color indexed="64"/>
      </right>
      <top style="medium">
        <color indexed="64"/>
      </top>
      <bottom/>
      <diagonal/>
    </border>
  </borders>
  <cellStyleXfs count="3">
    <xf numFmtId="0" fontId="0" fillId="0" borderId="0"/>
    <xf numFmtId="0" fontId="1" fillId="0" borderId="0"/>
    <xf numFmtId="0" fontId="15" fillId="0" borderId="0"/>
  </cellStyleXfs>
  <cellXfs count="175">
    <xf numFmtId="0" fontId="0" fillId="0" borderId="0" xfId="0"/>
    <xf numFmtId="0" fontId="1" fillId="3" borderId="3" xfId="1" applyFill="1" applyBorder="1" applyAlignment="1">
      <alignment vertical="center" wrapText="1"/>
    </xf>
    <xf numFmtId="0" fontId="1" fillId="3" borderId="6" xfId="1" applyFill="1" applyBorder="1" applyAlignment="1">
      <alignment vertical="center" wrapText="1"/>
    </xf>
    <xf numFmtId="0" fontId="1" fillId="3" borderId="7" xfId="1" applyFill="1" applyBorder="1" applyAlignment="1">
      <alignment horizontal="left" vertical="top" wrapText="1"/>
    </xf>
    <xf numFmtId="0" fontId="1" fillId="0" borderId="0" xfId="1" applyAlignment="1">
      <alignment horizontal="left" vertical="top"/>
    </xf>
    <xf numFmtId="0" fontId="1" fillId="3" borderId="10" xfId="1" applyFill="1" applyBorder="1" applyAlignment="1">
      <alignment vertical="center" wrapText="1"/>
    </xf>
    <xf numFmtId="0" fontId="1" fillId="3" borderId="11" xfId="1" applyFill="1" applyBorder="1" applyAlignment="1">
      <alignment horizontal="left" vertical="top" wrapText="1"/>
    </xf>
    <xf numFmtId="0" fontId="1" fillId="3" borderId="13" xfId="1" applyFill="1" applyBorder="1" applyAlignment="1">
      <alignment horizontal="left" vertical="center" wrapText="1"/>
    </xf>
    <xf numFmtId="0" fontId="1" fillId="3" borderId="11" xfId="1" applyFill="1" applyBorder="1" applyAlignment="1">
      <alignment wrapText="1"/>
    </xf>
    <xf numFmtId="0" fontId="1" fillId="0" borderId="0" xfId="1" applyAlignment="1">
      <alignment horizontal="left" vertical="top" wrapText="1"/>
    </xf>
    <xf numFmtId="0" fontId="3" fillId="2" borderId="14" xfId="1" applyFont="1" applyFill="1" applyBorder="1" applyAlignment="1">
      <alignment vertical="center" wrapText="1"/>
    </xf>
    <xf numFmtId="0" fontId="3" fillId="2" borderId="15" xfId="1" applyFont="1" applyFill="1" applyBorder="1" applyAlignment="1">
      <alignment vertical="center" wrapText="1"/>
    </xf>
    <xf numFmtId="0" fontId="1" fillId="0" borderId="0" xfId="1"/>
    <xf numFmtId="0" fontId="1" fillId="4" borderId="1" xfId="1" applyFill="1" applyBorder="1" applyAlignment="1">
      <alignment horizontal="left" vertical="top" wrapText="1"/>
    </xf>
    <xf numFmtId="0" fontId="1" fillId="4" borderId="8" xfId="1" applyFill="1" applyBorder="1" applyAlignment="1">
      <alignment horizontal="left" vertical="top" wrapText="1"/>
    </xf>
    <xf numFmtId="0" fontId="1" fillId="5" borderId="0" xfId="1" applyFill="1" applyAlignment="1">
      <alignment horizontal="center" vertical="top" wrapText="1"/>
    </xf>
    <xf numFmtId="0" fontId="1" fillId="5" borderId="9" xfId="1" applyFill="1" applyBorder="1" applyAlignment="1">
      <alignment horizontal="center" vertical="top" wrapText="1"/>
    </xf>
    <xf numFmtId="0" fontId="4" fillId="5" borderId="8" xfId="1" applyFont="1" applyFill="1" applyBorder="1" applyAlignment="1">
      <alignment vertical="top" wrapText="1"/>
    </xf>
    <xf numFmtId="0" fontId="1" fillId="5" borderId="0" xfId="1" applyFill="1" applyAlignment="1">
      <alignment vertical="top" wrapText="1"/>
    </xf>
    <xf numFmtId="0" fontId="1" fillId="5" borderId="9" xfId="1" applyFill="1" applyBorder="1" applyAlignment="1">
      <alignment vertical="top" wrapText="1"/>
    </xf>
    <xf numFmtId="0" fontId="5" fillId="0" borderId="31" xfId="1" applyFont="1" applyBorder="1" applyAlignment="1">
      <alignment vertical="top" wrapText="1"/>
    </xf>
    <xf numFmtId="0" fontId="5" fillId="0" borderId="28" xfId="1" applyFont="1" applyBorder="1" applyAlignment="1">
      <alignment vertical="top" wrapText="1"/>
    </xf>
    <xf numFmtId="0" fontId="1" fillId="0" borderId="33" xfId="1" applyBorder="1" applyAlignment="1">
      <alignment vertical="top" wrapText="1"/>
    </xf>
    <xf numFmtId="0" fontId="1" fillId="0" borderId="37" xfId="1" applyBorder="1" applyAlignment="1">
      <alignment vertical="top" wrapText="1"/>
    </xf>
    <xf numFmtId="0" fontId="1" fillId="0" borderId="25" xfId="1" applyBorder="1" applyAlignment="1">
      <alignment vertical="top" wrapText="1"/>
    </xf>
    <xf numFmtId="0" fontId="6" fillId="0" borderId="33" xfId="1" applyFont="1" applyBorder="1" applyAlignment="1">
      <alignment horizontal="left" vertical="top" wrapText="1"/>
    </xf>
    <xf numFmtId="0" fontId="7" fillId="0" borderId="33" xfId="1" applyFont="1" applyBorder="1" applyAlignment="1">
      <alignment horizontal="left" vertical="top" wrapText="1"/>
    </xf>
    <xf numFmtId="0" fontId="8" fillId="0" borderId="33" xfId="1" applyFont="1" applyBorder="1" applyAlignment="1">
      <alignment horizontal="left" vertical="top" wrapText="1"/>
    </xf>
    <xf numFmtId="0" fontId="1" fillId="0" borderId="40" xfId="1" applyBorder="1" applyAlignment="1">
      <alignment horizontal="left" vertical="top" wrapText="1"/>
    </xf>
    <xf numFmtId="0" fontId="1" fillId="4" borderId="14" xfId="1" applyFill="1" applyBorder="1" applyAlignment="1">
      <alignment horizontal="left" vertical="top" wrapText="1"/>
    </xf>
    <xf numFmtId="0" fontId="8" fillId="3" borderId="12" xfId="1" applyFont="1" applyFill="1" applyBorder="1" applyAlignment="1">
      <alignment horizontal="left" vertical="center" wrapText="1"/>
    </xf>
    <xf numFmtId="0" fontId="10" fillId="0" borderId="0" xfId="1" applyFont="1" applyAlignment="1">
      <alignment horizontal="left" vertical="top" wrapText="1"/>
    </xf>
    <xf numFmtId="0" fontId="13" fillId="0" borderId="0" xfId="1" applyFont="1" applyAlignment="1">
      <alignment vertical="top" wrapText="1"/>
    </xf>
    <xf numFmtId="0" fontId="13" fillId="0" borderId="22" xfId="1" applyFont="1" applyBorder="1" applyAlignment="1">
      <alignment vertical="top" wrapText="1"/>
    </xf>
    <xf numFmtId="0" fontId="1" fillId="3" borderId="31" xfId="1" applyFill="1" applyBorder="1" applyAlignment="1">
      <alignment vertical="center" wrapText="1"/>
    </xf>
    <xf numFmtId="0" fontId="1" fillId="3" borderId="42" xfId="1" applyFill="1" applyBorder="1" applyAlignment="1">
      <alignment vertical="center" wrapText="1"/>
    </xf>
    <xf numFmtId="0" fontId="1" fillId="0" borderId="43" xfId="1" applyBorder="1" applyAlignment="1">
      <alignment horizontal="center" vertical="center" wrapText="1"/>
    </xf>
    <xf numFmtId="0" fontId="1" fillId="0" borderId="7" xfId="1" applyBorder="1" applyAlignment="1">
      <alignment horizontal="center" vertical="center" wrapText="1"/>
    </xf>
    <xf numFmtId="0" fontId="1" fillId="5" borderId="0" xfId="1" applyFill="1" applyAlignment="1">
      <alignment wrapText="1"/>
    </xf>
    <xf numFmtId="0" fontId="1" fillId="5" borderId="9" xfId="1" applyFill="1" applyBorder="1" applyAlignment="1">
      <alignment wrapText="1"/>
    </xf>
    <xf numFmtId="0" fontId="1" fillId="0" borderId="0" xfId="1" applyAlignment="1">
      <alignment wrapText="1"/>
    </xf>
    <xf numFmtId="0" fontId="1" fillId="3" borderId="33" xfId="1" applyFill="1" applyBorder="1" applyAlignment="1">
      <alignment vertical="center" wrapText="1"/>
    </xf>
    <xf numFmtId="0" fontId="1" fillId="3" borderId="11" xfId="1" applyFill="1" applyBorder="1" applyAlignment="1">
      <alignment vertical="center" wrapText="1"/>
    </xf>
    <xf numFmtId="1" fontId="1" fillId="0" borderId="0" xfId="1" applyNumberFormat="1" applyAlignment="1">
      <alignment horizontal="center" vertical="top" wrapText="1"/>
    </xf>
    <xf numFmtId="0" fontId="1" fillId="0" borderId="39" xfId="1" applyBorder="1" applyAlignment="1">
      <alignment horizontal="center" vertical="center" wrapText="1"/>
    </xf>
    <xf numFmtId="1" fontId="1" fillId="0" borderId="44" xfId="1" applyNumberFormat="1" applyBorder="1" applyAlignment="1">
      <alignment horizontal="center" vertical="center" wrapText="1"/>
    </xf>
    <xf numFmtId="0" fontId="1" fillId="5" borderId="29" xfId="1" applyFill="1" applyBorder="1" applyAlignment="1">
      <alignment wrapText="1"/>
    </xf>
    <xf numFmtId="0" fontId="1" fillId="5" borderId="15" xfId="1" applyFill="1" applyBorder="1" applyAlignment="1">
      <alignment wrapText="1"/>
    </xf>
    <xf numFmtId="0" fontId="1" fillId="3" borderId="40" xfId="1" applyFill="1" applyBorder="1" applyAlignment="1">
      <alignment vertical="center" wrapText="1"/>
    </xf>
    <xf numFmtId="0" fontId="1" fillId="3" borderId="44" xfId="1" applyFill="1" applyBorder="1" applyAlignment="1">
      <alignment vertical="center" wrapText="1"/>
    </xf>
    <xf numFmtId="164" fontId="1" fillId="0" borderId="0" xfId="1" applyNumberFormat="1" applyAlignment="1">
      <alignment horizontal="left" vertical="top" wrapText="1"/>
    </xf>
    <xf numFmtId="49" fontId="1" fillId="0" borderId="0" xfId="1" applyNumberFormat="1" applyAlignment="1">
      <alignment horizontal="center" vertical="top" wrapText="1"/>
    </xf>
    <xf numFmtId="1" fontId="1" fillId="0" borderId="0" xfId="1" applyNumberFormat="1" applyAlignment="1">
      <alignment horizontal="left" vertical="top" wrapText="1"/>
    </xf>
    <xf numFmtId="14" fontId="1" fillId="0" borderId="0" xfId="1" applyNumberFormat="1" applyAlignment="1">
      <alignment horizontal="left" vertical="top" wrapText="1"/>
    </xf>
    <xf numFmtId="1" fontId="1" fillId="0" borderId="0" xfId="1" applyNumberFormat="1" applyAlignment="1">
      <alignment horizontal="right" vertical="top" wrapText="1"/>
    </xf>
    <xf numFmtId="0" fontId="15" fillId="0" borderId="0" xfId="2"/>
    <xf numFmtId="0" fontId="1" fillId="0" borderId="48" xfId="2" applyFont="1" applyBorder="1" applyAlignment="1">
      <alignment horizontal="left" vertical="top" wrapText="1"/>
    </xf>
    <xf numFmtId="0" fontId="1" fillId="0" borderId="49" xfId="2" applyFont="1" applyBorder="1" applyAlignment="1">
      <alignment horizontal="left" vertical="top" wrapText="1"/>
    </xf>
    <xf numFmtId="0" fontId="1" fillId="0" borderId="50" xfId="2" applyFont="1" applyBorder="1" applyAlignment="1">
      <alignment horizontal="left" vertical="top" wrapText="1"/>
    </xf>
    <xf numFmtId="16" fontId="1" fillId="5" borderId="48" xfId="2" applyNumberFormat="1" applyFont="1" applyFill="1" applyBorder="1" applyAlignment="1">
      <alignment horizontal="left" vertical="top" wrapText="1"/>
    </xf>
    <xf numFmtId="0" fontId="1" fillId="0" borderId="7" xfId="2" applyFont="1" applyBorder="1" applyAlignment="1">
      <alignment horizontal="left" vertical="top" wrapText="1"/>
    </xf>
    <xf numFmtId="0" fontId="3" fillId="0" borderId="7" xfId="2" applyFont="1" applyBorder="1" applyAlignment="1">
      <alignment horizontal="left" vertical="top" wrapText="1"/>
    </xf>
    <xf numFmtId="0" fontId="15" fillId="0" borderId="44" xfId="2" applyBorder="1" applyAlignment="1">
      <alignment horizontal="left" vertical="top" wrapText="1"/>
    </xf>
    <xf numFmtId="0" fontId="15" fillId="0" borderId="49" xfId="2" applyBorder="1" applyAlignment="1">
      <alignment horizontal="left" vertical="top" wrapText="1"/>
    </xf>
    <xf numFmtId="49" fontId="15" fillId="0" borderId="21" xfId="2" applyNumberFormat="1" applyBorder="1" applyAlignment="1">
      <alignment horizontal="left" vertical="top" wrapText="1"/>
    </xf>
    <xf numFmtId="0" fontId="15" fillId="0" borderId="21" xfId="2" applyBorder="1" applyAlignment="1">
      <alignment horizontal="left" vertical="top" wrapText="1"/>
    </xf>
    <xf numFmtId="0" fontId="15" fillId="5" borderId="38" xfId="2" applyFill="1" applyBorder="1" applyAlignment="1">
      <alignment horizontal="left" vertical="top" wrapText="1"/>
    </xf>
    <xf numFmtId="49" fontId="3" fillId="5" borderId="54" xfId="2" applyNumberFormat="1" applyFont="1" applyFill="1" applyBorder="1" applyAlignment="1">
      <alignment horizontal="left" vertical="top" wrapText="1"/>
    </xf>
    <xf numFmtId="16" fontId="15" fillId="5" borderId="11" xfId="2" applyNumberFormat="1" applyFill="1" applyBorder="1" applyAlignment="1">
      <alignment horizontal="left" vertical="top" wrapText="1"/>
    </xf>
    <xf numFmtId="49" fontId="3" fillId="5" borderId="55" xfId="2" applyNumberFormat="1" applyFont="1" applyFill="1" applyBorder="1" applyAlignment="1">
      <alignment horizontal="left" vertical="top" wrapText="1"/>
    </xf>
    <xf numFmtId="16" fontId="15" fillId="5" borderId="44" xfId="2" applyNumberFormat="1" applyFill="1" applyBorder="1" applyAlignment="1">
      <alignment horizontal="left" vertical="top" wrapText="1"/>
    </xf>
    <xf numFmtId="49" fontId="15" fillId="0" borderId="0" xfId="2" applyNumberFormat="1" applyAlignment="1">
      <alignment horizontal="left" vertical="top" wrapText="1"/>
    </xf>
    <xf numFmtId="0" fontId="15" fillId="0" borderId="0" xfId="2" applyAlignment="1">
      <alignment horizontal="left" vertical="top" wrapText="1"/>
    </xf>
    <xf numFmtId="49" fontId="15" fillId="0" borderId="1" xfId="2" applyNumberFormat="1" applyBorder="1" applyAlignment="1">
      <alignment horizontal="left" vertical="top" wrapText="1"/>
    </xf>
    <xf numFmtId="0" fontId="15" fillId="0" borderId="2" xfId="2" applyBorder="1" applyAlignment="1">
      <alignment horizontal="left" vertical="top" wrapText="1"/>
    </xf>
    <xf numFmtId="0" fontId="3" fillId="4" borderId="43" xfId="2" applyFont="1" applyFill="1" applyBorder="1" applyAlignment="1">
      <alignment horizontal="left" vertical="top" wrapText="1"/>
    </xf>
    <xf numFmtId="0" fontId="3" fillId="4" borderId="6" xfId="2" applyFont="1" applyFill="1" applyBorder="1" applyAlignment="1">
      <alignment horizontal="left" vertical="top" wrapText="1"/>
    </xf>
    <xf numFmtId="0" fontId="3" fillId="4" borderId="38" xfId="2" applyFont="1" applyFill="1" applyBorder="1" applyAlignment="1">
      <alignment horizontal="left" vertical="top" wrapText="1"/>
    </xf>
    <xf numFmtId="49" fontId="1" fillId="4" borderId="32" xfId="2" applyNumberFormat="1" applyFont="1" applyFill="1" applyBorder="1" applyAlignment="1">
      <alignment horizontal="left" vertical="top" wrapText="1"/>
    </xf>
    <xf numFmtId="14" fontId="1" fillId="4" borderId="33" xfId="2" applyNumberFormat="1" applyFont="1" applyFill="1" applyBorder="1" applyAlignment="1">
      <alignment horizontal="left" vertical="top" wrapText="1"/>
    </xf>
    <xf numFmtId="0" fontId="1" fillId="4" borderId="33" xfId="2" applyFont="1" applyFill="1" applyBorder="1" applyAlignment="1">
      <alignment horizontal="left" vertical="top" wrapText="1"/>
    </xf>
    <xf numFmtId="0" fontId="15" fillId="4" borderId="11" xfId="2" applyFill="1" applyBorder="1" applyAlignment="1">
      <alignment horizontal="left" vertical="top" wrapText="1"/>
    </xf>
    <xf numFmtId="49" fontId="1" fillId="0" borderId="32" xfId="2" applyNumberFormat="1" applyFont="1" applyBorder="1" applyAlignment="1">
      <alignment horizontal="left" vertical="top" wrapText="1"/>
    </xf>
    <xf numFmtId="14" fontId="1" fillId="0" borderId="33" xfId="2" applyNumberFormat="1" applyFont="1" applyBorder="1" applyAlignment="1">
      <alignment horizontal="left" vertical="top" wrapText="1"/>
    </xf>
    <xf numFmtId="0" fontId="1" fillId="0" borderId="33" xfId="2" applyFont="1" applyBorder="1" applyAlignment="1">
      <alignment horizontal="left" vertical="top" wrapText="1"/>
    </xf>
    <xf numFmtId="0" fontId="3" fillId="0" borderId="11" xfId="2" applyFont="1" applyBorder="1" applyAlignment="1">
      <alignment horizontal="left" vertical="top" wrapText="1"/>
    </xf>
    <xf numFmtId="0" fontId="1" fillId="0" borderId="11" xfId="2" applyFont="1" applyBorder="1" applyAlignment="1">
      <alignment horizontal="left" vertical="top" wrapText="1"/>
    </xf>
    <xf numFmtId="0" fontId="1" fillId="0" borderId="35" xfId="1" applyBorder="1" applyAlignment="1">
      <alignment vertical="top" wrapText="1"/>
    </xf>
    <xf numFmtId="0" fontId="5" fillId="0" borderId="31" xfId="1" applyFont="1" applyBorder="1" applyAlignment="1">
      <alignment horizontal="left" vertical="top" wrapText="1"/>
    </xf>
    <xf numFmtId="0" fontId="5" fillId="0" borderId="4" xfId="1" applyFont="1" applyBorder="1" applyAlignment="1">
      <alignment horizontal="left" vertical="top" wrapText="1"/>
    </xf>
    <xf numFmtId="0" fontId="1" fillId="0" borderId="33" xfId="1" applyBorder="1" applyAlignment="1">
      <alignment horizontal="left" vertical="top" wrapText="1"/>
    </xf>
    <xf numFmtId="0" fontId="1" fillId="5" borderId="8" xfId="1" applyFill="1" applyBorder="1" applyAlignment="1">
      <alignment horizontal="center" vertical="top" wrapText="1"/>
    </xf>
    <xf numFmtId="1" fontId="1" fillId="0" borderId="33" xfId="1" applyNumberFormat="1" applyBorder="1" applyAlignment="1">
      <alignment vertical="top" wrapText="1"/>
    </xf>
    <xf numFmtId="165" fontId="1" fillId="0" borderId="33" xfId="1" applyNumberFormat="1" applyBorder="1" applyAlignment="1">
      <alignment vertical="top" wrapText="1"/>
    </xf>
    <xf numFmtId="49" fontId="1" fillId="0" borderId="33" xfId="1" applyNumberFormat="1" applyBorder="1" applyAlignment="1">
      <alignment vertical="top" wrapText="1"/>
    </xf>
    <xf numFmtId="0" fontId="14" fillId="0" borderId="33" xfId="1" applyFont="1" applyBorder="1" applyAlignment="1">
      <alignment vertical="top" wrapText="1"/>
    </xf>
    <xf numFmtId="1" fontId="1" fillId="0" borderId="0" xfId="1" applyNumberFormat="1" applyAlignment="1">
      <alignment vertical="top" wrapText="1"/>
    </xf>
    <xf numFmtId="0" fontId="0" fillId="0" borderId="0" xfId="0" applyAlignment="1">
      <alignment vertical="top" wrapText="1"/>
    </xf>
    <xf numFmtId="165" fontId="1" fillId="0" borderId="0" xfId="1" applyNumberFormat="1" applyAlignment="1">
      <alignment vertical="top" wrapText="1"/>
    </xf>
    <xf numFmtId="49" fontId="1" fillId="0" borderId="0" xfId="1" applyNumberFormat="1" applyAlignment="1">
      <alignment vertical="top" wrapText="1"/>
    </xf>
    <xf numFmtId="0" fontId="1" fillId="0" borderId="12" xfId="1" applyBorder="1" applyAlignment="1">
      <alignment horizontal="left" vertical="top" wrapText="1"/>
    </xf>
    <xf numFmtId="0" fontId="0" fillId="0" borderId="34" xfId="0" applyBorder="1"/>
    <xf numFmtId="0" fontId="5" fillId="0" borderId="30" xfId="1" applyFont="1" applyBorder="1" applyAlignment="1">
      <alignment horizontal="left" vertical="top" wrapText="1"/>
    </xf>
    <xf numFmtId="0" fontId="0" fillId="0" borderId="41" xfId="0" applyBorder="1"/>
    <xf numFmtId="0" fontId="1" fillId="0" borderId="32" xfId="1" applyBorder="1" applyAlignment="1">
      <alignment horizontal="left" vertical="top" wrapText="1"/>
    </xf>
    <xf numFmtId="0" fontId="0" fillId="0" borderId="10" xfId="0" applyBorder="1"/>
    <xf numFmtId="0" fontId="8" fillId="3" borderId="56" xfId="1" applyFont="1" applyFill="1" applyBorder="1" applyAlignment="1">
      <alignment horizontal="left" vertical="center" wrapText="1"/>
    </xf>
    <xf numFmtId="0" fontId="0" fillId="0" borderId="5" xfId="0" applyBorder="1"/>
    <xf numFmtId="0" fontId="1" fillId="0" borderId="11" xfId="1" applyBorder="1" applyAlignment="1">
      <alignment vertical="top" wrapText="1"/>
    </xf>
    <xf numFmtId="0" fontId="0" fillId="0" borderId="35" xfId="0" applyBorder="1"/>
    <xf numFmtId="0" fontId="3" fillId="0" borderId="39" xfId="1" applyFont="1" applyBorder="1" applyAlignment="1">
      <alignment horizontal="left" vertical="top" wrapText="1"/>
    </xf>
    <xf numFmtId="0" fontId="0" fillId="0" borderId="45" xfId="0" applyBorder="1"/>
    <xf numFmtId="0" fontId="6" fillId="0" borderId="58" xfId="1" applyFont="1" applyBorder="1" applyAlignment="1">
      <alignment horizontal="center" vertical="center" wrapText="1"/>
    </xf>
    <xf numFmtId="0" fontId="0" fillId="0" borderId="19" xfId="0" applyBorder="1"/>
    <xf numFmtId="0" fontId="0" fillId="0" borderId="20" xfId="0" applyBorder="1"/>
    <xf numFmtId="0" fontId="3" fillId="0" borderId="32" xfId="1" applyFont="1" applyBorder="1" applyAlignment="1">
      <alignment horizontal="left" vertical="top" wrapText="1"/>
    </xf>
    <xf numFmtId="0" fontId="1" fillId="0" borderId="17" xfId="1" applyBorder="1" applyAlignment="1">
      <alignment horizontal="center" vertical="center" wrapText="1"/>
    </xf>
    <xf numFmtId="0" fontId="0" fillId="0" borderId="16" xfId="0" applyBorder="1"/>
    <xf numFmtId="0" fontId="0" fillId="0" borderId="17" xfId="0" applyBorder="1"/>
    <xf numFmtId="0" fontId="1" fillId="5" borderId="11" xfId="1" applyFill="1" applyBorder="1" applyAlignment="1">
      <alignment horizontal="left" vertical="top" wrapText="1"/>
    </xf>
    <xf numFmtId="0" fontId="0" fillId="0" borderId="24" xfId="0" applyBorder="1"/>
    <xf numFmtId="0" fontId="0" fillId="0" borderId="25" xfId="0" applyBorder="1"/>
    <xf numFmtId="0" fontId="0" fillId="0" borderId="26" xfId="0" applyBorder="1"/>
    <xf numFmtId="0" fontId="0" fillId="0" borderId="27" xfId="0" applyBorder="1"/>
    <xf numFmtId="0" fontId="0" fillId="0" borderId="28" xfId="0" applyBorder="1"/>
    <xf numFmtId="0" fontId="3" fillId="4" borderId="58" xfId="1" applyFont="1" applyFill="1" applyBorder="1" applyAlignment="1">
      <alignment horizontal="left" vertical="top" wrapText="1"/>
    </xf>
    <xf numFmtId="0" fontId="1" fillId="2" borderId="57" xfId="1" applyFill="1" applyBorder="1" applyAlignment="1">
      <alignment horizontal="center" wrapText="1"/>
    </xf>
    <xf numFmtId="0" fontId="0" fillId="0" borderId="9" xfId="0" applyBorder="1"/>
    <xf numFmtId="0" fontId="1" fillId="5" borderId="46" xfId="1" applyFill="1" applyBorder="1" applyAlignment="1">
      <alignment horizontal="left" vertical="top" wrapText="1"/>
    </xf>
    <xf numFmtId="0" fontId="0" fillId="0" borderId="21" xfId="0" applyBorder="1"/>
    <xf numFmtId="0" fontId="0" fillId="0" borderId="2" xfId="0" applyBorder="1"/>
    <xf numFmtId="0" fontId="5" fillId="0" borderId="26" xfId="1" applyFont="1" applyBorder="1" applyAlignment="1">
      <alignment horizontal="left" vertical="top" wrapText="1"/>
    </xf>
    <xf numFmtId="0" fontId="1" fillId="5" borderId="47" xfId="1" applyFill="1" applyBorder="1" applyAlignment="1">
      <alignment horizontal="left" vertical="top" wrapText="1"/>
    </xf>
    <xf numFmtId="0" fontId="1" fillId="0" borderId="0" xfId="1" applyAlignment="1">
      <alignment horizontal="left" vertical="top"/>
    </xf>
    <xf numFmtId="0" fontId="0" fillId="0" borderId="8" xfId="0" applyBorder="1"/>
    <xf numFmtId="0" fontId="0" fillId="0" borderId="14" xfId="0" applyBorder="1"/>
    <xf numFmtId="0" fontId="0" fillId="0" borderId="29" xfId="0" applyBorder="1"/>
    <xf numFmtId="0" fontId="0" fillId="0" borderId="15" xfId="0" applyBorder="1"/>
    <xf numFmtId="0" fontId="1" fillId="5" borderId="59" xfId="1" applyFill="1" applyBorder="1" applyAlignment="1">
      <alignment horizontal="center" vertical="top" wrapText="1"/>
    </xf>
    <xf numFmtId="0" fontId="0" fillId="0" borderId="22" xfId="0" applyBorder="1"/>
    <xf numFmtId="0" fontId="1" fillId="0" borderId="36" xfId="1" applyBorder="1" applyAlignment="1">
      <alignment horizontal="left" vertical="top" wrapText="1"/>
    </xf>
    <xf numFmtId="0" fontId="0" fillId="0" borderId="3" xfId="0" applyBorder="1"/>
    <xf numFmtId="0" fontId="5" fillId="0" borderId="7" xfId="1" applyFont="1" applyBorder="1" applyAlignment="1">
      <alignment horizontal="left" vertical="top" wrapText="1"/>
    </xf>
    <xf numFmtId="0" fontId="0" fillId="0" borderId="38" xfId="0" applyBorder="1"/>
    <xf numFmtId="0" fontId="1" fillId="0" borderId="23" xfId="1" applyBorder="1" applyAlignment="1">
      <alignment horizontal="left" vertical="top" wrapText="1"/>
    </xf>
    <xf numFmtId="0" fontId="2" fillId="2" borderId="46" xfId="1" applyFont="1" applyFill="1" applyBorder="1" applyAlignment="1">
      <alignment horizontal="center" vertical="center" wrapText="1"/>
    </xf>
    <xf numFmtId="1" fontId="3" fillId="6" borderId="58" xfId="1" applyNumberFormat="1" applyFont="1" applyFill="1" applyBorder="1" applyAlignment="1">
      <alignment horizontal="left" vertical="top" wrapText="1"/>
    </xf>
    <xf numFmtId="0" fontId="0" fillId="0" borderId="47" xfId="0" applyBorder="1"/>
    <xf numFmtId="0" fontId="3" fillId="6" borderId="58" xfId="1" applyFont="1" applyFill="1" applyBorder="1" applyAlignment="1">
      <alignment horizontal="left" vertical="top" wrapText="1"/>
    </xf>
    <xf numFmtId="0" fontId="1" fillId="3" borderId="32" xfId="1" applyFill="1" applyBorder="1" applyAlignment="1">
      <alignment horizontal="left" vertical="center" wrapText="1"/>
    </xf>
    <xf numFmtId="1" fontId="3" fillId="7" borderId="58" xfId="1" applyNumberFormat="1" applyFont="1" applyFill="1" applyBorder="1" applyAlignment="1">
      <alignment horizontal="left" vertical="top" wrapText="1"/>
    </xf>
    <xf numFmtId="0" fontId="3" fillId="2" borderId="58" xfId="1" applyFont="1" applyFill="1" applyBorder="1" applyAlignment="1">
      <alignment horizontal="left" vertical="top" wrapText="1"/>
    </xf>
    <xf numFmtId="0" fontId="1" fillId="3" borderId="30" xfId="1" applyFill="1" applyBorder="1" applyAlignment="1">
      <alignment horizontal="left" vertical="center" wrapText="1"/>
    </xf>
    <xf numFmtId="0" fontId="1" fillId="3" borderId="31" xfId="1" applyFill="1" applyBorder="1" applyAlignment="1">
      <alignment horizontal="left" vertical="center" wrapText="1"/>
    </xf>
    <xf numFmtId="0" fontId="11" fillId="0" borderId="46" xfId="1" applyFont="1" applyBorder="1" applyAlignment="1">
      <alignment horizontal="center" vertical="center" wrapText="1"/>
    </xf>
    <xf numFmtId="1" fontId="14" fillId="7" borderId="58" xfId="1" applyNumberFormat="1" applyFont="1" applyFill="1" applyBorder="1" applyAlignment="1">
      <alignment horizontal="left" vertical="top" wrapText="1"/>
    </xf>
    <xf numFmtId="0" fontId="1" fillId="3" borderId="39" xfId="1" applyFill="1" applyBorder="1" applyAlignment="1">
      <alignment horizontal="left" vertical="center" wrapText="1"/>
    </xf>
    <xf numFmtId="0" fontId="9" fillId="2" borderId="58" xfId="1" applyFont="1" applyFill="1" applyBorder="1" applyAlignment="1">
      <alignment horizontal="left" vertical="top" wrapText="1"/>
    </xf>
    <xf numFmtId="0" fontId="1" fillId="3" borderId="40" xfId="1" applyFill="1" applyBorder="1" applyAlignment="1">
      <alignment horizontal="left" vertical="center" wrapText="1"/>
    </xf>
    <xf numFmtId="0" fontId="1" fillId="3" borderId="33" xfId="1" applyFill="1" applyBorder="1" applyAlignment="1">
      <alignment horizontal="left" vertical="center" wrapText="1"/>
    </xf>
    <xf numFmtId="0" fontId="12" fillId="5" borderId="46" xfId="1" applyFont="1" applyFill="1" applyBorder="1" applyAlignment="1">
      <alignment horizontal="center" vertical="top" wrapText="1"/>
    </xf>
    <xf numFmtId="49" fontId="3" fillId="0" borderId="8" xfId="2" applyNumberFormat="1" applyFont="1" applyBorder="1" applyAlignment="1">
      <alignment horizontal="left" vertical="top" wrapText="1"/>
    </xf>
    <xf numFmtId="0" fontId="15" fillId="0" borderId="0" xfId="2"/>
    <xf numFmtId="49" fontId="3" fillId="0" borderId="60" xfId="2" applyNumberFormat="1" applyFont="1" applyBorder="1" applyAlignment="1">
      <alignment vertical="top" wrapText="1"/>
    </xf>
    <xf numFmtId="0" fontId="0" fillId="0" borderId="51" xfId="0" applyBorder="1"/>
    <xf numFmtId="49" fontId="3" fillId="0" borderId="18" xfId="2" applyNumberFormat="1" applyFont="1" applyBorder="1" applyAlignment="1">
      <alignment horizontal="left" vertical="top" wrapText="1"/>
    </xf>
    <xf numFmtId="0" fontId="3" fillId="0" borderId="18" xfId="2" applyFont="1" applyBorder="1" applyAlignment="1">
      <alignment horizontal="left" vertical="top" wrapText="1"/>
    </xf>
    <xf numFmtId="49" fontId="3" fillId="5" borderId="45" xfId="2" applyNumberFormat="1" applyFont="1" applyFill="1" applyBorder="1" applyAlignment="1">
      <alignment horizontal="left" vertical="top" wrapText="1"/>
    </xf>
    <xf numFmtId="49" fontId="3" fillId="5" borderId="10" xfId="2" applyNumberFormat="1" applyFont="1" applyFill="1" applyBorder="1" applyAlignment="1">
      <alignment horizontal="left" vertical="top" wrapText="1"/>
    </xf>
    <xf numFmtId="49" fontId="3" fillId="0" borderId="14" xfId="2" applyNumberFormat="1" applyFont="1" applyBorder="1" applyAlignment="1">
      <alignment horizontal="left" vertical="top" wrapText="1"/>
    </xf>
    <xf numFmtId="49" fontId="3" fillId="5" borderId="52" xfId="2" applyNumberFormat="1" applyFont="1" applyFill="1" applyBorder="1" applyAlignment="1">
      <alignment horizontal="left" vertical="top" wrapText="1"/>
    </xf>
    <xf numFmtId="0" fontId="0" fillId="0" borderId="53" xfId="0" applyBorder="1"/>
    <xf numFmtId="49" fontId="16" fillId="2" borderId="58" xfId="2" applyNumberFormat="1" applyFont="1" applyFill="1" applyBorder="1" applyAlignment="1">
      <alignment horizontal="left" vertical="top" wrapText="1"/>
    </xf>
    <xf numFmtId="49" fontId="3" fillId="0" borderId="18" xfId="2" applyNumberFormat="1" applyFont="1" applyBorder="1" applyAlignment="1">
      <alignment vertical="top" wrapText="1"/>
    </xf>
    <xf numFmtId="49" fontId="3" fillId="5" borderId="18" xfId="2" applyNumberFormat="1" applyFont="1" applyFill="1" applyBorder="1" applyAlignment="1">
      <alignment horizontal="left" vertical="top" wrapText="1"/>
    </xf>
  </cellXfs>
  <cellStyles count="3">
    <cellStyle name="Normal" xfId="0" builtinId="0"/>
    <cellStyle name="Standard 2" xfId="1" xr:uid="{00000000-0005-0000-0000-000001000000}"/>
    <cellStyle name="Standard 3" xfId="2" xr:uid="{00000000-0005-0000-0000-000002000000}"/>
  </cellStyles>
  <dxfs count="2">
    <dxf>
      <fill>
        <patternFill>
          <bgColor indexed="53"/>
        </patternFill>
      </fill>
    </dxf>
    <dxf>
      <fill>
        <patternFill>
          <bgColor indexed="5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sites.inside-share.bosch.com/sites/079245/Documents/20_MI_Projects/10_Templates/20_Integration/P25_AS_IS_Package/Risk_analysis_MA_Template_EN.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Analysis of project risks"/>
      <sheetName val="Information &amp; template history"/>
      <sheetName val="Tabelle2"/>
    </sheetNames>
    <sheetDataSet>
      <sheetData sheetId="0">
        <row r="1">
          <cell r="C1" t="str">
            <v>Inquired Unit / Company Name/Branches</v>
          </cell>
        </row>
      </sheetData>
      <sheetData sheetId="1"/>
      <sheetData sheetId="2"/>
      <sheetData sheetId="3"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1">
    <pageSetUpPr fitToPage="1"/>
  </sheetPr>
  <dimension ref="A1:P47"/>
  <sheetViews>
    <sheetView tabSelected="1" zoomScale="90" zoomScaleNormal="90" workbookViewId="0">
      <selection activeCell="D2" sqref="D2:E2"/>
    </sheetView>
  </sheetViews>
  <sheetFormatPr defaultColWidth="11.44140625" defaultRowHeight="13.2" x14ac:dyDescent="0.3"/>
  <cols>
    <col min="1" max="1" width="2.33203125" style="4" customWidth="1"/>
    <col min="2" max="2" width="26.109375" style="4" customWidth="1"/>
    <col min="3" max="3" width="31.33203125" style="4" customWidth="1"/>
    <col min="4" max="4" width="15.6640625" style="4" customWidth="1"/>
    <col min="5" max="5" width="14.6640625" style="4" customWidth="1"/>
    <col min="6" max="6" width="25.88671875" style="4" customWidth="1"/>
    <col min="7" max="7" width="25.5546875" style="4" customWidth="1"/>
    <col min="8" max="8" width="18.109375" style="4" customWidth="1"/>
    <col min="9" max="9" width="22.5546875" style="4" customWidth="1"/>
    <col min="10" max="256" width="11.44140625" style="4" customWidth="1"/>
    <col min="257" max="257" width="2.33203125" style="4" customWidth="1"/>
    <col min="258" max="258" width="26.109375" style="4" customWidth="1"/>
    <col min="259" max="259" width="31.33203125" style="4" customWidth="1"/>
    <col min="260" max="260" width="15.6640625" style="4" customWidth="1"/>
    <col min="261" max="261" width="14.6640625" style="4" customWidth="1"/>
    <col min="262" max="262" width="25.88671875" style="4" customWidth="1"/>
    <col min="263" max="263" width="25.5546875" style="4" customWidth="1"/>
    <col min="264" max="264" width="18.109375" style="4" customWidth="1"/>
    <col min="265" max="265" width="22.5546875" style="4" customWidth="1"/>
    <col min="266" max="512" width="11.44140625" style="4" customWidth="1"/>
    <col min="513" max="513" width="2.33203125" style="4" customWidth="1"/>
    <col min="514" max="514" width="26.109375" style="4" customWidth="1"/>
    <col min="515" max="515" width="31.33203125" style="4" customWidth="1"/>
    <col min="516" max="516" width="15.6640625" style="4" customWidth="1"/>
    <col min="517" max="517" width="14.6640625" style="4" customWidth="1"/>
    <col min="518" max="518" width="25.88671875" style="4" customWidth="1"/>
    <col min="519" max="519" width="25.5546875" style="4" customWidth="1"/>
    <col min="520" max="520" width="18.109375" style="4" customWidth="1"/>
    <col min="521" max="521" width="22.5546875" style="4" customWidth="1"/>
    <col min="522" max="768" width="11.44140625" style="4" customWidth="1"/>
    <col min="769" max="769" width="2.33203125" style="4" customWidth="1"/>
    <col min="770" max="770" width="26.109375" style="4" customWidth="1"/>
    <col min="771" max="771" width="31.33203125" style="4" customWidth="1"/>
    <col min="772" max="772" width="15.6640625" style="4" customWidth="1"/>
    <col min="773" max="773" width="14.6640625" style="4" customWidth="1"/>
    <col min="774" max="774" width="25.88671875" style="4" customWidth="1"/>
    <col min="775" max="775" width="25.5546875" style="4" customWidth="1"/>
    <col min="776" max="776" width="18.109375" style="4" customWidth="1"/>
    <col min="777" max="777" width="22.5546875" style="4" customWidth="1"/>
    <col min="778" max="1024" width="11.44140625" style="4" customWidth="1"/>
    <col min="1025" max="1025" width="2.33203125" style="4" customWidth="1"/>
    <col min="1026" max="1026" width="26.109375" style="4" customWidth="1"/>
    <col min="1027" max="1027" width="31.33203125" style="4" customWidth="1"/>
    <col min="1028" max="1028" width="15.6640625" style="4" customWidth="1"/>
    <col min="1029" max="1029" width="14.6640625" style="4" customWidth="1"/>
    <col min="1030" max="1030" width="25.88671875" style="4" customWidth="1"/>
    <col min="1031" max="1031" width="25.5546875" style="4" customWidth="1"/>
    <col min="1032" max="1032" width="18.109375" style="4" customWidth="1"/>
    <col min="1033" max="1033" width="22.5546875" style="4" customWidth="1"/>
    <col min="1034" max="1280" width="11.44140625" style="4" customWidth="1"/>
    <col min="1281" max="1281" width="2.33203125" style="4" customWidth="1"/>
    <col min="1282" max="1282" width="26.109375" style="4" customWidth="1"/>
    <col min="1283" max="1283" width="31.33203125" style="4" customWidth="1"/>
    <col min="1284" max="1284" width="15.6640625" style="4" customWidth="1"/>
    <col min="1285" max="1285" width="14.6640625" style="4" customWidth="1"/>
    <col min="1286" max="1286" width="25.88671875" style="4" customWidth="1"/>
    <col min="1287" max="1287" width="25.5546875" style="4" customWidth="1"/>
    <col min="1288" max="1288" width="18.109375" style="4" customWidth="1"/>
    <col min="1289" max="1289" width="22.5546875" style="4" customWidth="1"/>
    <col min="1290" max="1536" width="11.44140625" style="4" customWidth="1"/>
    <col min="1537" max="1537" width="2.33203125" style="4" customWidth="1"/>
    <col min="1538" max="1538" width="26.109375" style="4" customWidth="1"/>
    <col min="1539" max="1539" width="31.33203125" style="4" customWidth="1"/>
    <col min="1540" max="1540" width="15.6640625" style="4" customWidth="1"/>
    <col min="1541" max="1541" width="14.6640625" style="4" customWidth="1"/>
    <col min="1542" max="1542" width="25.88671875" style="4" customWidth="1"/>
    <col min="1543" max="1543" width="25.5546875" style="4" customWidth="1"/>
    <col min="1544" max="1544" width="18.109375" style="4" customWidth="1"/>
    <col min="1545" max="1545" width="22.5546875" style="4" customWidth="1"/>
    <col min="1546" max="1792" width="11.44140625" style="4" customWidth="1"/>
    <col min="1793" max="1793" width="2.33203125" style="4" customWidth="1"/>
    <col min="1794" max="1794" width="26.109375" style="4" customWidth="1"/>
    <col min="1795" max="1795" width="31.33203125" style="4" customWidth="1"/>
    <col min="1796" max="1796" width="15.6640625" style="4" customWidth="1"/>
    <col min="1797" max="1797" width="14.6640625" style="4" customWidth="1"/>
    <col min="1798" max="1798" width="25.88671875" style="4" customWidth="1"/>
    <col min="1799" max="1799" width="25.5546875" style="4" customWidth="1"/>
    <col min="1800" max="1800" width="18.109375" style="4" customWidth="1"/>
    <col min="1801" max="1801" width="22.5546875" style="4" customWidth="1"/>
    <col min="1802" max="2048" width="11.44140625" style="4" customWidth="1"/>
    <col min="2049" max="2049" width="2.33203125" style="4" customWidth="1"/>
    <col min="2050" max="2050" width="26.109375" style="4" customWidth="1"/>
    <col min="2051" max="2051" width="31.33203125" style="4" customWidth="1"/>
    <col min="2052" max="2052" width="15.6640625" style="4" customWidth="1"/>
    <col min="2053" max="2053" width="14.6640625" style="4" customWidth="1"/>
    <col min="2054" max="2054" width="25.88671875" style="4" customWidth="1"/>
    <col min="2055" max="2055" width="25.5546875" style="4" customWidth="1"/>
    <col min="2056" max="2056" width="18.109375" style="4" customWidth="1"/>
    <col min="2057" max="2057" width="22.5546875" style="4" customWidth="1"/>
    <col min="2058" max="2304" width="11.44140625" style="4" customWidth="1"/>
    <col min="2305" max="2305" width="2.33203125" style="4" customWidth="1"/>
    <col min="2306" max="2306" width="26.109375" style="4" customWidth="1"/>
    <col min="2307" max="2307" width="31.33203125" style="4" customWidth="1"/>
    <col min="2308" max="2308" width="15.6640625" style="4" customWidth="1"/>
    <col min="2309" max="2309" width="14.6640625" style="4" customWidth="1"/>
    <col min="2310" max="2310" width="25.88671875" style="4" customWidth="1"/>
    <col min="2311" max="2311" width="25.5546875" style="4" customWidth="1"/>
    <col min="2312" max="2312" width="18.109375" style="4" customWidth="1"/>
    <col min="2313" max="2313" width="22.5546875" style="4" customWidth="1"/>
    <col min="2314" max="2560" width="11.44140625" style="4" customWidth="1"/>
    <col min="2561" max="2561" width="2.33203125" style="4" customWidth="1"/>
    <col min="2562" max="2562" width="26.109375" style="4" customWidth="1"/>
    <col min="2563" max="2563" width="31.33203125" style="4" customWidth="1"/>
    <col min="2564" max="2564" width="15.6640625" style="4" customWidth="1"/>
    <col min="2565" max="2565" width="14.6640625" style="4" customWidth="1"/>
    <col min="2566" max="2566" width="25.88671875" style="4" customWidth="1"/>
    <col min="2567" max="2567" width="25.5546875" style="4" customWidth="1"/>
    <col min="2568" max="2568" width="18.109375" style="4" customWidth="1"/>
    <col min="2569" max="2569" width="22.5546875" style="4" customWidth="1"/>
    <col min="2570" max="2816" width="11.44140625" style="4" customWidth="1"/>
    <col min="2817" max="2817" width="2.33203125" style="4" customWidth="1"/>
    <col min="2818" max="2818" width="26.109375" style="4" customWidth="1"/>
    <col min="2819" max="2819" width="31.33203125" style="4" customWidth="1"/>
    <col min="2820" max="2820" width="15.6640625" style="4" customWidth="1"/>
    <col min="2821" max="2821" width="14.6640625" style="4" customWidth="1"/>
    <col min="2822" max="2822" width="25.88671875" style="4" customWidth="1"/>
    <col min="2823" max="2823" width="25.5546875" style="4" customWidth="1"/>
    <col min="2824" max="2824" width="18.109375" style="4" customWidth="1"/>
    <col min="2825" max="2825" width="22.5546875" style="4" customWidth="1"/>
    <col min="2826" max="3072" width="11.44140625" style="4" customWidth="1"/>
    <col min="3073" max="3073" width="2.33203125" style="4" customWidth="1"/>
    <col min="3074" max="3074" width="26.109375" style="4" customWidth="1"/>
    <col min="3075" max="3075" width="31.33203125" style="4" customWidth="1"/>
    <col min="3076" max="3076" width="15.6640625" style="4" customWidth="1"/>
    <col min="3077" max="3077" width="14.6640625" style="4" customWidth="1"/>
    <col min="3078" max="3078" width="25.88671875" style="4" customWidth="1"/>
    <col min="3079" max="3079" width="25.5546875" style="4" customWidth="1"/>
    <col min="3080" max="3080" width="18.109375" style="4" customWidth="1"/>
    <col min="3081" max="3081" width="22.5546875" style="4" customWidth="1"/>
    <col min="3082" max="3328" width="11.44140625" style="4" customWidth="1"/>
    <col min="3329" max="3329" width="2.33203125" style="4" customWidth="1"/>
    <col min="3330" max="3330" width="26.109375" style="4" customWidth="1"/>
    <col min="3331" max="3331" width="31.33203125" style="4" customWidth="1"/>
    <col min="3332" max="3332" width="15.6640625" style="4" customWidth="1"/>
    <col min="3333" max="3333" width="14.6640625" style="4" customWidth="1"/>
    <col min="3334" max="3334" width="25.88671875" style="4" customWidth="1"/>
    <col min="3335" max="3335" width="25.5546875" style="4" customWidth="1"/>
    <col min="3336" max="3336" width="18.109375" style="4" customWidth="1"/>
    <col min="3337" max="3337" width="22.5546875" style="4" customWidth="1"/>
    <col min="3338" max="3584" width="11.44140625" style="4" customWidth="1"/>
    <col min="3585" max="3585" width="2.33203125" style="4" customWidth="1"/>
    <col min="3586" max="3586" width="26.109375" style="4" customWidth="1"/>
    <col min="3587" max="3587" width="31.33203125" style="4" customWidth="1"/>
    <col min="3588" max="3588" width="15.6640625" style="4" customWidth="1"/>
    <col min="3589" max="3589" width="14.6640625" style="4" customWidth="1"/>
    <col min="3590" max="3590" width="25.88671875" style="4" customWidth="1"/>
    <col min="3591" max="3591" width="25.5546875" style="4" customWidth="1"/>
    <col min="3592" max="3592" width="18.109375" style="4" customWidth="1"/>
    <col min="3593" max="3593" width="22.5546875" style="4" customWidth="1"/>
    <col min="3594" max="3840" width="11.44140625" style="4" customWidth="1"/>
    <col min="3841" max="3841" width="2.33203125" style="4" customWidth="1"/>
    <col min="3842" max="3842" width="26.109375" style="4" customWidth="1"/>
    <col min="3843" max="3843" width="31.33203125" style="4" customWidth="1"/>
    <col min="3844" max="3844" width="15.6640625" style="4" customWidth="1"/>
    <col min="3845" max="3845" width="14.6640625" style="4" customWidth="1"/>
    <col min="3846" max="3846" width="25.88671875" style="4" customWidth="1"/>
    <col min="3847" max="3847" width="25.5546875" style="4" customWidth="1"/>
    <col min="3848" max="3848" width="18.109375" style="4" customWidth="1"/>
    <col min="3849" max="3849" width="22.5546875" style="4" customWidth="1"/>
    <col min="3850" max="4096" width="11.44140625" style="4" customWidth="1"/>
    <col min="4097" max="4097" width="2.33203125" style="4" customWidth="1"/>
    <col min="4098" max="4098" width="26.109375" style="4" customWidth="1"/>
    <col min="4099" max="4099" width="31.33203125" style="4" customWidth="1"/>
    <col min="4100" max="4100" width="15.6640625" style="4" customWidth="1"/>
    <col min="4101" max="4101" width="14.6640625" style="4" customWidth="1"/>
    <col min="4102" max="4102" width="25.88671875" style="4" customWidth="1"/>
    <col min="4103" max="4103" width="25.5546875" style="4" customWidth="1"/>
    <col min="4104" max="4104" width="18.109375" style="4" customWidth="1"/>
    <col min="4105" max="4105" width="22.5546875" style="4" customWidth="1"/>
    <col min="4106" max="4352" width="11.44140625" style="4" customWidth="1"/>
    <col min="4353" max="4353" width="2.33203125" style="4" customWidth="1"/>
    <col min="4354" max="4354" width="26.109375" style="4" customWidth="1"/>
    <col min="4355" max="4355" width="31.33203125" style="4" customWidth="1"/>
    <col min="4356" max="4356" width="15.6640625" style="4" customWidth="1"/>
    <col min="4357" max="4357" width="14.6640625" style="4" customWidth="1"/>
    <col min="4358" max="4358" width="25.88671875" style="4" customWidth="1"/>
    <col min="4359" max="4359" width="25.5546875" style="4" customWidth="1"/>
    <col min="4360" max="4360" width="18.109375" style="4" customWidth="1"/>
    <col min="4361" max="4361" width="22.5546875" style="4" customWidth="1"/>
    <col min="4362" max="4608" width="11.44140625" style="4" customWidth="1"/>
    <col min="4609" max="4609" width="2.33203125" style="4" customWidth="1"/>
    <col min="4610" max="4610" width="26.109375" style="4" customWidth="1"/>
    <col min="4611" max="4611" width="31.33203125" style="4" customWidth="1"/>
    <col min="4612" max="4612" width="15.6640625" style="4" customWidth="1"/>
    <col min="4613" max="4613" width="14.6640625" style="4" customWidth="1"/>
    <col min="4614" max="4614" width="25.88671875" style="4" customWidth="1"/>
    <col min="4615" max="4615" width="25.5546875" style="4" customWidth="1"/>
    <col min="4616" max="4616" width="18.109375" style="4" customWidth="1"/>
    <col min="4617" max="4617" width="22.5546875" style="4" customWidth="1"/>
    <col min="4618" max="4864" width="11.44140625" style="4" customWidth="1"/>
    <col min="4865" max="4865" width="2.33203125" style="4" customWidth="1"/>
    <col min="4866" max="4866" width="26.109375" style="4" customWidth="1"/>
    <col min="4867" max="4867" width="31.33203125" style="4" customWidth="1"/>
    <col min="4868" max="4868" width="15.6640625" style="4" customWidth="1"/>
    <col min="4869" max="4869" width="14.6640625" style="4" customWidth="1"/>
    <col min="4870" max="4870" width="25.88671875" style="4" customWidth="1"/>
    <col min="4871" max="4871" width="25.5546875" style="4" customWidth="1"/>
    <col min="4872" max="4872" width="18.109375" style="4" customWidth="1"/>
    <col min="4873" max="4873" width="22.5546875" style="4" customWidth="1"/>
    <col min="4874" max="5120" width="11.44140625" style="4" customWidth="1"/>
    <col min="5121" max="5121" width="2.33203125" style="4" customWidth="1"/>
    <col min="5122" max="5122" width="26.109375" style="4" customWidth="1"/>
    <col min="5123" max="5123" width="31.33203125" style="4" customWidth="1"/>
    <col min="5124" max="5124" width="15.6640625" style="4" customWidth="1"/>
    <col min="5125" max="5125" width="14.6640625" style="4" customWidth="1"/>
    <col min="5126" max="5126" width="25.88671875" style="4" customWidth="1"/>
    <col min="5127" max="5127" width="25.5546875" style="4" customWidth="1"/>
    <col min="5128" max="5128" width="18.109375" style="4" customWidth="1"/>
    <col min="5129" max="5129" width="22.5546875" style="4" customWidth="1"/>
    <col min="5130" max="5376" width="11.44140625" style="4" customWidth="1"/>
    <col min="5377" max="5377" width="2.33203125" style="4" customWidth="1"/>
    <col min="5378" max="5378" width="26.109375" style="4" customWidth="1"/>
    <col min="5379" max="5379" width="31.33203125" style="4" customWidth="1"/>
    <col min="5380" max="5380" width="15.6640625" style="4" customWidth="1"/>
    <col min="5381" max="5381" width="14.6640625" style="4" customWidth="1"/>
    <col min="5382" max="5382" width="25.88671875" style="4" customWidth="1"/>
    <col min="5383" max="5383" width="25.5546875" style="4" customWidth="1"/>
    <col min="5384" max="5384" width="18.109375" style="4" customWidth="1"/>
    <col min="5385" max="5385" width="22.5546875" style="4" customWidth="1"/>
    <col min="5386" max="5632" width="11.44140625" style="4" customWidth="1"/>
    <col min="5633" max="5633" width="2.33203125" style="4" customWidth="1"/>
    <col min="5634" max="5634" width="26.109375" style="4" customWidth="1"/>
    <col min="5635" max="5635" width="31.33203125" style="4" customWidth="1"/>
    <col min="5636" max="5636" width="15.6640625" style="4" customWidth="1"/>
    <col min="5637" max="5637" width="14.6640625" style="4" customWidth="1"/>
    <col min="5638" max="5638" width="25.88671875" style="4" customWidth="1"/>
    <col min="5639" max="5639" width="25.5546875" style="4" customWidth="1"/>
    <col min="5640" max="5640" width="18.109375" style="4" customWidth="1"/>
    <col min="5641" max="5641" width="22.5546875" style="4" customWidth="1"/>
    <col min="5642" max="5888" width="11.44140625" style="4" customWidth="1"/>
    <col min="5889" max="5889" width="2.33203125" style="4" customWidth="1"/>
    <col min="5890" max="5890" width="26.109375" style="4" customWidth="1"/>
    <col min="5891" max="5891" width="31.33203125" style="4" customWidth="1"/>
    <col min="5892" max="5892" width="15.6640625" style="4" customWidth="1"/>
    <col min="5893" max="5893" width="14.6640625" style="4" customWidth="1"/>
    <col min="5894" max="5894" width="25.88671875" style="4" customWidth="1"/>
    <col min="5895" max="5895" width="25.5546875" style="4" customWidth="1"/>
    <col min="5896" max="5896" width="18.109375" style="4" customWidth="1"/>
    <col min="5897" max="5897" width="22.5546875" style="4" customWidth="1"/>
    <col min="5898" max="6144" width="11.44140625" style="4" customWidth="1"/>
    <col min="6145" max="6145" width="2.33203125" style="4" customWidth="1"/>
    <col min="6146" max="6146" width="26.109375" style="4" customWidth="1"/>
    <col min="6147" max="6147" width="31.33203125" style="4" customWidth="1"/>
    <col min="6148" max="6148" width="15.6640625" style="4" customWidth="1"/>
    <col min="6149" max="6149" width="14.6640625" style="4" customWidth="1"/>
    <col min="6150" max="6150" width="25.88671875" style="4" customWidth="1"/>
    <col min="6151" max="6151" width="25.5546875" style="4" customWidth="1"/>
    <col min="6152" max="6152" width="18.109375" style="4" customWidth="1"/>
    <col min="6153" max="6153" width="22.5546875" style="4" customWidth="1"/>
    <col min="6154" max="6400" width="11.44140625" style="4" customWidth="1"/>
    <col min="6401" max="6401" width="2.33203125" style="4" customWidth="1"/>
    <col min="6402" max="6402" width="26.109375" style="4" customWidth="1"/>
    <col min="6403" max="6403" width="31.33203125" style="4" customWidth="1"/>
    <col min="6404" max="6404" width="15.6640625" style="4" customWidth="1"/>
    <col min="6405" max="6405" width="14.6640625" style="4" customWidth="1"/>
    <col min="6406" max="6406" width="25.88671875" style="4" customWidth="1"/>
    <col min="6407" max="6407" width="25.5546875" style="4" customWidth="1"/>
    <col min="6408" max="6408" width="18.109375" style="4" customWidth="1"/>
    <col min="6409" max="6409" width="22.5546875" style="4" customWidth="1"/>
    <col min="6410" max="6656" width="11.44140625" style="4" customWidth="1"/>
    <col min="6657" max="6657" width="2.33203125" style="4" customWidth="1"/>
    <col min="6658" max="6658" width="26.109375" style="4" customWidth="1"/>
    <col min="6659" max="6659" width="31.33203125" style="4" customWidth="1"/>
    <col min="6660" max="6660" width="15.6640625" style="4" customWidth="1"/>
    <col min="6661" max="6661" width="14.6640625" style="4" customWidth="1"/>
    <col min="6662" max="6662" width="25.88671875" style="4" customWidth="1"/>
    <col min="6663" max="6663" width="25.5546875" style="4" customWidth="1"/>
    <col min="6664" max="6664" width="18.109375" style="4" customWidth="1"/>
    <col min="6665" max="6665" width="22.5546875" style="4" customWidth="1"/>
    <col min="6666" max="6912" width="11.44140625" style="4" customWidth="1"/>
    <col min="6913" max="6913" width="2.33203125" style="4" customWidth="1"/>
    <col min="6914" max="6914" width="26.109375" style="4" customWidth="1"/>
    <col min="6915" max="6915" width="31.33203125" style="4" customWidth="1"/>
    <col min="6916" max="6916" width="15.6640625" style="4" customWidth="1"/>
    <col min="6917" max="6917" width="14.6640625" style="4" customWidth="1"/>
    <col min="6918" max="6918" width="25.88671875" style="4" customWidth="1"/>
    <col min="6919" max="6919" width="25.5546875" style="4" customWidth="1"/>
    <col min="6920" max="6920" width="18.109375" style="4" customWidth="1"/>
    <col min="6921" max="6921" width="22.5546875" style="4" customWidth="1"/>
    <col min="6922" max="7168" width="11.44140625" style="4" customWidth="1"/>
    <col min="7169" max="7169" width="2.33203125" style="4" customWidth="1"/>
    <col min="7170" max="7170" width="26.109375" style="4" customWidth="1"/>
    <col min="7171" max="7171" width="31.33203125" style="4" customWidth="1"/>
    <col min="7172" max="7172" width="15.6640625" style="4" customWidth="1"/>
    <col min="7173" max="7173" width="14.6640625" style="4" customWidth="1"/>
    <col min="7174" max="7174" width="25.88671875" style="4" customWidth="1"/>
    <col min="7175" max="7175" width="25.5546875" style="4" customWidth="1"/>
    <col min="7176" max="7176" width="18.109375" style="4" customWidth="1"/>
    <col min="7177" max="7177" width="22.5546875" style="4" customWidth="1"/>
    <col min="7178" max="7424" width="11.44140625" style="4" customWidth="1"/>
    <col min="7425" max="7425" width="2.33203125" style="4" customWidth="1"/>
    <col min="7426" max="7426" width="26.109375" style="4" customWidth="1"/>
    <col min="7427" max="7427" width="31.33203125" style="4" customWidth="1"/>
    <col min="7428" max="7428" width="15.6640625" style="4" customWidth="1"/>
    <col min="7429" max="7429" width="14.6640625" style="4" customWidth="1"/>
    <col min="7430" max="7430" width="25.88671875" style="4" customWidth="1"/>
    <col min="7431" max="7431" width="25.5546875" style="4" customWidth="1"/>
    <col min="7432" max="7432" width="18.109375" style="4" customWidth="1"/>
    <col min="7433" max="7433" width="22.5546875" style="4" customWidth="1"/>
    <col min="7434" max="7680" width="11.44140625" style="4" customWidth="1"/>
    <col min="7681" max="7681" width="2.33203125" style="4" customWidth="1"/>
    <col min="7682" max="7682" width="26.109375" style="4" customWidth="1"/>
    <col min="7683" max="7683" width="31.33203125" style="4" customWidth="1"/>
    <col min="7684" max="7684" width="15.6640625" style="4" customWidth="1"/>
    <col min="7685" max="7685" width="14.6640625" style="4" customWidth="1"/>
    <col min="7686" max="7686" width="25.88671875" style="4" customWidth="1"/>
    <col min="7687" max="7687" width="25.5546875" style="4" customWidth="1"/>
    <col min="7688" max="7688" width="18.109375" style="4" customWidth="1"/>
    <col min="7689" max="7689" width="22.5546875" style="4" customWidth="1"/>
    <col min="7690" max="7936" width="11.44140625" style="4" customWidth="1"/>
    <col min="7937" max="7937" width="2.33203125" style="4" customWidth="1"/>
    <col min="7938" max="7938" width="26.109375" style="4" customWidth="1"/>
    <col min="7939" max="7939" width="31.33203125" style="4" customWidth="1"/>
    <col min="7940" max="7940" width="15.6640625" style="4" customWidth="1"/>
    <col min="7941" max="7941" width="14.6640625" style="4" customWidth="1"/>
    <col min="7942" max="7942" width="25.88671875" style="4" customWidth="1"/>
    <col min="7943" max="7943" width="25.5546875" style="4" customWidth="1"/>
    <col min="7944" max="7944" width="18.109375" style="4" customWidth="1"/>
    <col min="7945" max="7945" width="22.5546875" style="4" customWidth="1"/>
    <col min="7946" max="8192" width="11.44140625" style="4" customWidth="1"/>
    <col min="8193" max="8193" width="2.33203125" style="4" customWidth="1"/>
    <col min="8194" max="8194" width="26.109375" style="4" customWidth="1"/>
    <col min="8195" max="8195" width="31.33203125" style="4" customWidth="1"/>
    <col min="8196" max="8196" width="15.6640625" style="4" customWidth="1"/>
    <col min="8197" max="8197" width="14.6640625" style="4" customWidth="1"/>
    <col min="8198" max="8198" width="25.88671875" style="4" customWidth="1"/>
    <col min="8199" max="8199" width="25.5546875" style="4" customWidth="1"/>
    <col min="8200" max="8200" width="18.109375" style="4" customWidth="1"/>
    <col min="8201" max="8201" width="22.5546875" style="4" customWidth="1"/>
    <col min="8202" max="8448" width="11.44140625" style="4" customWidth="1"/>
    <col min="8449" max="8449" width="2.33203125" style="4" customWidth="1"/>
    <col min="8450" max="8450" width="26.109375" style="4" customWidth="1"/>
    <col min="8451" max="8451" width="31.33203125" style="4" customWidth="1"/>
    <col min="8452" max="8452" width="15.6640625" style="4" customWidth="1"/>
    <col min="8453" max="8453" width="14.6640625" style="4" customWidth="1"/>
    <col min="8454" max="8454" width="25.88671875" style="4" customWidth="1"/>
    <col min="8455" max="8455" width="25.5546875" style="4" customWidth="1"/>
    <col min="8456" max="8456" width="18.109375" style="4" customWidth="1"/>
    <col min="8457" max="8457" width="22.5546875" style="4" customWidth="1"/>
    <col min="8458" max="8704" width="11.44140625" style="4" customWidth="1"/>
    <col min="8705" max="8705" width="2.33203125" style="4" customWidth="1"/>
    <col min="8706" max="8706" width="26.109375" style="4" customWidth="1"/>
    <col min="8707" max="8707" width="31.33203125" style="4" customWidth="1"/>
    <col min="8708" max="8708" width="15.6640625" style="4" customWidth="1"/>
    <col min="8709" max="8709" width="14.6640625" style="4" customWidth="1"/>
    <col min="8710" max="8710" width="25.88671875" style="4" customWidth="1"/>
    <col min="8711" max="8711" width="25.5546875" style="4" customWidth="1"/>
    <col min="8712" max="8712" width="18.109375" style="4" customWidth="1"/>
    <col min="8713" max="8713" width="22.5546875" style="4" customWidth="1"/>
    <col min="8714" max="8960" width="11.44140625" style="4" customWidth="1"/>
    <col min="8961" max="8961" width="2.33203125" style="4" customWidth="1"/>
    <col min="8962" max="8962" width="26.109375" style="4" customWidth="1"/>
    <col min="8963" max="8963" width="31.33203125" style="4" customWidth="1"/>
    <col min="8964" max="8964" width="15.6640625" style="4" customWidth="1"/>
    <col min="8965" max="8965" width="14.6640625" style="4" customWidth="1"/>
    <col min="8966" max="8966" width="25.88671875" style="4" customWidth="1"/>
    <col min="8967" max="8967" width="25.5546875" style="4" customWidth="1"/>
    <col min="8968" max="8968" width="18.109375" style="4" customWidth="1"/>
    <col min="8969" max="8969" width="22.5546875" style="4" customWidth="1"/>
    <col min="8970" max="9216" width="11.44140625" style="4" customWidth="1"/>
    <col min="9217" max="9217" width="2.33203125" style="4" customWidth="1"/>
    <col min="9218" max="9218" width="26.109375" style="4" customWidth="1"/>
    <col min="9219" max="9219" width="31.33203125" style="4" customWidth="1"/>
    <col min="9220" max="9220" width="15.6640625" style="4" customWidth="1"/>
    <col min="9221" max="9221" width="14.6640625" style="4" customWidth="1"/>
    <col min="9222" max="9222" width="25.88671875" style="4" customWidth="1"/>
    <col min="9223" max="9223" width="25.5546875" style="4" customWidth="1"/>
    <col min="9224" max="9224" width="18.109375" style="4" customWidth="1"/>
    <col min="9225" max="9225" width="22.5546875" style="4" customWidth="1"/>
    <col min="9226" max="9472" width="11.44140625" style="4" customWidth="1"/>
    <col min="9473" max="9473" width="2.33203125" style="4" customWidth="1"/>
    <col min="9474" max="9474" width="26.109375" style="4" customWidth="1"/>
    <col min="9475" max="9475" width="31.33203125" style="4" customWidth="1"/>
    <col min="9476" max="9476" width="15.6640625" style="4" customWidth="1"/>
    <col min="9477" max="9477" width="14.6640625" style="4" customWidth="1"/>
    <col min="9478" max="9478" width="25.88671875" style="4" customWidth="1"/>
    <col min="9479" max="9479" width="25.5546875" style="4" customWidth="1"/>
    <col min="9480" max="9480" width="18.109375" style="4" customWidth="1"/>
    <col min="9481" max="9481" width="22.5546875" style="4" customWidth="1"/>
    <col min="9482" max="9728" width="11.44140625" style="4" customWidth="1"/>
    <col min="9729" max="9729" width="2.33203125" style="4" customWidth="1"/>
    <col min="9730" max="9730" width="26.109375" style="4" customWidth="1"/>
    <col min="9731" max="9731" width="31.33203125" style="4" customWidth="1"/>
    <col min="9732" max="9732" width="15.6640625" style="4" customWidth="1"/>
    <col min="9733" max="9733" width="14.6640625" style="4" customWidth="1"/>
    <col min="9734" max="9734" width="25.88671875" style="4" customWidth="1"/>
    <col min="9735" max="9735" width="25.5546875" style="4" customWidth="1"/>
    <col min="9736" max="9736" width="18.109375" style="4" customWidth="1"/>
    <col min="9737" max="9737" width="22.5546875" style="4" customWidth="1"/>
    <col min="9738" max="9984" width="11.44140625" style="4" customWidth="1"/>
    <col min="9985" max="9985" width="2.33203125" style="4" customWidth="1"/>
    <col min="9986" max="9986" width="26.109375" style="4" customWidth="1"/>
    <col min="9987" max="9987" width="31.33203125" style="4" customWidth="1"/>
    <col min="9988" max="9988" width="15.6640625" style="4" customWidth="1"/>
    <col min="9989" max="9989" width="14.6640625" style="4" customWidth="1"/>
    <col min="9990" max="9990" width="25.88671875" style="4" customWidth="1"/>
    <col min="9991" max="9991" width="25.5546875" style="4" customWidth="1"/>
    <col min="9992" max="9992" width="18.109375" style="4" customWidth="1"/>
    <col min="9993" max="9993" width="22.5546875" style="4" customWidth="1"/>
    <col min="9994" max="10240" width="11.44140625" style="4" customWidth="1"/>
    <col min="10241" max="10241" width="2.33203125" style="4" customWidth="1"/>
    <col min="10242" max="10242" width="26.109375" style="4" customWidth="1"/>
    <col min="10243" max="10243" width="31.33203125" style="4" customWidth="1"/>
    <col min="10244" max="10244" width="15.6640625" style="4" customWidth="1"/>
    <col min="10245" max="10245" width="14.6640625" style="4" customWidth="1"/>
    <col min="10246" max="10246" width="25.88671875" style="4" customWidth="1"/>
    <col min="10247" max="10247" width="25.5546875" style="4" customWidth="1"/>
    <col min="10248" max="10248" width="18.109375" style="4" customWidth="1"/>
    <col min="10249" max="10249" width="22.5546875" style="4" customWidth="1"/>
    <col min="10250" max="10496" width="11.44140625" style="4" customWidth="1"/>
    <col min="10497" max="10497" width="2.33203125" style="4" customWidth="1"/>
    <col min="10498" max="10498" width="26.109375" style="4" customWidth="1"/>
    <col min="10499" max="10499" width="31.33203125" style="4" customWidth="1"/>
    <col min="10500" max="10500" width="15.6640625" style="4" customWidth="1"/>
    <col min="10501" max="10501" width="14.6640625" style="4" customWidth="1"/>
    <col min="10502" max="10502" width="25.88671875" style="4" customWidth="1"/>
    <col min="10503" max="10503" width="25.5546875" style="4" customWidth="1"/>
    <col min="10504" max="10504" width="18.109375" style="4" customWidth="1"/>
    <col min="10505" max="10505" width="22.5546875" style="4" customWidth="1"/>
    <col min="10506" max="10752" width="11.44140625" style="4" customWidth="1"/>
    <col min="10753" max="10753" width="2.33203125" style="4" customWidth="1"/>
    <col min="10754" max="10754" width="26.109375" style="4" customWidth="1"/>
    <col min="10755" max="10755" width="31.33203125" style="4" customWidth="1"/>
    <col min="10756" max="10756" width="15.6640625" style="4" customWidth="1"/>
    <col min="10757" max="10757" width="14.6640625" style="4" customWidth="1"/>
    <col min="10758" max="10758" width="25.88671875" style="4" customWidth="1"/>
    <col min="10759" max="10759" width="25.5546875" style="4" customWidth="1"/>
    <col min="10760" max="10760" width="18.109375" style="4" customWidth="1"/>
    <col min="10761" max="10761" width="22.5546875" style="4" customWidth="1"/>
    <col min="10762" max="11008" width="11.44140625" style="4" customWidth="1"/>
    <col min="11009" max="11009" width="2.33203125" style="4" customWidth="1"/>
    <col min="11010" max="11010" width="26.109375" style="4" customWidth="1"/>
    <col min="11011" max="11011" width="31.33203125" style="4" customWidth="1"/>
    <col min="11012" max="11012" width="15.6640625" style="4" customWidth="1"/>
    <col min="11013" max="11013" width="14.6640625" style="4" customWidth="1"/>
    <col min="11014" max="11014" width="25.88671875" style="4" customWidth="1"/>
    <col min="11015" max="11015" width="25.5546875" style="4" customWidth="1"/>
    <col min="11016" max="11016" width="18.109375" style="4" customWidth="1"/>
    <col min="11017" max="11017" width="22.5546875" style="4" customWidth="1"/>
    <col min="11018" max="11264" width="11.44140625" style="4" customWidth="1"/>
    <col min="11265" max="11265" width="2.33203125" style="4" customWidth="1"/>
    <col min="11266" max="11266" width="26.109375" style="4" customWidth="1"/>
    <col min="11267" max="11267" width="31.33203125" style="4" customWidth="1"/>
    <col min="11268" max="11268" width="15.6640625" style="4" customWidth="1"/>
    <col min="11269" max="11269" width="14.6640625" style="4" customWidth="1"/>
    <col min="11270" max="11270" width="25.88671875" style="4" customWidth="1"/>
    <col min="11271" max="11271" width="25.5546875" style="4" customWidth="1"/>
    <col min="11272" max="11272" width="18.109375" style="4" customWidth="1"/>
    <col min="11273" max="11273" width="22.5546875" style="4" customWidth="1"/>
    <col min="11274" max="11520" width="11.44140625" style="4" customWidth="1"/>
    <col min="11521" max="11521" width="2.33203125" style="4" customWidth="1"/>
    <col min="11522" max="11522" width="26.109375" style="4" customWidth="1"/>
    <col min="11523" max="11523" width="31.33203125" style="4" customWidth="1"/>
    <col min="11524" max="11524" width="15.6640625" style="4" customWidth="1"/>
    <col min="11525" max="11525" width="14.6640625" style="4" customWidth="1"/>
    <col min="11526" max="11526" width="25.88671875" style="4" customWidth="1"/>
    <col min="11527" max="11527" width="25.5546875" style="4" customWidth="1"/>
    <col min="11528" max="11528" width="18.109375" style="4" customWidth="1"/>
    <col min="11529" max="11529" width="22.5546875" style="4" customWidth="1"/>
    <col min="11530" max="11776" width="11.44140625" style="4" customWidth="1"/>
    <col min="11777" max="11777" width="2.33203125" style="4" customWidth="1"/>
    <col min="11778" max="11778" width="26.109375" style="4" customWidth="1"/>
    <col min="11779" max="11779" width="31.33203125" style="4" customWidth="1"/>
    <col min="11780" max="11780" width="15.6640625" style="4" customWidth="1"/>
    <col min="11781" max="11781" width="14.6640625" style="4" customWidth="1"/>
    <col min="11782" max="11782" width="25.88671875" style="4" customWidth="1"/>
    <col min="11783" max="11783" width="25.5546875" style="4" customWidth="1"/>
    <col min="11784" max="11784" width="18.109375" style="4" customWidth="1"/>
    <col min="11785" max="11785" width="22.5546875" style="4" customWidth="1"/>
    <col min="11786" max="12032" width="11.44140625" style="4" customWidth="1"/>
    <col min="12033" max="12033" width="2.33203125" style="4" customWidth="1"/>
    <col min="12034" max="12034" width="26.109375" style="4" customWidth="1"/>
    <col min="12035" max="12035" width="31.33203125" style="4" customWidth="1"/>
    <col min="12036" max="12036" width="15.6640625" style="4" customWidth="1"/>
    <col min="12037" max="12037" width="14.6640625" style="4" customWidth="1"/>
    <col min="12038" max="12038" width="25.88671875" style="4" customWidth="1"/>
    <col min="12039" max="12039" width="25.5546875" style="4" customWidth="1"/>
    <col min="12040" max="12040" width="18.109375" style="4" customWidth="1"/>
    <col min="12041" max="12041" width="22.5546875" style="4" customWidth="1"/>
    <col min="12042" max="12288" width="11.44140625" style="4" customWidth="1"/>
    <col min="12289" max="12289" width="2.33203125" style="4" customWidth="1"/>
    <col min="12290" max="12290" width="26.109375" style="4" customWidth="1"/>
    <col min="12291" max="12291" width="31.33203125" style="4" customWidth="1"/>
    <col min="12292" max="12292" width="15.6640625" style="4" customWidth="1"/>
    <col min="12293" max="12293" width="14.6640625" style="4" customWidth="1"/>
    <col min="12294" max="12294" width="25.88671875" style="4" customWidth="1"/>
    <col min="12295" max="12295" width="25.5546875" style="4" customWidth="1"/>
    <col min="12296" max="12296" width="18.109375" style="4" customWidth="1"/>
    <col min="12297" max="12297" width="22.5546875" style="4" customWidth="1"/>
    <col min="12298" max="12544" width="11.44140625" style="4" customWidth="1"/>
    <col min="12545" max="12545" width="2.33203125" style="4" customWidth="1"/>
    <col min="12546" max="12546" width="26.109375" style="4" customWidth="1"/>
    <col min="12547" max="12547" width="31.33203125" style="4" customWidth="1"/>
    <col min="12548" max="12548" width="15.6640625" style="4" customWidth="1"/>
    <col min="12549" max="12549" width="14.6640625" style="4" customWidth="1"/>
    <col min="12550" max="12550" width="25.88671875" style="4" customWidth="1"/>
    <col min="12551" max="12551" width="25.5546875" style="4" customWidth="1"/>
    <col min="12552" max="12552" width="18.109375" style="4" customWidth="1"/>
    <col min="12553" max="12553" width="22.5546875" style="4" customWidth="1"/>
    <col min="12554" max="12800" width="11.44140625" style="4" customWidth="1"/>
    <col min="12801" max="12801" width="2.33203125" style="4" customWidth="1"/>
    <col min="12802" max="12802" width="26.109375" style="4" customWidth="1"/>
    <col min="12803" max="12803" width="31.33203125" style="4" customWidth="1"/>
    <col min="12804" max="12804" width="15.6640625" style="4" customWidth="1"/>
    <col min="12805" max="12805" width="14.6640625" style="4" customWidth="1"/>
    <col min="12806" max="12806" width="25.88671875" style="4" customWidth="1"/>
    <col min="12807" max="12807" width="25.5546875" style="4" customWidth="1"/>
    <col min="12808" max="12808" width="18.109375" style="4" customWidth="1"/>
    <col min="12809" max="12809" width="22.5546875" style="4" customWidth="1"/>
    <col min="12810" max="13056" width="11.44140625" style="4" customWidth="1"/>
    <col min="13057" max="13057" width="2.33203125" style="4" customWidth="1"/>
    <col min="13058" max="13058" width="26.109375" style="4" customWidth="1"/>
    <col min="13059" max="13059" width="31.33203125" style="4" customWidth="1"/>
    <col min="13060" max="13060" width="15.6640625" style="4" customWidth="1"/>
    <col min="13061" max="13061" width="14.6640625" style="4" customWidth="1"/>
    <col min="13062" max="13062" width="25.88671875" style="4" customWidth="1"/>
    <col min="13063" max="13063" width="25.5546875" style="4" customWidth="1"/>
    <col min="13064" max="13064" width="18.109375" style="4" customWidth="1"/>
    <col min="13065" max="13065" width="22.5546875" style="4" customWidth="1"/>
    <col min="13066" max="13312" width="11.44140625" style="4" customWidth="1"/>
    <col min="13313" max="13313" width="2.33203125" style="4" customWidth="1"/>
    <col min="13314" max="13314" width="26.109375" style="4" customWidth="1"/>
    <col min="13315" max="13315" width="31.33203125" style="4" customWidth="1"/>
    <col min="13316" max="13316" width="15.6640625" style="4" customWidth="1"/>
    <col min="13317" max="13317" width="14.6640625" style="4" customWidth="1"/>
    <col min="13318" max="13318" width="25.88671875" style="4" customWidth="1"/>
    <col min="13319" max="13319" width="25.5546875" style="4" customWidth="1"/>
    <col min="13320" max="13320" width="18.109375" style="4" customWidth="1"/>
    <col min="13321" max="13321" width="22.5546875" style="4" customWidth="1"/>
    <col min="13322" max="13568" width="11.44140625" style="4" customWidth="1"/>
    <col min="13569" max="13569" width="2.33203125" style="4" customWidth="1"/>
    <col min="13570" max="13570" width="26.109375" style="4" customWidth="1"/>
    <col min="13571" max="13571" width="31.33203125" style="4" customWidth="1"/>
    <col min="13572" max="13572" width="15.6640625" style="4" customWidth="1"/>
    <col min="13573" max="13573" width="14.6640625" style="4" customWidth="1"/>
    <col min="13574" max="13574" width="25.88671875" style="4" customWidth="1"/>
    <col min="13575" max="13575" width="25.5546875" style="4" customWidth="1"/>
    <col min="13576" max="13576" width="18.109375" style="4" customWidth="1"/>
    <col min="13577" max="13577" width="22.5546875" style="4" customWidth="1"/>
    <col min="13578" max="13824" width="11.44140625" style="4" customWidth="1"/>
    <col min="13825" max="13825" width="2.33203125" style="4" customWidth="1"/>
    <col min="13826" max="13826" width="26.109375" style="4" customWidth="1"/>
    <col min="13827" max="13827" width="31.33203125" style="4" customWidth="1"/>
    <col min="13828" max="13828" width="15.6640625" style="4" customWidth="1"/>
    <col min="13829" max="13829" width="14.6640625" style="4" customWidth="1"/>
    <col min="13830" max="13830" width="25.88671875" style="4" customWidth="1"/>
    <col min="13831" max="13831" width="25.5546875" style="4" customWidth="1"/>
    <col min="13832" max="13832" width="18.109375" style="4" customWidth="1"/>
    <col min="13833" max="13833" width="22.5546875" style="4" customWidth="1"/>
    <col min="13834" max="14080" width="11.44140625" style="4" customWidth="1"/>
    <col min="14081" max="14081" width="2.33203125" style="4" customWidth="1"/>
    <col min="14082" max="14082" width="26.109375" style="4" customWidth="1"/>
    <col min="14083" max="14083" width="31.33203125" style="4" customWidth="1"/>
    <col min="14084" max="14084" width="15.6640625" style="4" customWidth="1"/>
    <col min="14085" max="14085" width="14.6640625" style="4" customWidth="1"/>
    <col min="14086" max="14086" width="25.88671875" style="4" customWidth="1"/>
    <col min="14087" max="14087" width="25.5546875" style="4" customWidth="1"/>
    <col min="14088" max="14088" width="18.109375" style="4" customWidth="1"/>
    <col min="14089" max="14089" width="22.5546875" style="4" customWidth="1"/>
    <col min="14090" max="14336" width="11.44140625" style="4" customWidth="1"/>
    <col min="14337" max="14337" width="2.33203125" style="4" customWidth="1"/>
    <col min="14338" max="14338" width="26.109375" style="4" customWidth="1"/>
    <col min="14339" max="14339" width="31.33203125" style="4" customWidth="1"/>
    <col min="14340" max="14340" width="15.6640625" style="4" customWidth="1"/>
    <col min="14341" max="14341" width="14.6640625" style="4" customWidth="1"/>
    <col min="14342" max="14342" width="25.88671875" style="4" customWidth="1"/>
    <col min="14343" max="14343" width="25.5546875" style="4" customWidth="1"/>
    <col min="14344" max="14344" width="18.109375" style="4" customWidth="1"/>
    <col min="14345" max="14345" width="22.5546875" style="4" customWidth="1"/>
    <col min="14346" max="14592" width="11.44140625" style="4" customWidth="1"/>
    <col min="14593" max="14593" width="2.33203125" style="4" customWidth="1"/>
    <col min="14594" max="14594" width="26.109375" style="4" customWidth="1"/>
    <col min="14595" max="14595" width="31.33203125" style="4" customWidth="1"/>
    <col min="14596" max="14596" width="15.6640625" style="4" customWidth="1"/>
    <col min="14597" max="14597" width="14.6640625" style="4" customWidth="1"/>
    <col min="14598" max="14598" width="25.88671875" style="4" customWidth="1"/>
    <col min="14599" max="14599" width="25.5546875" style="4" customWidth="1"/>
    <col min="14600" max="14600" width="18.109375" style="4" customWidth="1"/>
    <col min="14601" max="14601" width="22.5546875" style="4" customWidth="1"/>
    <col min="14602" max="14848" width="11.44140625" style="4" customWidth="1"/>
    <col min="14849" max="14849" width="2.33203125" style="4" customWidth="1"/>
    <col min="14850" max="14850" width="26.109375" style="4" customWidth="1"/>
    <col min="14851" max="14851" width="31.33203125" style="4" customWidth="1"/>
    <col min="14852" max="14852" width="15.6640625" style="4" customWidth="1"/>
    <col min="14853" max="14853" width="14.6640625" style="4" customWidth="1"/>
    <col min="14854" max="14854" width="25.88671875" style="4" customWidth="1"/>
    <col min="14855" max="14855" width="25.5546875" style="4" customWidth="1"/>
    <col min="14856" max="14856" width="18.109375" style="4" customWidth="1"/>
    <col min="14857" max="14857" width="22.5546875" style="4" customWidth="1"/>
    <col min="14858" max="15104" width="11.44140625" style="4" customWidth="1"/>
    <col min="15105" max="15105" width="2.33203125" style="4" customWidth="1"/>
    <col min="15106" max="15106" width="26.109375" style="4" customWidth="1"/>
    <col min="15107" max="15107" width="31.33203125" style="4" customWidth="1"/>
    <col min="15108" max="15108" width="15.6640625" style="4" customWidth="1"/>
    <col min="15109" max="15109" width="14.6640625" style="4" customWidth="1"/>
    <col min="15110" max="15110" width="25.88671875" style="4" customWidth="1"/>
    <col min="15111" max="15111" width="25.5546875" style="4" customWidth="1"/>
    <col min="15112" max="15112" width="18.109375" style="4" customWidth="1"/>
    <col min="15113" max="15113" width="22.5546875" style="4" customWidth="1"/>
    <col min="15114" max="15360" width="11.44140625" style="4" customWidth="1"/>
    <col min="15361" max="15361" width="2.33203125" style="4" customWidth="1"/>
    <col min="15362" max="15362" width="26.109375" style="4" customWidth="1"/>
    <col min="15363" max="15363" width="31.33203125" style="4" customWidth="1"/>
    <col min="15364" max="15364" width="15.6640625" style="4" customWidth="1"/>
    <col min="15365" max="15365" width="14.6640625" style="4" customWidth="1"/>
    <col min="15366" max="15366" width="25.88671875" style="4" customWidth="1"/>
    <col min="15367" max="15367" width="25.5546875" style="4" customWidth="1"/>
    <col min="15368" max="15368" width="18.109375" style="4" customWidth="1"/>
    <col min="15369" max="15369" width="22.5546875" style="4" customWidth="1"/>
    <col min="15370" max="15616" width="11.44140625" style="4" customWidth="1"/>
    <col min="15617" max="15617" width="2.33203125" style="4" customWidth="1"/>
    <col min="15618" max="15618" width="26.109375" style="4" customWidth="1"/>
    <col min="15619" max="15619" width="31.33203125" style="4" customWidth="1"/>
    <col min="15620" max="15620" width="15.6640625" style="4" customWidth="1"/>
    <col min="15621" max="15621" width="14.6640625" style="4" customWidth="1"/>
    <col min="15622" max="15622" width="25.88671875" style="4" customWidth="1"/>
    <col min="15623" max="15623" width="25.5546875" style="4" customWidth="1"/>
    <col min="15624" max="15624" width="18.109375" style="4" customWidth="1"/>
    <col min="15625" max="15625" width="22.5546875" style="4" customWidth="1"/>
    <col min="15626" max="15872" width="11.44140625" style="4" customWidth="1"/>
    <col min="15873" max="15873" width="2.33203125" style="4" customWidth="1"/>
    <col min="15874" max="15874" width="26.109375" style="4" customWidth="1"/>
    <col min="15875" max="15875" width="31.33203125" style="4" customWidth="1"/>
    <col min="15876" max="15876" width="15.6640625" style="4" customWidth="1"/>
    <col min="15877" max="15877" width="14.6640625" style="4" customWidth="1"/>
    <col min="15878" max="15878" width="25.88671875" style="4" customWidth="1"/>
    <col min="15879" max="15879" width="25.5546875" style="4" customWidth="1"/>
    <col min="15880" max="15880" width="18.109375" style="4" customWidth="1"/>
    <col min="15881" max="15881" width="22.5546875" style="4" customWidth="1"/>
    <col min="15882" max="16128" width="11.44140625" style="4" customWidth="1"/>
    <col min="16129" max="16129" width="2.33203125" style="4" customWidth="1"/>
    <col min="16130" max="16130" width="26.109375" style="4" customWidth="1"/>
    <col min="16131" max="16131" width="31.33203125" style="4" customWidth="1"/>
    <col min="16132" max="16132" width="15.6640625" style="4" customWidth="1"/>
    <col min="16133" max="16133" width="14.6640625" style="4" customWidth="1"/>
    <col min="16134" max="16134" width="25.88671875" style="4" customWidth="1"/>
    <col min="16135" max="16135" width="25.5546875" style="4" customWidth="1"/>
    <col min="16136" max="16136" width="18.109375" style="4" customWidth="1"/>
    <col min="16137" max="16137" width="22.5546875" style="4" customWidth="1"/>
    <col min="16138" max="16384" width="11.44140625" style="4" customWidth="1"/>
  </cols>
  <sheetData>
    <row r="1" spans="1:16" ht="31.8" customHeight="1" thickBot="1" x14ac:dyDescent="0.35">
      <c r="A1" s="145" t="s">
        <v>0</v>
      </c>
      <c r="B1" s="130"/>
      <c r="C1" s="1" t="s">
        <v>1</v>
      </c>
      <c r="D1" s="106" t="s">
        <v>511</v>
      </c>
      <c r="E1" s="107"/>
      <c r="F1" s="2"/>
      <c r="G1" s="3"/>
    </row>
    <row r="2" spans="1:16" ht="22.5" customHeight="1" x14ac:dyDescent="0.3">
      <c r="A2" s="134"/>
      <c r="B2" s="127"/>
      <c r="C2" s="1" t="s">
        <v>2</v>
      </c>
      <c r="D2" s="106" t="s">
        <v>3</v>
      </c>
      <c r="E2" s="107"/>
      <c r="F2" s="5"/>
      <c r="G2" s="6"/>
    </row>
    <row r="3" spans="1:16" s="9" customFormat="1" ht="22.5" customHeight="1" x14ac:dyDescent="0.3">
      <c r="A3" s="126" t="s">
        <v>4</v>
      </c>
      <c r="B3" s="127"/>
      <c r="C3" s="5" t="s">
        <v>5</v>
      </c>
      <c r="D3" s="30" t="s">
        <v>6</v>
      </c>
      <c r="E3" s="7"/>
      <c r="F3" s="5"/>
      <c r="G3" s="8"/>
    </row>
    <row r="4" spans="1:16" ht="6" customHeight="1" thickBot="1" x14ac:dyDescent="0.35">
      <c r="A4" s="10"/>
      <c r="B4" s="11"/>
      <c r="C4" s="116"/>
      <c r="D4" s="117"/>
      <c r="E4" s="117"/>
      <c r="F4" s="117"/>
      <c r="G4" s="118"/>
      <c r="H4" s="12"/>
      <c r="I4" s="12"/>
      <c r="J4" s="12"/>
      <c r="K4" s="12"/>
      <c r="L4" s="12"/>
      <c r="M4" s="12"/>
      <c r="N4" s="12"/>
      <c r="O4" s="12"/>
      <c r="P4" s="12"/>
    </row>
    <row r="5" spans="1:16" ht="13.8" customHeight="1" thickBot="1" x14ac:dyDescent="0.35">
      <c r="A5" s="13"/>
      <c r="B5" s="125" t="s">
        <v>7</v>
      </c>
      <c r="C5" s="113"/>
      <c r="D5" s="113"/>
      <c r="E5" s="113"/>
      <c r="F5" s="113"/>
      <c r="G5" s="114"/>
      <c r="I5" s="12"/>
      <c r="J5" s="12"/>
      <c r="K5" s="12"/>
      <c r="L5" s="12"/>
      <c r="M5" s="12"/>
      <c r="N5" s="12"/>
      <c r="O5" s="12"/>
      <c r="P5" s="12"/>
    </row>
    <row r="6" spans="1:16" ht="17.25" customHeight="1" x14ac:dyDescent="0.3">
      <c r="A6" s="14"/>
      <c r="B6" s="128" t="s">
        <v>8</v>
      </c>
      <c r="C6" s="129"/>
      <c r="D6" s="129"/>
      <c r="E6" s="129"/>
      <c r="F6" s="129"/>
      <c r="G6" s="130"/>
      <c r="I6" s="12"/>
      <c r="J6" s="12"/>
      <c r="K6" s="12"/>
      <c r="L6" s="12"/>
      <c r="M6" s="12"/>
      <c r="N6" s="12"/>
      <c r="O6" s="12"/>
      <c r="P6" s="12"/>
    </row>
    <row r="7" spans="1:16" x14ac:dyDescent="0.25">
      <c r="A7" s="14"/>
      <c r="B7" s="138"/>
      <c r="C7" s="139"/>
      <c r="D7" s="119"/>
      <c r="E7" s="120"/>
      <c r="F7" s="120"/>
      <c r="G7" s="121"/>
      <c r="I7" s="12"/>
      <c r="J7" s="12"/>
      <c r="K7" s="12"/>
      <c r="L7" s="12"/>
      <c r="M7" s="12"/>
      <c r="N7" s="12"/>
      <c r="O7" s="12"/>
      <c r="P7" s="12"/>
    </row>
    <row r="8" spans="1:16" x14ac:dyDescent="0.25">
      <c r="A8" s="14"/>
      <c r="B8" s="134"/>
      <c r="C8" s="139"/>
      <c r="D8" s="122"/>
      <c r="E8" s="123"/>
      <c r="F8" s="123"/>
      <c r="G8" s="124"/>
      <c r="I8" s="12"/>
      <c r="J8" s="12"/>
      <c r="K8" s="12"/>
      <c r="L8" s="12"/>
      <c r="M8" s="12"/>
      <c r="N8" s="12"/>
      <c r="O8" s="12"/>
      <c r="P8" s="12"/>
    </row>
    <row r="9" spans="1:16" x14ac:dyDescent="0.25">
      <c r="A9" s="14"/>
      <c r="B9" s="91"/>
      <c r="C9" s="15"/>
      <c r="D9" s="15"/>
      <c r="E9" s="15"/>
      <c r="F9" s="15"/>
      <c r="G9" s="16"/>
      <c r="I9" s="12"/>
      <c r="J9" s="12"/>
      <c r="K9" s="12"/>
      <c r="L9" s="12"/>
      <c r="M9" s="12"/>
      <c r="N9" s="12"/>
      <c r="O9" s="12"/>
      <c r="P9" s="12"/>
    </row>
    <row r="10" spans="1:16" x14ac:dyDescent="0.25">
      <c r="A10" s="14"/>
      <c r="B10" s="17" t="s">
        <v>9</v>
      </c>
      <c r="C10" s="18"/>
      <c r="D10" s="18"/>
      <c r="E10" s="18"/>
      <c r="F10" s="18"/>
      <c r="G10" s="19"/>
      <c r="I10" s="12"/>
      <c r="J10" s="12"/>
      <c r="K10" s="12"/>
      <c r="L10" s="12"/>
      <c r="M10" s="12"/>
      <c r="N10" s="12"/>
      <c r="O10" s="12"/>
      <c r="P10" s="12"/>
    </row>
    <row r="11" spans="1:16" x14ac:dyDescent="0.25">
      <c r="A11" s="14"/>
      <c r="B11" s="132"/>
      <c r="C11" s="133"/>
      <c r="D11" s="133"/>
      <c r="E11" s="133"/>
      <c r="F11" s="133"/>
      <c r="G11" s="127"/>
      <c r="I11" s="12"/>
      <c r="J11" s="12"/>
      <c r="K11" s="12"/>
      <c r="L11" s="12"/>
      <c r="M11" s="12"/>
      <c r="N11" s="12"/>
      <c r="O11" s="12"/>
      <c r="P11" s="12"/>
    </row>
    <row r="12" spans="1:16" x14ac:dyDescent="0.25">
      <c r="A12" s="14"/>
      <c r="B12" s="134"/>
      <c r="C12" s="133"/>
      <c r="D12" s="133"/>
      <c r="E12" s="133"/>
      <c r="F12" s="133"/>
      <c r="G12" s="127"/>
      <c r="I12" s="12"/>
      <c r="J12" s="12"/>
      <c r="K12" s="12"/>
      <c r="L12" s="12"/>
      <c r="M12" s="12"/>
      <c r="N12" s="12"/>
      <c r="O12" s="12"/>
      <c r="P12" s="12"/>
    </row>
    <row r="13" spans="1:16" x14ac:dyDescent="0.25">
      <c r="A13" s="14"/>
      <c r="B13" s="134"/>
      <c r="C13" s="133"/>
      <c r="D13" s="133"/>
      <c r="E13" s="133"/>
      <c r="F13" s="133"/>
      <c r="G13" s="127"/>
      <c r="I13" s="12"/>
      <c r="J13" s="12"/>
      <c r="K13" s="12"/>
      <c r="L13" s="12"/>
      <c r="M13" s="12"/>
      <c r="N13" s="12"/>
      <c r="O13" s="12"/>
      <c r="P13" s="12"/>
    </row>
    <row r="14" spans="1:16" ht="13.8" customHeight="1" thickBot="1" x14ac:dyDescent="0.3">
      <c r="A14" s="14"/>
      <c r="B14" s="135"/>
      <c r="C14" s="136"/>
      <c r="D14" s="136"/>
      <c r="E14" s="136"/>
      <c r="F14" s="136"/>
      <c r="G14" s="137"/>
      <c r="I14" s="12"/>
      <c r="J14" s="12"/>
      <c r="K14" s="12"/>
      <c r="L14" s="12"/>
      <c r="M14" s="12"/>
      <c r="N14" s="12"/>
      <c r="O14" s="12"/>
      <c r="P14" s="12"/>
    </row>
    <row r="15" spans="1:16" ht="13.8" customHeight="1" thickBot="1" x14ac:dyDescent="0.35">
      <c r="A15" s="14"/>
      <c r="B15" s="125" t="s">
        <v>10</v>
      </c>
      <c r="C15" s="113"/>
      <c r="D15" s="113"/>
      <c r="E15" s="113"/>
      <c r="F15" s="113"/>
      <c r="G15" s="114"/>
      <c r="I15" s="12"/>
      <c r="J15" s="12"/>
      <c r="K15" s="12"/>
      <c r="L15" s="12"/>
      <c r="M15" s="12"/>
      <c r="N15" s="12"/>
      <c r="O15" s="12"/>
      <c r="P15" s="12"/>
    </row>
    <row r="16" spans="1:16" ht="14.4" x14ac:dyDescent="0.3">
      <c r="A16" s="14"/>
      <c r="B16" s="102" t="s">
        <v>11</v>
      </c>
      <c r="C16" s="103"/>
      <c r="D16" s="131" t="s">
        <v>12</v>
      </c>
      <c r="E16" s="123"/>
      <c r="F16" s="20" t="s">
        <v>13</v>
      </c>
      <c r="G16" s="21"/>
      <c r="I16" s="12"/>
      <c r="J16" s="12"/>
      <c r="K16" s="12"/>
      <c r="L16" s="12"/>
      <c r="M16" s="12"/>
      <c r="N16" s="12"/>
      <c r="O16" s="12"/>
      <c r="P16" s="12"/>
    </row>
    <row r="17" spans="1:16" ht="14.4" x14ac:dyDescent="0.3">
      <c r="A17" s="14"/>
      <c r="B17" s="104"/>
      <c r="C17" s="105"/>
      <c r="D17" s="100"/>
      <c r="E17" s="101"/>
      <c r="F17" s="22" t="s">
        <v>5</v>
      </c>
      <c r="G17" s="87"/>
      <c r="I17" s="12"/>
      <c r="J17" s="12"/>
      <c r="K17" s="12"/>
      <c r="L17" s="12"/>
      <c r="M17" s="12"/>
      <c r="N17" s="12"/>
      <c r="O17" s="12"/>
      <c r="P17" s="12"/>
    </row>
    <row r="18" spans="1:16" ht="14.4" x14ac:dyDescent="0.3">
      <c r="A18" s="14"/>
      <c r="B18" s="104"/>
      <c r="C18" s="105"/>
      <c r="D18" s="100"/>
      <c r="E18" s="101"/>
      <c r="F18" s="22" t="s">
        <v>2</v>
      </c>
      <c r="G18" s="87"/>
      <c r="I18" s="12"/>
      <c r="J18" s="12"/>
      <c r="K18" s="12"/>
      <c r="L18" s="12"/>
      <c r="M18" s="12"/>
      <c r="N18" s="12"/>
      <c r="O18" s="12"/>
      <c r="P18" s="12"/>
    </row>
    <row r="19" spans="1:16" ht="14.4" x14ac:dyDescent="0.3">
      <c r="A19" s="14"/>
      <c r="B19" s="104"/>
      <c r="C19" s="105"/>
      <c r="D19" s="100"/>
      <c r="E19" s="101"/>
      <c r="F19" s="22" t="s">
        <v>14</v>
      </c>
      <c r="G19" s="87"/>
      <c r="I19" s="12"/>
      <c r="J19" s="12"/>
      <c r="K19" s="12"/>
      <c r="L19" s="12"/>
      <c r="M19" s="12"/>
      <c r="N19" s="12"/>
      <c r="O19" s="12"/>
      <c r="P19" s="12"/>
    </row>
    <row r="20" spans="1:16" ht="26.4" customHeight="1" x14ac:dyDescent="0.3">
      <c r="A20" s="14"/>
      <c r="B20" s="104"/>
      <c r="C20" s="105"/>
      <c r="D20" s="100"/>
      <c r="E20" s="101"/>
      <c r="F20" s="22" t="s">
        <v>15</v>
      </c>
      <c r="G20" s="87"/>
      <c r="I20" s="12"/>
      <c r="J20" s="12"/>
      <c r="K20" s="12"/>
      <c r="L20" s="12"/>
      <c r="M20" s="12"/>
      <c r="N20" s="12"/>
      <c r="O20" s="12"/>
      <c r="P20" s="12"/>
    </row>
    <row r="21" spans="1:16" ht="14.4" x14ac:dyDescent="0.3">
      <c r="A21" s="14"/>
      <c r="B21" s="104"/>
      <c r="C21" s="105"/>
      <c r="D21" s="100"/>
      <c r="E21" s="101"/>
      <c r="F21" s="22"/>
      <c r="G21" s="87"/>
    </row>
    <row r="22" spans="1:16" ht="14.4" x14ac:dyDescent="0.3">
      <c r="A22" s="14"/>
      <c r="B22" s="104"/>
      <c r="C22" s="105"/>
      <c r="D22" s="100"/>
      <c r="E22" s="101"/>
      <c r="F22" s="22"/>
      <c r="G22" s="87"/>
    </row>
    <row r="23" spans="1:16" ht="14.4" x14ac:dyDescent="0.3">
      <c r="A23" s="14"/>
      <c r="B23" s="104"/>
      <c r="C23" s="105"/>
      <c r="D23" s="100"/>
      <c r="E23" s="101"/>
      <c r="F23" s="22"/>
      <c r="G23" s="87"/>
    </row>
    <row r="24" spans="1:16" ht="14.4" x14ac:dyDescent="0.3">
      <c r="A24" s="14"/>
      <c r="B24" s="104"/>
      <c r="C24" s="105"/>
      <c r="D24" s="100"/>
      <c r="E24" s="101"/>
      <c r="F24" s="22"/>
      <c r="G24" s="87"/>
    </row>
    <row r="25" spans="1:16" ht="14.4" x14ac:dyDescent="0.3">
      <c r="A25" s="14"/>
      <c r="B25" s="104"/>
      <c r="C25" s="105"/>
      <c r="D25" s="100"/>
      <c r="E25" s="101"/>
      <c r="F25" s="22"/>
      <c r="G25" s="87"/>
    </row>
    <row r="26" spans="1:16" ht="14.4" x14ac:dyDescent="0.3">
      <c r="A26" s="14"/>
      <c r="B26" s="104"/>
      <c r="C26" s="105"/>
      <c r="D26" s="100"/>
      <c r="E26" s="101"/>
      <c r="F26" s="22"/>
      <c r="G26" s="87"/>
    </row>
    <row r="27" spans="1:16" ht="14.4" x14ac:dyDescent="0.3">
      <c r="A27" s="14"/>
      <c r="B27" s="104"/>
      <c r="C27" s="105"/>
      <c r="D27" s="100"/>
      <c r="E27" s="101"/>
      <c r="F27" s="22"/>
      <c r="G27" s="87"/>
    </row>
    <row r="28" spans="1:16" ht="13.8" customHeight="1" thickBot="1" x14ac:dyDescent="0.35">
      <c r="A28" s="14"/>
      <c r="B28" s="140"/>
      <c r="C28" s="141"/>
      <c r="D28" s="144"/>
      <c r="E28" s="120"/>
      <c r="F28" s="23"/>
      <c r="G28" s="24"/>
    </row>
    <row r="29" spans="1:16" ht="18" customHeight="1" thickBot="1" x14ac:dyDescent="0.35">
      <c r="A29" s="14"/>
      <c r="B29" s="112" t="s">
        <v>16</v>
      </c>
      <c r="C29" s="113"/>
      <c r="D29" s="113"/>
      <c r="E29" s="113"/>
      <c r="F29" s="113"/>
      <c r="G29" s="114"/>
    </row>
    <row r="30" spans="1:16" ht="13.8" customHeight="1" thickBot="1" x14ac:dyDescent="0.35">
      <c r="A30" s="14"/>
      <c r="B30" s="125" t="s">
        <v>17</v>
      </c>
      <c r="C30" s="113"/>
      <c r="D30" s="113"/>
      <c r="E30" s="113"/>
      <c r="F30" s="113"/>
      <c r="G30" s="114"/>
    </row>
    <row r="31" spans="1:16" ht="14.4" x14ac:dyDescent="0.3">
      <c r="A31" s="14"/>
      <c r="B31" s="102" t="s">
        <v>18</v>
      </c>
      <c r="C31" s="103"/>
      <c r="D31" s="88" t="s">
        <v>19</v>
      </c>
      <c r="E31" s="89" t="s">
        <v>20</v>
      </c>
      <c r="F31" s="142" t="s">
        <v>21</v>
      </c>
      <c r="G31" s="143"/>
    </row>
    <row r="32" spans="1:16" ht="14.4" x14ac:dyDescent="0.3">
      <c r="A32" s="14"/>
      <c r="B32" s="115"/>
      <c r="C32" s="105"/>
      <c r="D32" s="90"/>
      <c r="E32" s="90"/>
      <c r="F32" s="108"/>
      <c r="G32" s="109"/>
    </row>
    <row r="33" spans="1:7" ht="14.4" x14ac:dyDescent="0.3">
      <c r="A33" s="14"/>
      <c r="B33" s="115"/>
      <c r="C33" s="105"/>
      <c r="D33" s="25" t="s">
        <v>22</v>
      </c>
      <c r="E33" s="90"/>
      <c r="F33" s="108"/>
      <c r="G33" s="109"/>
    </row>
    <row r="34" spans="1:7" ht="14.4" x14ac:dyDescent="0.3">
      <c r="A34" s="14"/>
      <c r="B34" s="115"/>
      <c r="C34" s="105"/>
      <c r="D34" s="26" t="s">
        <v>23</v>
      </c>
      <c r="E34" s="90"/>
      <c r="F34" s="108"/>
      <c r="G34" s="109"/>
    </row>
    <row r="35" spans="1:7" ht="14.4" x14ac:dyDescent="0.3">
      <c r="A35" s="14"/>
      <c r="B35" s="115"/>
      <c r="C35" s="105"/>
      <c r="D35" s="90"/>
      <c r="E35" s="90"/>
      <c r="F35" s="108"/>
      <c r="G35" s="109"/>
    </row>
    <row r="36" spans="1:7" ht="14.4" x14ac:dyDescent="0.3">
      <c r="A36" s="14"/>
      <c r="B36" s="115"/>
      <c r="C36" s="105"/>
      <c r="D36" s="90"/>
      <c r="E36" s="90"/>
      <c r="F36" s="108"/>
      <c r="G36" s="109"/>
    </row>
    <row r="37" spans="1:7" ht="14.4" x14ac:dyDescent="0.3">
      <c r="A37" s="14"/>
      <c r="B37" s="115"/>
      <c r="C37" s="105"/>
      <c r="D37" s="27"/>
      <c r="E37" s="90"/>
      <c r="F37" s="108"/>
      <c r="G37" s="109"/>
    </row>
    <row r="38" spans="1:7" ht="14.4" x14ac:dyDescent="0.3">
      <c r="A38" s="14"/>
      <c r="B38" s="115"/>
      <c r="C38" s="105"/>
      <c r="D38" s="90"/>
      <c r="E38" s="90"/>
      <c r="F38" s="108"/>
      <c r="G38" s="109"/>
    </row>
    <row r="39" spans="1:7" ht="14.4" x14ac:dyDescent="0.3">
      <c r="A39" s="14"/>
      <c r="B39" s="115"/>
      <c r="C39" s="105"/>
      <c r="D39" s="90"/>
      <c r="E39" s="90"/>
      <c r="F39" s="108"/>
      <c r="G39" s="109"/>
    </row>
    <row r="40" spans="1:7" ht="14.4" x14ac:dyDescent="0.3">
      <c r="A40" s="14"/>
      <c r="B40" s="115"/>
      <c r="C40" s="105"/>
      <c r="D40" s="27"/>
      <c r="E40" s="90"/>
      <c r="F40" s="108"/>
      <c r="G40" s="109"/>
    </row>
    <row r="41" spans="1:7" ht="14.4" x14ac:dyDescent="0.3">
      <c r="A41" s="14"/>
      <c r="B41" s="115"/>
      <c r="C41" s="105"/>
      <c r="D41" s="90"/>
      <c r="E41" s="90"/>
      <c r="F41" s="108"/>
      <c r="G41" s="109"/>
    </row>
    <row r="42" spans="1:7" ht="14.4" x14ac:dyDescent="0.3">
      <c r="A42" s="14"/>
      <c r="B42" s="115"/>
      <c r="C42" s="105"/>
      <c r="D42" s="90"/>
      <c r="E42" s="90"/>
      <c r="F42" s="108"/>
      <c r="G42" s="109"/>
    </row>
    <row r="43" spans="1:7" ht="14.4" x14ac:dyDescent="0.3">
      <c r="A43" s="14"/>
      <c r="B43" s="115"/>
      <c r="C43" s="105"/>
      <c r="D43" s="27"/>
      <c r="E43" s="90"/>
      <c r="F43" s="108"/>
      <c r="G43" s="109"/>
    </row>
    <row r="44" spans="1:7" ht="14.4" x14ac:dyDescent="0.3">
      <c r="A44" s="14"/>
      <c r="B44" s="115"/>
      <c r="C44" s="105"/>
      <c r="D44" s="90"/>
      <c r="E44" s="90"/>
      <c r="F44" s="108"/>
      <c r="G44" s="109"/>
    </row>
    <row r="45" spans="1:7" ht="14.4" x14ac:dyDescent="0.3">
      <c r="A45" s="14"/>
      <c r="B45" s="115"/>
      <c r="C45" s="105"/>
      <c r="D45" s="90"/>
      <c r="E45" s="90"/>
      <c r="F45" s="108"/>
      <c r="G45" s="109"/>
    </row>
    <row r="46" spans="1:7" ht="13.8" customHeight="1" thickBot="1" x14ac:dyDescent="0.35">
      <c r="A46" s="14"/>
      <c r="B46" s="110"/>
      <c r="C46" s="111"/>
      <c r="D46" s="28"/>
      <c r="E46" s="28"/>
      <c r="F46" s="108"/>
      <c r="G46" s="109"/>
    </row>
    <row r="47" spans="1:7" ht="27" customHeight="1" thickBot="1" x14ac:dyDescent="0.35">
      <c r="A47" s="29"/>
      <c r="B47" s="112" t="s">
        <v>24</v>
      </c>
      <c r="C47" s="113"/>
      <c r="D47" s="113"/>
      <c r="E47" s="113"/>
      <c r="F47" s="113"/>
      <c r="G47" s="114"/>
    </row>
  </sheetData>
  <mergeCells count="72">
    <mergeCell ref="B47:G47"/>
    <mergeCell ref="D24:E24"/>
    <mergeCell ref="B33:C33"/>
    <mergeCell ref="B20:C20"/>
    <mergeCell ref="D23:E23"/>
    <mergeCell ref="B45:C45"/>
    <mergeCell ref="B36:C36"/>
    <mergeCell ref="B32:C32"/>
    <mergeCell ref="B26:C26"/>
    <mergeCell ref="B41:C41"/>
    <mergeCell ref="D26:E26"/>
    <mergeCell ref="B35:C35"/>
    <mergeCell ref="F44:G44"/>
    <mergeCell ref="F46:G46"/>
    <mergeCell ref="D18:E18"/>
    <mergeCell ref="A1:B2"/>
    <mergeCell ref="B40:C40"/>
    <mergeCell ref="D25:E25"/>
    <mergeCell ref="F43:G43"/>
    <mergeCell ref="F37:G37"/>
    <mergeCell ref="B24:C24"/>
    <mergeCell ref="F39:G39"/>
    <mergeCell ref="B44:C44"/>
    <mergeCell ref="B11:G14"/>
    <mergeCell ref="B5:G5"/>
    <mergeCell ref="F38:G38"/>
    <mergeCell ref="B7:C8"/>
    <mergeCell ref="B19:C19"/>
    <mergeCell ref="B34:C34"/>
    <mergeCell ref="B37:C37"/>
    <mergeCell ref="B28:C28"/>
    <mergeCell ref="F31:G31"/>
    <mergeCell ref="D28:E28"/>
    <mergeCell ref="F32:G32"/>
    <mergeCell ref="B17:C17"/>
    <mergeCell ref="F42:G42"/>
    <mergeCell ref="B30:G30"/>
    <mergeCell ref="D17:E17"/>
    <mergeCell ref="F35:G35"/>
    <mergeCell ref="F41:G41"/>
    <mergeCell ref="B38:C38"/>
    <mergeCell ref="F34:G34"/>
    <mergeCell ref="B46:C46"/>
    <mergeCell ref="B22:C22"/>
    <mergeCell ref="D22:E22"/>
    <mergeCell ref="B31:C31"/>
    <mergeCell ref="B27:C27"/>
    <mergeCell ref="F40:G40"/>
    <mergeCell ref="B29:G29"/>
    <mergeCell ref="B43:C43"/>
    <mergeCell ref="B39:C39"/>
    <mergeCell ref="D27:E27"/>
    <mergeCell ref="B42:C42"/>
    <mergeCell ref="B23:C23"/>
    <mergeCell ref="F33:G33"/>
    <mergeCell ref="F45:G45"/>
    <mergeCell ref="F36:G36"/>
    <mergeCell ref="D20:E20"/>
    <mergeCell ref="B16:C16"/>
    <mergeCell ref="B25:C25"/>
    <mergeCell ref="D1:E1"/>
    <mergeCell ref="D19:E19"/>
    <mergeCell ref="B18:C18"/>
    <mergeCell ref="D21:E21"/>
    <mergeCell ref="C4:G4"/>
    <mergeCell ref="B21:C21"/>
    <mergeCell ref="D2:E2"/>
    <mergeCell ref="D7:G8"/>
    <mergeCell ref="A3:B3"/>
    <mergeCell ref="B15:G15"/>
    <mergeCell ref="B6:G6"/>
    <mergeCell ref="D16:E16"/>
  </mergeCells>
  <pageMargins left="0.78740157480314965" right="0.78740157480314965" top="0.98425196850393704" bottom="0.98425196850393704" header="0.51181102362204722" footer="0.51181102362204722"/>
  <pageSetup paperSize="9" scale="68" orientation="landscape"/>
  <headerFooter alignWithMargins="0">
    <oddFooter>&amp;L&amp;8 CI/QMM; V4.2, with IT PEP V7.0;
© Robert Bosch GmbH 2010. All rights reserved, also regarding any disposal, exploitation, reproduction, editing, distribution, as well as in the event of applications for industrial property rights. &amp;R&amp;P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Tabelle2">
    <pageSetUpPr fitToPage="1"/>
  </sheetPr>
  <dimension ref="A1:S62"/>
  <sheetViews>
    <sheetView zoomScale="85" zoomScaleNormal="85" workbookViewId="0">
      <pane ySplit="8" topLeftCell="A9" activePane="bottomLeft" state="frozen"/>
      <selection pane="bottomLeft" activeCell="A2" sqref="A2:C2"/>
    </sheetView>
  </sheetViews>
  <sheetFormatPr defaultColWidth="11.44140625" defaultRowHeight="13.2" outlineLevelCol="1" x14ac:dyDescent="0.3"/>
  <cols>
    <col min="1" max="1" width="3.88671875" style="54" customWidth="1"/>
    <col min="2" max="2" width="10.5546875" style="9" hidden="1" customWidth="1" outlineLevel="1"/>
    <col min="3" max="3" width="10.88671875" style="9" customWidth="1" collapsed="1"/>
    <col min="4" max="4" width="17.6640625" style="9" customWidth="1"/>
    <col min="5" max="5" width="22.6640625" style="9" customWidth="1"/>
    <col min="6" max="6" width="21.44140625" style="9" customWidth="1"/>
    <col min="7" max="7" width="22.33203125" style="9" customWidth="1"/>
    <col min="8" max="9" width="5.33203125" style="9" customWidth="1"/>
    <col min="10" max="10" width="5.33203125" style="43" customWidth="1"/>
    <col min="11" max="11" width="20.109375" style="43" customWidth="1"/>
    <col min="12" max="12" width="13" style="43" customWidth="1"/>
    <col min="13" max="13" width="10.109375" style="9" customWidth="1"/>
    <col min="14" max="14" width="11.5546875" style="9" customWidth="1"/>
    <col min="15" max="15" width="34.88671875" style="9" customWidth="1" collapsed="1"/>
    <col min="16" max="16" width="7.5546875" style="9" customWidth="1" collapsed="1"/>
    <col min="17" max="17" width="33.6640625" style="9" customWidth="1"/>
    <col min="18" max="256" width="11.44140625" style="9" customWidth="1"/>
    <col min="257" max="257" width="3.88671875" style="9" customWidth="1"/>
    <col min="258" max="258" width="0" style="9" hidden="1"/>
    <col min="259" max="259" width="10.88671875" style="9" customWidth="1"/>
    <col min="260" max="260" width="17.6640625" style="9" customWidth="1"/>
    <col min="261" max="261" width="22.6640625" style="9" customWidth="1"/>
    <col min="262" max="262" width="21.44140625" style="9" customWidth="1"/>
    <col min="263" max="263" width="22.33203125" style="9" customWidth="1"/>
    <col min="264" max="266" width="5.33203125" style="9" customWidth="1"/>
    <col min="267" max="267" width="20.109375" style="9" customWidth="1"/>
    <col min="268" max="268" width="13" style="9" customWidth="1"/>
    <col min="269" max="269" width="10.109375" style="9" customWidth="1"/>
    <col min="270" max="270" width="11.5546875" style="9" customWidth="1"/>
    <col min="271" max="271" width="34.88671875" style="9" customWidth="1"/>
    <col min="272" max="272" width="7.5546875" style="9" customWidth="1"/>
    <col min="273" max="273" width="33.6640625" style="9" customWidth="1"/>
    <col min="274" max="512" width="11.44140625" style="9" customWidth="1"/>
    <col min="513" max="513" width="3.88671875" style="9" customWidth="1"/>
    <col min="514" max="514" width="0" style="9" hidden="1"/>
    <col min="515" max="515" width="10.88671875" style="9" customWidth="1"/>
    <col min="516" max="516" width="17.6640625" style="9" customWidth="1"/>
    <col min="517" max="517" width="22.6640625" style="9" customWidth="1"/>
    <col min="518" max="518" width="21.44140625" style="9" customWidth="1"/>
    <col min="519" max="519" width="22.33203125" style="9" customWidth="1"/>
    <col min="520" max="522" width="5.33203125" style="9" customWidth="1"/>
    <col min="523" max="523" width="20.109375" style="9" customWidth="1"/>
    <col min="524" max="524" width="13" style="9" customWidth="1"/>
    <col min="525" max="525" width="10.109375" style="9" customWidth="1"/>
    <col min="526" max="526" width="11.5546875" style="9" customWidth="1"/>
    <col min="527" max="527" width="34.88671875" style="9" customWidth="1"/>
    <col min="528" max="528" width="7.5546875" style="9" customWidth="1"/>
    <col min="529" max="529" width="33.6640625" style="9" customWidth="1"/>
    <col min="530" max="768" width="11.44140625" style="9" customWidth="1"/>
    <col min="769" max="769" width="3.88671875" style="9" customWidth="1"/>
    <col min="770" max="770" width="0" style="9" hidden="1"/>
    <col min="771" max="771" width="10.88671875" style="9" customWidth="1"/>
    <col min="772" max="772" width="17.6640625" style="9" customWidth="1"/>
    <col min="773" max="773" width="22.6640625" style="9" customWidth="1"/>
    <col min="774" max="774" width="21.44140625" style="9" customWidth="1"/>
    <col min="775" max="775" width="22.33203125" style="9" customWidth="1"/>
    <col min="776" max="778" width="5.33203125" style="9" customWidth="1"/>
    <col min="779" max="779" width="20.109375" style="9" customWidth="1"/>
    <col min="780" max="780" width="13" style="9" customWidth="1"/>
    <col min="781" max="781" width="10.109375" style="9" customWidth="1"/>
    <col min="782" max="782" width="11.5546875" style="9" customWidth="1"/>
    <col min="783" max="783" width="34.88671875" style="9" customWidth="1"/>
    <col min="784" max="784" width="7.5546875" style="9" customWidth="1"/>
    <col min="785" max="785" width="33.6640625" style="9" customWidth="1"/>
    <col min="786" max="1024" width="11.44140625" style="9" customWidth="1"/>
    <col min="1025" max="1025" width="3.88671875" style="9" customWidth="1"/>
    <col min="1026" max="1026" width="0" style="9" hidden="1"/>
    <col min="1027" max="1027" width="10.88671875" style="9" customWidth="1"/>
    <col min="1028" max="1028" width="17.6640625" style="9" customWidth="1"/>
    <col min="1029" max="1029" width="22.6640625" style="9" customWidth="1"/>
    <col min="1030" max="1030" width="21.44140625" style="9" customWidth="1"/>
    <col min="1031" max="1031" width="22.33203125" style="9" customWidth="1"/>
    <col min="1032" max="1034" width="5.33203125" style="9" customWidth="1"/>
    <col min="1035" max="1035" width="20.109375" style="9" customWidth="1"/>
    <col min="1036" max="1036" width="13" style="9" customWidth="1"/>
    <col min="1037" max="1037" width="10.109375" style="9" customWidth="1"/>
    <col min="1038" max="1038" width="11.5546875" style="9" customWidth="1"/>
    <col min="1039" max="1039" width="34.88671875" style="9" customWidth="1"/>
    <col min="1040" max="1040" width="7.5546875" style="9" customWidth="1"/>
    <col min="1041" max="1041" width="33.6640625" style="9" customWidth="1"/>
    <col min="1042" max="1280" width="11.44140625" style="9" customWidth="1"/>
    <col min="1281" max="1281" width="3.88671875" style="9" customWidth="1"/>
    <col min="1282" max="1282" width="0" style="9" hidden="1"/>
    <col min="1283" max="1283" width="10.88671875" style="9" customWidth="1"/>
    <col min="1284" max="1284" width="17.6640625" style="9" customWidth="1"/>
    <col min="1285" max="1285" width="22.6640625" style="9" customWidth="1"/>
    <col min="1286" max="1286" width="21.44140625" style="9" customWidth="1"/>
    <col min="1287" max="1287" width="22.33203125" style="9" customWidth="1"/>
    <col min="1288" max="1290" width="5.33203125" style="9" customWidth="1"/>
    <col min="1291" max="1291" width="20.109375" style="9" customWidth="1"/>
    <col min="1292" max="1292" width="13" style="9" customWidth="1"/>
    <col min="1293" max="1293" width="10.109375" style="9" customWidth="1"/>
    <col min="1294" max="1294" width="11.5546875" style="9" customWidth="1"/>
    <col min="1295" max="1295" width="34.88671875" style="9" customWidth="1"/>
    <col min="1296" max="1296" width="7.5546875" style="9" customWidth="1"/>
    <col min="1297" max="1297" width="33.6640625" style="9" customWidth="1"/>
    <col min="1298" max="1536" width="11.44140625" style="9" customWidth="1"/>
    <col min="1537" max="1537" width="3.88671875" style="9" customWidth="1"/>
    <col min="1538" max="1538" width="0" style="9" hidden="1"/>
    <col min="1539" max="1539" width="10.88671875" style="9" customWidth="1"/>
    <col min="1540" max="1540" width="17.6640625" style="9" customWidth="1"/>
    <col min="1541" max="1541" width="22.6640625" style="9" customWidth="1"/>
    <col min="1542" max="1542" width="21.44140625" style="9" customWidth="1"/>
    <col min="1543" max="1543" width="22.33203125" style="9" customWidth="1"/>
    <col min="1544" max="1546" width="5.33203125" style="9" customWidth="1"/>
    <col min="1547" max="1547" width="20.109375" style="9" customWidth="1"/>
    <col min="1548" max="1548" width="13" style="9" customWidth="1"/>
    <col min="1549" max="1549" width="10.109375" style="9" customWidth="1"/>
    <col min="1550" max="1550" width="11.5546875" style="9" customWidth="1"/>
    <col min="1551" max="1551" width="34.88671875" style="9" customWidth="1"/>
    <col min="1552" max="1552" width="7.5546875" style="9" customWidth="1"/>
    <col min="1553" max="1553" width="33.6640625" style="9" customWidth="1"/>
    <col min="1554" max="1792" width="11.44140625" style="9" customWidth="1"/>
    <col min="1793" max="1793" width="3.88671875" style="9" customWidth="1"/>
    <col min="1794" max="1794" width="0" style="9" hidden="1"/>
    <col min="1795" max="1795" width="10.88671875" style="9" customWidth="1"/>
    <col min="1796" max="1796" width="17.6640625" style="9" customWidth="1"/>
    <col min="1797" max="1797" width="22.6640625" style="9" customWidth="1"/>
    <col min="1798" max="1798" width="21.44140625" style="9" customWidth="1"/>
    <col min="1799" max="1799" width="22.33203125" style="9" customWidth="1"/>
    <col min="1800" max="1802" width="5.33203125" style="9" customWidth="1"/>
    <col min="1803" max="1803" width="20.109375" style="9" customWidth="1"/>
    <col min="1804" max="1804" width="13" style="9" customWidth="1"/>
    <col min="1805" max="1805" width="10.109375" style="9" customWidth="1"/>
    <col min="1806" max="1806" width="11.5546875" style="9" customWidth="1"/>
    <col min="1807" max="1807" width="34.88671875" style="9" customWidth="1"/>
    <col min="1808" max="1808" width="7.5546875" style="9" customWidth="1"/>
    <col min="1809" max="1809" width="33.6640625" style="9" customWidth="1"/>
    <col min="1810" max="2048" width="11.44140625" style="9" customWidth="1"/>
    <col min="2049" max="2049" width="3.88671875" style="9" customWidth="1"/>
    <col min="2050" max="2050" width="0" style="9" hidden="1"/>
    <col min="2051" max="2051" width="10.88671875" style="9" customWidth="1"/>
    <col min="2052" max="2052" width="17.6640625" style="9" customWidth="1"/>
    <col min="2053" max="2053" width="22.6640625" style="9" customWidth="1"/>
    <col min="2054" max="2054" width="21.44140625" style="9" customWidth="1"/>
    <col min="2055" max="2055" width="22.33203125" style="9" customWidth="1"/>
    <col min="2056" max="2058" width="5.33203125" style="9" customWidth="1"/>
    <col min="2059" max="2059" width="20.109375" style="9" customWidth="1"/>
    <col min="2060" max="2060" width="13" style="9" customWidth="1"/>
    <col min="2061" max="2061" width="10.109375" style="9" customWidth="1"/>
    <col min="2062" max="2062" width="11.5546875" style="9" customWidth="1"/>
    <col min="2063" max="2063" width="34.88671875" style="9" customWidth="1"/>
    <col min="2064" max="2064" width="7.5546875" style="9" customWidth="1"/>
    <col min="2065" max="2065" width="33.6640625" style="9" customWidth="1"/>
    <col min="2066" max="2304" width="11.44140625" style="9" customWidth="1"/>
    <col min="2305" max="2305" width="3.88671875" style="9" customWidth="1"/>
    <col min="2306" max="2306" width="0" style="9" hidden="1"/>
    <col min="2307" max="2307" width="10.88671875" style="9" customWidth="1"/>
    <col min="2308" max="2308" width="17.6640625" style="9" customWidth="1"/>
    <col min="2309" max="2309" width="22.6640625" style="9" customWidth="1"/>
    <col min="2310" max="2310" width="21.44140625" style="9" customWidth="1"/>
    <col min="2311" max="2311" width="22.33203125" style="9" customWidth="1"/>
    <col min="2312" max="2314" width="5.33203125" style="9" customWidth="1"/>
    <col min="2315" max="2315" width="20.109375" style="9" customWidth="1"/>
    <col min="2316" max="2316" width="13" style="9" customWidth="1"/>
    <col min="2317" max="2317" width="10.109375" style="9" customWidth="1"/>
    <col min="2318" max="2318" width="11.5546875" style="9" customWidth="1"/>
    <col min="2319" max="2319" width="34.88671875" style="9" customWidth="1"/>
    <col min="2320" max="2320" width="7.5546875" style="9" customWidth="1"/>
    <col min="2321" max="2321" width="33.6640625" style="9" customWidth="1"/>
    <col min="2322" max="2560" width="11.44140625" style="9" customWidth="1"/>
    <col min="2561" max="2561" width="3.88671875" style="9" customWidth="1"/>
    <col min="2562" max="2562" width="0" style="9" hidden="1"/>
    <col min="2563" max="2563" width="10.88671875" style="9" customWidth="1"/>
    <col min="2564" max="2564" width="17.6640625" style="9" customWidth="1"/>
    <col min="2565" max="2565" width="22.6640625" style="9" customWidth="1"/>
    <col min="2566" max="2566" width="21.44140625" style="9" customWidth="1"/>
    <col min="2567" max="2567" width="22.33203125" style="9" customWidth="1"/>
    <col min="2568" max="2570" width="5.33203125" style="9" customWidth="1"/>
    <col min="2571" max="2571" width="20.109375" style="9" customWidth="1"/>
    <col min="2572" max="2572" width="13" style="9" customWidth="1"/>
    <col min="2573" max="2573" width="10.109375" style="9" customWidth="1"/>
    <col min="2574" max="2574" width="11.5546875" style="9" customWidth="1"/>
    <col min="2575" max="2575" width="34.88671875" style="9" customWidth="1"/>
    <col min="2576" max="2576" width="7.5546875" style="9" customWidth="1"/>
    <col min="2577" max="2577" width="33.6640625" style="9" customWidth="1"/>
    <col min="2578" max="2816" width="11.44140625" style="9" customWidth="1"/>
    <col min="2817" max="2817" width="3.88671875" style="9" customWidth="1"/>
    <col min="2818" max="2818" width="0" style="9" hidden="1"/>
    <col min="2819" max="2819" width="10.88671875" style="9" customWidth="1"/>
    <col min="2820" max="2820" width="17.6640625" style="9" customWidth="1"/>
    <col min="2821" max="2821" width="22.6640625" style="9" customWidth="1"/>
    <col min="2822" max="2822" width="21.44140625" style="9" customWidth="1"/>
    <col min="2823" max="2823" width="22.33203125" style="9" customWidth="1"/>
    <col min="2824" max="2826" width="5.33203125" style="9" customWidth="1"/>
    <col min="2827" max="2827" width="20.109375" style="9" customWidth="1"/>
    <col min="2828" max="2828" width="13" style="9" customWidth="1"/>
    <col min="2829" max="2829" width="10.109375" style="9" customWidth="1"/>
    <col min="2830" max="2830" width="11.5546875" style="9" customWidth="1"/>
    <col min="2831" max="2831" width="34.88671875" style="9" customWidth="1"/>
    <col min="2832" max="2832" width="7.5546875" style="9" customWidth="1"/>
    <col min="2833" max="2833" width="33.6640625" style="9" customWidth="1"/>
    <col min="2834" max="3072" width="11.44140625" style="9" customWidth="1"/>
    <col min="3073" max="3073" width="3.88671875" style="9" customWidth="1"/>
    <col min="3074" max="3074" width="0" style="9" hidden="1"/>
    <col min="3075" max="3075" width="10.88671875" style="9" customWidth="1"/>
    <col min="3076" max="3076" width="17.6640625" style="9" customWidth="1"/>
    <col min="3077" max="3077" width="22.6640625" style="9" customWidth="1"/>
    <col min="3078" max="3078" width="21.44140625" style="9" customWidth="1"/>
    <col min="3079" max="3079" width="22.33203125" style="9" customWidth="1"/>
    <col min="3080" max="3082" width="5.33203125" style="9" customWidth="1"/>
    <col min="3083" max="3083" width="20.109375" style="9" customWidth="1"/>
    <col min="3084" max="3084" width="13" style="9" customWidth="1"/>
    <col min="3085" max="3085" width="10.109375" style="9" customWidth="1"/>
    <col min="3086" max="3086" width="11.5546875" style="9" customWidth="1"/>
    <col min="3087" max="3087" width="34.88671875" style="9" customWidth="1"/>
    <col min="3088" max="3088" width="7.5546875" style="9" customWidth="1"/>
    <col min="3089" max="3089" width="33.6640625" style="9" customWidth="1"/>
    <col min="3090" max="3328" width="11.44140625" style="9" customWidth="1"/>
    <col min="3329" max="3329" width="3.88671875" style="9" customWidth="1"/>
    <col min="3330" max="3330" width="0" style="9" hidden="1"/>
    <col min="3331" max="3331" width="10.88671875" style="9" customWidth="1"/>
    <col min="3332" max="3332" width="17.6640625" style="9" customWidth="1"/>
    <col min="3333" max="3333" width="22.6640625" style="9" customWidth="1"/>
    <col min="3334" max="3334" width="21.44140625" style="9" customWidth="1"/>
    <col min="3335" max="3335" width="22.33203125" style="9" customWidth="1"/>
    <col min="3336" max="3338" width="5.33203125" style="9" customWidth="1"/>
    <col min="3339" max="3339" width="20.109375" style="9" customWidth="1"/>
    <col min="3340" max="3340" width="13" style="9" customWidth="1"/>
    <col min="3341" max="3341" width="10.109375" style="9" customWidth="1"/>
    <col min="3342" max="3342" width="11.5546875" style="9" customWidth="1"/>
    <col min="3343" max="3343" width="34.88671875" style="9" customWidth="1"/>
    <col min="3344" max="3344" width="7.5546875" style="9" customWidth="1"/>
    <col min="3345" max="3345" width="33.6640625" style="9" customWidth="1"/>
    <col min="3346" max="3584" width="11.44140625" style="9" customWidth="1"/>
    <col min="3585" max="3585" width="3.88671875" style="9" customWidth="1"/>
    <col min="3586" max="3586" width="0" style="9" hidden="1"/>
    <col min="3587" max="3587" width="10.88671875" style="9" customWidth="1"/>
    <col min="3588" max="3588" width="17.6640625" style="9" customWidth="1"/>
    <col min="3589" max="3589" width="22.6640625" style="9" customWidth="1"/>
    <col min="3590" max="3590" width="21.44140625" style="9" customWidth="1"/>
    <col min="3591" max="3591" width="22.33203125" style="9" customWidth="1"/>
    <col min="3592" max="3594" width="5.33203125" style="9" customWidth="1"/>
    <col min="3595" max="3595" width="20.109375" style="9" customWidth="1"/>
    <col min="3596" max="3596" width="13" style="9" customWidth="1"/>
    <col min="3597" max="3597" width="10.109375" style="9" customWidth="1"/>
    <col min="3598" max="3598" width="11.5546875" style="9" customWidth="1"/>
    <col min="3599" max="3599" width="34.88671875" style="9" customWidth="1"/>
    <col min="3600" max="3600" width="7.5546875" style="9" customWidth="1"/>
    <col min="3601" max="3601" width="33.6640625" style="9" customWidth="1"/>
    <col min="3602" max="3840" width="11.44140625" style="9" customWidth="1"/>
    <col min="3841" max="3841" width="3.88671875" style="9" customWidth="1"/>
    <col min="3842" max="3842" width="0" style="9" hidden="1"/>
    <col min="3843" max="3843" width="10.88671875" style="9" customWidth="1"/>
    <col min="3844" max="3844" width="17.6640625" style="9" customWidth="1"/>
    <col min="3845" max="3845" width="22.6640625" style="9" customWidth="1"/>
    <col min="3846" max="3846" width="21.44140625" style="9" customWidth="1"/>
    <col min="3847" max="3847" width="22.33203125" style="9" customWidth="1"/>
    <col min="3848" max="3850" width="5.33203125" style="9" customWidth="1"/>
    <col min="3851" max="3851" width="20.109375" style="9" customWidth="1"/>
    <col min="3852" max="3852" width="13" style="9" customWidth="1"/>
    <col min="3853" max="3853" width="10.109375" style="9" customWidth="1"/>
    <col min="3854" max="3854" width="11.5546875" style="9" customWidth="1"/>
    <col min="3855" max="3855" width="34.88671875" style="9" customWidth="1"/>
    <col min="3856" max="3856" width="7.5546875" style="9" customWidth="1"/>
    <col min="3857" max="3857" width="33.6640625" style="9" customWidth="1"/>
    <col min="3858" max="4096" width="11.44140625" style="9" customWidth="1"/>
    <col min="4097" max="4097" width="3.88671875" style="9" customWidth="1"/>
    <col min="4098" max="4098" width="0" style="9" hidden="1"/>
    <col min="4099" max="4099" width="10.88671875" style="9" customWidth="1"/>
    <col min="4100" max="4100" width="17.6640625" style="9" customWidth="1"/>
    <col min="4101" max="4101" width="22.6640625" style="9" customWidth="1"/>
    <col min="4102" max="4102" width="21.44140625" style="9" customWidth="1"/>
    <col min="4103" max="4103" width="22.33203125" style="9" customWidth="1"/>
    <col min="4104" max="4106" width="5.33203125" style="9" customWidth="1"/>
    <col min="4107" max="4107" width="20.109375" style="9" customWidth="1"/>
    <col min="4108" max="4108" width="13" style="9" customWidth="1"/>
    <col min="4109" max="4109" width="10.109375" style="9" customWidth="1"/>
    <col min="4110" max="4110" width="11.5546875" style="9" customWidth="1"/>
    <col min="4111" max="4111" width="34.88671875" style="9" customWidth="1"/>
    <col min="4112" max="4112" width="7.5546875" style="9" customWidth="1"/>
    <col min="4113" max="4113" width="33.6640625" style="9" customWidth="1"/>
    <col min="4114" max="4352" width="11.44140625" style="9" customWidth="1"/>
    <col min="4353" max="4353" width="3.88671875" style="9" customWidth="1"/>
    <col min="4354" max="4354" width="0" style="9" hidden="1"/>
    <col min="4355" max="4355" width="10.88671875" style="9" customWidth="1"/>
    <col min="4356" max="4356" width="17.6640625" style="9" customWidth="1"/>
    <col min="4357" max="4357" width="22.6640625" style="9" customWidth="1"/>
    <col min="4358" max="4358" width="21.44140625" style="9" customWidth="1"/>
    <col min="4359" max="4359" width="22.33203125" style="9" customWidth="1"/>
    <col min="4360" max="4362" width="5.33203125" style="9" customWidth="1"/>
    <col min="4363" max="4363" width="20.109375" style="9" customWidth="1"/>
    <col min="4364" max="4364" width="13" style="9" customWidth="1"/>
    <col min="4365" max="4365" width="10.109375" style="9" customWidth="1"/>
    <col min="4366" max="4366" width="11.5546875" style="9" customWidth="1"/>
    <col min="4367" max="4367" width="34.88671875" style="9" customWidth="1"/>
    <col min="4368" max="4368" width="7.5546875" style="9" customWidth="1"/>
    <col min="4369" max="4369" width="33.6640625" style="9" customWidth="1"/>
    <col min="4370" max="4608" width="11.44140625" style="9" customWidth="1"/>
    <col min="4609" max="4609" width="3.88671875" style="9" customWidth="1"/>
    <col min="4610" max="4610" width="0" style="9" hidden="1"/>
    <col min="4611" max="4611" width="10.88671875" style="9" customWidth="1"/>
    <col min="4612" max="4612" width="17.6640625" style="9" customWidth="1"/>
    <col min="4613" max="4613" width="22.6640625" style="9" customWidth="1"/>
    <col min="4614" max="4614" width="21.44140625" style="9" customWidth="1"/>
    <col min="4615" max="4615" width="22.33203125" style="9" customWidth="1"/>
    <col min="4616" max="4618" width="5.33203125" style="9" customWidth="1"/>
    <col min="4619" max="4619" width="20.109375" style="9" customWidth="1"/>
    <col min="4620" max="4620" width="13" style="9" customWidth="1"/>
    <col min="4621" max="4621" width="10.109375" style="9" customWidth="1"/>
    <col min="4622" max="4622" width="11.5546875" style="9" customWidth="1"/>
    <col min="4623" max="4623" width="34.88671875" style="9" customWidth="1"/>
    <col min="4624" max="4624" width="7.5546875" style="9" customWidth="1"/>
    <col min="4625" max="4625" width="33.6640625" style="9" customWidth="1"/>
    <col min="4626" max="4864" width="11.44140625" style="9" customWidth="1"/>
    <col min="4865" max="4865" width="3.88671875" style="9" customWidth="1"/>
    <col min="4866" max="4866" width="0" style="9" hidden="1"/>
    <col min="4867" max="4867" width="10.88671875" style="9" customWidth="1"/>
    <col min="4868" max="4868" width="17.6640625" style="9" customWidth="1"/>
    <col min="4869" max="4869" width="22.6640625" style="9" customWidth="1"/>
    <col min="4870" max="4870" width="21.44140625" style="9" customWidth="1"/>
    <col min="4871" max="4871" width="22.33203125" style="9" customWidth="1"/>
    <col min="4872" max="4874" width="5.33203125" style="9" customWidth="1"/>
    <col min="4875" max="4875" width="20.109375" style="9" customWidth="1"/>
    <col min="4876" max="4876" width="13" style="9" customWidth="1"/>
    <col min="4877" max="4877" width="10.109375" style="9" customWidth="1"/>
    <col min="4878" max="4878" width="11.5546875" style="9" customWidth="1"/>
    <col min="4879" max="4879" width="34.88671875" style="9" customWidth="1"/>
    <col min="4880" max="4880" width="7.5546875" style="9" customWidth="1"/>
    <col min="4881" max="4881" width="33.6640625" style="9" customWidth="1"/>
    <col min="4882" max="5120" width="11.44140625" style="9" customWidth="1"/>
    <col min="5121" max="5121" width="3.88671875" style="9" customWidth="1"/>
    <col min="5122" max="5122" width="0" style="9" hidden="1"/>
    <col min="5123" max="5123" width="10.88671875" style="9" customWidth="1"/>
    <col min="5124" max="5124" width="17.6640625" style="9" customWidth="1"/>
    <col min="5125" max="5125" width="22.6640625" style="9" customWidth="1"/>
    <col min="5126" max="5126" width="21.44140625" style="9" customWidth="1"/>
    <col min="5127" max="5127" width="22.33203125" style="9" customWidth="1"/>
    <col min="5128" max="5130" width="5.33203125" style="9" customWidth="1"/>
    <col min="5131" max="5131" width="20.109375" style="9" customWidth="1"/>
    <col min="5132" max="5132" width="13" style="9" customWidth="1"/>
    <col min="5133" max="5133" width="10.109375" style="9" customWidth="1"/>
    <col min="5134" max="5134" width="11.5546875" style="9" customWidth="1"/>
    <col min="5135" max="5135" width="34.88671875" style="9" customWidth="1"/>
    <col min="5136" max="5136" width="7.5546875" style="9" customWidth="1"/>
    <col min="5137" max="5137" width="33.6640625" style="9" customWidth="1"/>
    <col min="5138" max="5376" width="11.44140625" style="9" customWidth="1"/>
    <col min="5377" max="5377" width="3.88671875" style="9" customWidth="1"/>
    <col min="5378" max="5378" width="0" style="9" hidden="1"/>
    <col min="5379" max="5379" width="10.88671875" style="9" customWidth="1"/>
    <col min="5380" max="5380" width="17.6640625" style="9" customWidth="1"/>
    <col min="5381" max="5381" width="22.6640625" style="9" customWidth="1"/>
    <col min="5382" max="5382" width="21.44140625" style="9" customWidth="1"/>
    <col min="5383" max="5383" width="22.33203125" style="9" customWidth="1"/>
    <col min="5384" max="5386" width="5.33203125" style="9" customWidth="1"/>
    <col min="5387" max="5387" width="20.109375" style="9" customWidth="1"/>
    <col min="5388" max="5388" width="13" style="9" customWidth="1"/>
    <col min="5389" max="5389" width="10.109375" style="9" customWidth="1"/>
    <col min="5390" max="5390" width="11.5546875" style="9" customWidth="1"/>
    <col min="5391" max="5391" width="34.88671875" style="9" customWidth="1"/>
    <col min="5392" max="5392" width="7.5546875" style="9" customWidth="1"/>
    <col min="5393" max="5393" width="33.6640625" style="9" customWidth="1"/>
    <col min="5394" max="5632" width="11.44140625" style="9" customWidth="1"/>
    <col min="5633" max="5633" width="3.88671875" style="9" customWidth="1"/>
    <col min="5634" max="5634" width="0" style="9" hidden="1"/>
    <col min="5635" max="5635" width="10.88671875" style="9" customWidth="1"/>
    <col min="5636" max="5636" width="17.6640625" style="9" customWidth="1"/>
    <col min="5637" max="5637" width="22.6640625" style="9" customWidth="1"/>
    <col min="5638" max="5638" width="21.44140625" style="9" customWidth="1"/>
    <col min="5639" max="5639" width="22.33203125" style="9" customWidth="1"/>
    <col min="5640" max="5642" width="5.33203125" style="9" customWidth="1"/>
    <col min="5643" max="5643" width="20.109375" style="9" customWidth="1"/>
    <col min="5644" max="5644" width="13" style="9" customWidth="1"/>
    <col min="5645" max="5645" width="10.109375" style="9" customWidth="1"/>
    <col min="5646" max="5646" width="11.5546875" style="9" customWidth="1"/>
    <col min="5647" max="5647" width="34.88671875" style="9" customWidth="1"/>
    <col min="5648" max="5648" width="7.5546875" style="9" customWidth="1"/>
    <col min="5649" max="5649" width="33.6640625" style="9" customWidth="1"/>
    <col min="5650" max="5888" width="11.44140625" style="9" customWidth="1"/>
    <col min="5889" max="5889" width="3.88671875" style="9" customWidth="1"/>
    <col min="5890" max="5890" width="0" style="9" hidden="1"/>
    <col min="5891" max="5891" width="10.88671875" style="9" customWidth="1"/>
    <col min="5892" max="5892" width="17.6640625" style="9" customWidth="1"/>
    <col min="5893" max="5893" width="22.6640625" style="9" customWidth="1"/>
    <col min="5894" max="5894" width="21.44140625" style="9" customWidth="1"/>
    <col min="5895" max="5895" width="22.33203125" style="9" customWidth="1"/>
    <col min="5896" max="5898" width="5.33203125" style="9" customWidth="1"/>
    <col min="5899" max="5899" width="20.109375" style="9" customWidth="1"/>
    <col min="5900" max="5900" width="13" style="9" customWidth="1"/>
    <col min="5901" max="5901" width="10.109375" style="9" customWidth="1"/>
    <col min="5902" max="5902" width="11.5546875" style="9" customWidth="1"/>
    <col min="5903" max="5903" width="34.88671875" style="9" customWidth="1"/>
    <col min="5904" max="5904" width="7.5546875" style="9" customWidth="1"/>
    <col min="5905" max="5905" width="33.6640625" style="9" customWidth="1"/>
    <col min="5906" max="6144" width="11.44140625" style="9" customWidth="1"/>
    <col min="6145" max="6145" width="3.88671875" style="9" customWidth="1"/>
    <col min="6146" max="6146" width="0" style="9" hidden="1"/>
    <col min="6147" max="6147" width="10.88671875" style="9" customWidth="1"/>
    <col min="6148" max="6148" width="17.6640625" style="9" customWidth="1"/>
    <col min="6149" max="6149" width="22.6640625" style="9" customWidth="1"/>
    <col min="6150" max="6150" width="21.44140625" style="9" customWidth="1"/>
    <col min="6151" max="6151" width="22.33203125" style="9" customWidth="1"/>
    <col min="6152" max="6154" width="5.33203125" style="9" customWidth="1"/>
    <col min="6155" max="6155" width="20.109375" style="9" customWidth="1"/>
    <col min="6156" max="6156" width="13" style="9" customWidth="1"/>
    <col min="6157" max="6157" width="10.109375" style="9" customWidth="1"/>
    <col min="6158" max="6158" width="11.5546875" style="9" customWidth="1"/>
    <col min="6159" max="6159" width="34.88671875" style="9" customWidth="1"/>
    <col min="6160" max="6160" width="7.5546875" style="9" customWidth="1"/>
    <col min="6161" max="6161" width="33.6640625" style="9" customWidth="1"/>
    <col min="6162" max="6400" width="11.44140625" style="9" customWidth="1"/>
    <col min="6401" max="6401" width="3.88671875" style="9" customWidth="1"/>
    <col min="6402" max="6402" width="0" style="9" hidden="1"/>
    <col min="6403" max="6403" width="10.88671875" style="9" customWidth="1"/>
    <col min="6404" max="6404" width="17.6640625" style="9" customWidth="1"/>
    <col min="6405" max="6405" width="22.6640625" style="9" customWidth="1"/>
    <col min="6406" max="6406" width="21.44140625" style="9" customWidth="1"/>
    <col min="6407" max="6407" width="22.33203125" style="9" customWidth="1"/>
    <col min="6408" max="6410" width="5.33203125" style="9" customWidth="1"/>
    <col min="6411" max="6411" width="20.109375" style="9" customWidth="1"/>
    <col min="6412" max="6412" width="13" style="9" customWidth="1"/>
    <col min="6413" max="6413" width="10.109375" style="9" customWidth="1"/>
    <col min="6414" max="6414" width="11.5546875" style="9" customWidth="1"/>
    <col min="6415" max="6415" width="34.88671875" style="9" customWidth="1"/>
    <col min="6416" max="6416" width="7.5546875" style="9" customWidth="1"/>
    <col min="6417" max="6417" width="33.6640625" style="9" customWidth="1"/>
    <col min="6418" max="6656" width="11.44140625" style="9" customWidth="1"/>
    <col min="6657" max="6657" width="3.88671875" style="9" customWidth="1"/>
    <col min="6658" max="6658" width="0" style="9" hidden="1"/>
    <col min="6659" max="6659" width="10.88671875" style="9" customWidth="1"/>
    <col min="6660" max="6660" width="17.6640625" style="9" customWidth="1"/>
    <col min="6661" max="6661" width="22.6640625" style="9" customWidth="1"/>
    <col min="6662" max="6662" width="21.44140625" style="9" customWidth="1"/>
    <col min="6663" max="6663" width="22.33203125" style="9" customWidth="1"/>
    <col min="6664" max="6666" width="5.33203125" style="9" customWidth="1"/>
    <col min="6667" max="6667" width="20.109375" style="9" customWidth="1"/>
    <col min="6668" max="6668" width="13" style="9" customWidth="1"/>
    <col min="6669" max="6669" width="10.109375" style="9" customWidth="1"/>
    <col min="6670" max="6670" width="11.5546875" style="9" customWidth="1"/>
    <col min="6671" max="6671" width="34.88671875" style="9" customWidth="1"/>
    <col min="6672" max="6672" width="7.5546875" style="9" customWidth="1"/>
    <col min="6673" max="6673" width="33.6640625" style="9" customWidth="1"/>
    <col min="6674" max="6912" width="11.44140625" style="9" customWidth="1"/>
    <col min="6913" max="6913" width="3.88671875" style="9" customWidth="1"/>
    <col min="6914" max="6914" width="0" style="9" hidden="1"/>
    <col min="6915" max="6915" width="10.88671875" style="9" customWidth="1"/>
    <col min="6916" max="6916" width="17.6640625" style="9" customWidth="1"/>
    <col min="6917" max="6917" width="22.6640625" style="9" customWidth="1"/>
    <col min="6918" max="6918" width="21.44140625" style="9" customWidth="1"/>
    <col min="6919" max="6919" width="22.33203125" style="9" customWidth="1"/>
    <col min="6920" max="6922" width="5.33203125" style="9" customWidth="1"/>
    <col min="6923" max="6923" width="20.109375" style="9" customWidth="1"/>
    <col min="6924" max="6924" width="13" style="9" customWidth="1"/>
    <col min="6925" max="6925" width="10.109375" style="9" customWidth="1"/>
    <col min="6926" max="6926" width="11.5546875" style="9" customWidth="1"/>
    <col min="6927" max="6927" width="34.88671875" style="9" customWidth="1"/>
    <col min="6928" max="6928" width="7.5546875" style="9" customWidth="1"/>
    <col min="6929" max="6929" width="33.6640625" style="9" customWidth="1"/>
    <col min="6930" max="7168" width="11.44140625" style="9" customWidth="1"/>
    <col min="7169" max="7169" width="3.88671875" style="9" customWidth="1"/>
    <col min="7170" max="7170" width="0" style="9" hidden="1"/>
    <col min="7171" max="7171" width="10.88671875" style="9" customWidth="1"/>
    <col min="7172" max="7172" width="17.6640625" style="9" customWidth="1"/>
    <col min="7173" max="7173" width="22.6640625" style="9" customWidth="1"/>
    <col min="7174" max="7174" width="21.44140625" style="9" customWidth="1"/>
    <col min="7175" max="7175" width="22.33203125" style="9" customWidth="1"/>
    <col min="7176" max="7178" width="5.33203125" style="9" customWidth="1"/>
    <col min="7179" max="7179" width="20.109375" style="9" customWidth="1"/>
    <col min="7180" max="7180" width="13" style="9" customWidth="1"/>
    <col min="7181" max="7181" width="10.109375" style="9" customWidth="1"/>
    <col min="7182" max="7182" width="11.5546875" style="9" customWidth="1"/>
    <col min="7183" max="7183" width="34.88671875" style="9" customWidth="1"/>
    <col min="7184" max="7184" width="7.5546875" style="9" customWidth="1"/>
    <col min="7185" max="7185" width="33.6640625" style="9" customWidth="1"/>
    <col min="7186" max="7424" width="11.44140625" style="9" customWidth="1"/>
    <col min="7425" max="7425" width="3.88671875" style="9" customWidth="1"/>
    <col min="7426" max="7426" width="0" style="9" hidden="1"/>
    <col min="7427" max="7427" width="10.88671875" style="9" customWidth="1"/>
    <col min="7428" max="7428" width="17.6640625" style="9" customWidth="1"/>
    <col min="7429" max="7429" width="22.6640625" style="9" customWidth="1"/>
    <col min="7430" max="7430" width="21.44140625" style="9" customWidth="1"/>
    <col min="7431" max="7431" width="22.33203125" style="9" customWidth="1"/>
    <col min="7432" max="7434" width="5.33203125" style="9" customWidth="1"/>
    <col min="7435" max="7435" width="20.109375" style="9" customWidth="1"/>
    <col min="7436" max="7436" width="13" style="9" customWidth="1"/>
    <col min="7437" max="7437" width="10.109375" style="9" customWidth="1"/>
    <col min="7438" max="7438" width="11.5546875" style="9" customWidth="1"/>
    <col min="7439" max="7439" width="34.88671875" style="9" customWidth="1"/>
    <col min="7440" max="7440" width="7.5546875" style="9" customWidth="1"/>
    <col min="7441" max="7441" width="33.6640625" style="9" customWidth="1"/>
    <col min="7442" max="7680" width="11.44140625" style="9" customWidth="1"/>
    <col min="7681" max="7681" width="3.88671875" style="9" customWidth="1"/>
    <col min="7682" max="7682" width="0" style="9" hidden="1"/>
    <col min="7683" max="7683" width="10.88671875" style="9" customWidth="1"/>
    <col min="7684" max="7684" width="17.6640625" style="9" customWidth="1"/>
    <col min="7685" max="7685" width="22.6640625" style="9" customWidth="1"/>
    <col min="7686" max="7686" width="21.44140625" style="9" customWidth="1"/>
    <col min="7687" max="7687" width="22.33203125" style="9" customWidth="1"/>
    <col min="7688" max="7690" width="5.33203125" style="9" customWidth="1"/>
    <col min="7691" max="7691" width="20.109375" style="9" customWidth="1"/>
    <col min="7692" max="7692" width="13" style="9" customWidth="1"/>
    <col min="7693" max="7693" width="10.109375" style="9" customWidth="1"/>
    <col min="7694" max="7694" width="11.5546875" style="9" customWidth="1"/>
    <col min="7695" max="7695" width="34.88671875" style="9" customWidth="1"/>
    <col min="7696" max="7696" width="7.5546875" style="9" customWidth="1"/>
    <col min="7697" max="7697" width="33.6640625" style="9" customWidth="1"/>
    <col min="7698" max="7936" width="11.44140625" style="9" customWidth="1"/>
    <col min="7937" max="7937" width="3.88671875" style="9" customWidth="1"/>
    <col min="7938" max="7938" width="0" style="9" hidden="1"/>
    <col min="7939" max="7939" width="10.88671875" style="9" customWidth="1"/>
    <col min="7940" max="7940" width="17.6640625" style="9" customWidth="1"/>
    <col min="7941" max="7941" width="22.6640625" style="9" customWidth="1"/>
    <col min="7942" max="7942" width="21.44140625" style="9" customWidth="1"/>
    <col min="7943" max="7943" width="22.33203125" style="9" customWidth="1"/>
    <col min="7944" max="7946" width="5.33203125" style="9" customWidth="1"/>
    <col min="7947" max="7947" width="20.109375" style="9" customWidth="1"/>
    <col min="7948" max="7948" width="13" style="9" customWidth="1"/>
    <col min="7949" max="7949" width="10.109375" style="9" customWidth="1"/>
    <col min="7950" max="7950" width="11.5546875" style="9" customWidth="1"/>
    <col min="7951" max="7951" width="34.88671875" style="9" customWidth="1"/>
    <col min="7952" max="7952" width="7.5546875" style="9" customWidth="1"/>
    <col min="7953" max="7953" width="33.6640625" style="9" customWidth="1"/>
    <col min="7954" max="8192" width="11.44140625" style="9" customWidth="1"/>
    <col min="8193" max="8193" width="3.88671875" style="9" customWidth="1"/>
    <col min="8194" max="8194" width="0" style="9" hidden="1"/>
    <col min="8195" max="8195" width="10.88671875" style="9" customWidth="1"/>
    <col min="8196" max="8196" width="17.6640625" style="9" customWidth="1"/>
    <col min="8197" max="8197" width="22.6640625" style="9" customWidth="1"/>
    <col min="8198" max="8198" width="21.44140625" style="9" customWidth="1"/>
    <col min="8199" max="8199" width="22.33203125" style="9" customWidth="1"/>
    <col min="8200" max="8202" width="5.33203125" style="9" customWidth="1"/>
    <col min="8203" max="8203" width="20.109375" style="9" customWidth="1"/>
    <col min="8204" max="8204" width="13" style="9" customWidth="1"/>
    <col min="8205" max="8205" width="10.109375" style="9" customWidth="1"/>
    <col min="8206" max="8206" width="11.5546875" style="9" customWidth="1"/>
    <col min="8207" max="8207" width="34.88671875" style="9" customWidth="1"/>
    <col min="8208" max="8208" width="7.5546875" style="9" customWidth="1"/>
    <col min="8209" max="8209" width="33.6640625" style="9" customWidth="1"/>
    <col min="8210" max="8448" width="11.44140625" style="9" customWidth="1"/>
    <col min="8449" max="8449" width="3.88671875" style="9" customWidth="1"/>
    <col min="8450" max="8450" width="0" style="9" hidden="1"/>
    <col min="8451" max="8451" width="10.88671875" style="9" customWidth="1"/>
    <col min="8452" max="8452" width="17.6640625" style="9" customWidth="1"/>
    <col min="8453" max="8453" width="22.6640625" style="9" customWidth="1"/>
    <col min="8454" max="8454" width="21.44140625" style="9" customWidth="1"/>
    <col min="8455" max="8455" width="22.33203125" style="9" customWidth="1"/>
    <col min="8456" max="8458" width="5.33203125" style="9" customWidth="1"/>
    <col min="8459" max="8459" width="20.109375" style="9" customWidth="1"/>
    <col min="8460" max="8460" width="13" style="9" customWidth="1"/>
    <col min="8461" max="8461" width="10.109375" style="9" customWidth="1"/>
    <col min="8462" max="8462" width="11.5546875" style="9" customWidth="1"/>
    <col min="8463" max="8463" width="34.88671875" style="9" customWidth="1"/>
    <col min="8464" max="8464" width="7.5546875" style="9" customWidth="1"/>
    <col min="8465" max="8465" width="33.6640625" style="9" customWidth="1"/>
    <col min="8466" max="8704" width="11.44140625" style="9" customWidth="1"/>
    <col min="8705" max="8705" width="3.88671875" style="9" customWidth="1"/>
    <col min="8706" max="8706" width="0" style="9" hidden="1"/>
    <col min="8707" max="8707" width="10.88671875" style="9" customWidth="1"/>
    <col min="8708" max="8708" width="17.6640625" style="9" customWidth="1"/>
    <col min="8709" max="8709" width="22.6640625" style="9" customWidth="1"/>
    <col min="8710" max="8710" width="21.44140625" style="9" customWidth="1"/>
    <col min="8711" max="8711" width="22.33203125" style="9" customWidth="1"/>
    <col min="8712" max="8714" width="5.33203125" style="9" customWidth="1"/>
    <col min="8715" max="8715" width="20.109375" style="9" customWidth="1"/>
    <col min="8716" max="8716" width="13" style="9" customWidth="1"/>
    <col min="8717" max="8717" width="10.109375" style="9" customWidth="1"/>
    <col min="8718" max="8718" width="11.5546875" style="9" customWidth="1"/>
    <col min="8719" max="8719" width="34.88671875" style="9" customWidth="1"/>
    <col min="8720" max="8720" width="7.5546875" style="9" customWidth="1"/>
    <col min="8721" max="8721" width="33.6640625" style="9" customWidth="1"/>
    <col min="8722" max="8960" width="11.44140625" style="9" customWidth="1"/>
    <col min="8961" max="8961" width="3.88671875" style="9" customWidth="1"/>
    <col min="8962" max="8962" width="0" style="9" hidden="1"/>
    <col min="8963" max="8963" width="10.88671875" style="9" customWidth="1"/>
    <col min="8964" max="8964" width="17.6640625" style="9" customWidth="1"/>
    <col min="8965" max="8965" width="22.6640625" style="9" customWidth="1"/>
    <col min="8966" max="8966" width="21.44140625" style="9" customWidth="1"/>
    <col min="8967" max="8967" width="22.33203125" style="9" customWidth="1"/>
    <col min="8968" max="8970" width="5.33203125" style="9" customWidth="1"/>
    <col min="8971" max="8971" width="20.109375" style="9" customWidth="1"/>
    <col min="8972" max="8972" width="13" style="9" customWidth="1"/>
    <col min="8973" max="8973" width="10.109375" style="9" customWidth="1"/>
    <col min="8974" max="8974" width="11.5546875" style="9" customWidth="1"/>
    <col min="8975" max="8975" width="34.88671875" style="9" customWidth="1"/>
    <col min="8976" max="8976" width="7.5546875" style="9" customWidth="1"/>
    <col min="8977" max="8977" width="33.6640625" style="9" customWidth="1"/>
    <col min="8978" max="9216" width="11.44140625" style="9" customWidth="1"/>
    <col min="9217" max="9217" width="3.88671875" style="9" customWidth="1"/>
    <col min="9218" max="9218" width="0" style="9" hidden="1"/>
    <col min="9219" max="9219" width="10.88671875" style="9" customWidth="1"/>
    <col min="9220" max="9220" width="17.6640625" style="9" customWidth="1"/>
    <col min="9221" max="9221" width="22.6640625" style="9" customWidth="1"/>
    <col min="9222" max="9222" width="21.44140625" style="9" customWidth="1"/>
    <col min="9223" max="9223" width="22.33203125" style="9" customWidth="1"/>
    <col min="9224" max="9226" width="5.33203125" style="9" customWidth="1"/>
    <col min="9227" max="9227" width="20.109375" style="9" customWidth="1"/>
    <col min="9228" max="9228" width="13" style="9" customWidth="1"/>
    <col min="9229" max="9229" width="10.109375" style="9" customWidth="1"/>
    <col min="9230" max="9230" width="11.5546875" style="9" customWidth="1"/>
    <col min="9231" max="9231" width="34.88671875" style="9" customWidth="1"/>
    <col min="9232" max="9232" width="7.5546875" style="9" customWidth="1"/>
    <col min="9233" max="9233" width="33.6640625" style="9" customWidth="1"/>
    <col min="9234" max="9472" width="11.44140625" style="9" customWidth="1"/>
    <col min="9473" max="9473" width="3.88671875" style="9" customWidth="1"/>
    <col min="9474" max="9474" width="0" style="9" hidden="1"/>
    <col min="9475" max="9475" width="10.88671875" style="9" customWidth="1"/>
    <col min="9476" max="9476" width="17.6640625" style="9" customWidth="1"/>
    <col min="9477" max="9477" width="22.6640625" style="9" customWidth="1"/>
    <col min="9478" max="9478" width="21.44140625" style="9" customWidth="1"/>
    <col min="9479" max="9479" width="22.33203125" style="9" customWidth="1"/>
    <col min="9480" max="9482" width="5.33203125" style="9" customWidth="1"/>
    <col min="9483" max="9483" width="20.109375" style="9" customWidth="1"/>
    <col min="9484" max="9484" width="13" style="9" customWidth="1"/>
    <col min="9485" max="9485" width="10.109375" style="9" customWidth="1"/>
    <col min="9486" max="9486" width="11.5546875" style="9" customWidth="1"/>
    <col min="9487" max="9487" width="34.88671875" style="9" customWidth="1"/>
    <col min="9488" max="9488" width="7.5546875" style="9" customWidth="1"/>
    <col min="9489" max="9489" width="33.6640625" style="9" customWidth="1"/>
    <col min="9490" max="9728" width="11.44140625" style="9" customWidth="1"/>
    <col min="9729" max="9729" width="3.88671875" style="9" customWidth="1"/>
    <col min="9730" max="9730" width="0" style="9" hidden="1"/>
    <col min="9731" max="9731" width="10.88671875" style="9" customWidth="1"/>
    <col min="9732" max="9732" width="17.6640625" style="9" customWidth="1"/>
    <col min="9733" max="9733" width="22.6640625" style="9" customWidth="1"/>
    <col min="9734" max="9734" width="21.44140625" style="9" customWidth="1"/>
    <col min="9735" max="9735" width="22.33203125" style="9" customWidth="1"/>
    <col min="9736" max="9738" width="5.33203125" style="9" customWidth="1"/>
    <col min="9739" max="9739" width="20.109375" style="9" customWidth="1"/>
    <col min="9740" max="9740" width="13" style="9" customWidth="1"/>
    <col min="9741" max="9741" width="10.109375" style="9" customWidth="1"/>
    <col min="9742" max="9742" width="11.5546875" style="9" customWidth="1"/>
    <col min="9743" max="9743" width="34.88671875" style="9" customWidth="1"/>
    <col min="9744" max="9744" width="7.5546875" style="9" customWidth="1"/>
    <col min="9745" max="9745" width="33.6640625" style="9" customWidth="1"/>
    <col min="9746" max="9984" width="11.44140625" style="9" customWidth="1"/>
    <col min="9985" max="9985" width="3.88671875" style="9" customWidth="1"/>
    <col min="9986" max="9986" width="0" style="9" hidden="1"/>
    <col min="9987" max="9987" width="10.88671875" style="9" customWidth="1"/>
    <col min="9988" max="9988" width="17.6640625" style="9" customWidth="1"/>
    <col min="9989" max="9989" width="22.6640625" style="9" customWidth="1"/>
    <col min="9990" max="9990" width="21.44140625" style="9" customWidth="1"/>
    <col min="9991" max="9991" width="22.33203125" style="9" customWidth="1"/>
    <col min="9992" max="9994" width="5.33203125" style="9" customWidth="1"/>
    <col min="9995" max="9995" width="20.109375" style="9" customWidth="1"/>
    <col min="9996" max="9996" width="13" style="9" customWidth="1"/>
    <col min="9997" max="9997" width="10.109375" style="9" customWidth="1"/>
    <col min="9998" max="9998" width="11.5546875" style="9" customWidth="1"/>
    <col min="9999" max="9999" width="34.88671875" style="9" customWidth="1"/>
    <col min="10000" max="10000" width="7.5546875" style="9" customWidth="1"/>
    <col min="10001" max="10001" width="33.6640625" style="9" customWidth="1"/>
    <col min="10002" max="10240" width="11.44140625" style="9" customWidth="1"/>
    <col min="10241" max="10241" width="3.88671875" style="9" customWidth="1"/>
    <col min="10242" max="10242" width="0" style="9" hidden="1"/>
    <col min="10243" max="10243" width="10.88671875" style="9" customWidth="1"/>
    <col min="10244" max="10244" width="17.6640625" style="9" customWidth="1"/>
    <col min="10245" max="10245" width="22.6640625" style="9" customWidth="1"/>
    <col min="10246" max="10246" width="21.44140625" style="9" customWidth="1"/>
    <col min="10247" max="10247" width="22.33203125" style="9" customWidth="1"/>
    <col min="10248" max="10250" width="5.33203125" style="9" customWidth="1"/>
    <col min="10251" max="10251" width="20.109375" style="9" customWidth="1"/>
    <col min="10252" max="10252" width="13" style="9" customWidth="1"/>
    <col min="10253" max="10253" width="10.109375" style="9" customWidth="1"/>
    <col min="10254" max="10254" width="11.5546875" style="9" customWidth="1"/>
    <col min="10255" max="10255" width="34.88671875" style="9" customWidth="1"/>
    <col min="10256" max="10256" width="7.5546875" style="9" customWidth="1"/>
    <col min="10257" max="10257" width="33.6640625" style="9" customWidth="1"/>
    <col min="10258" max="10496" width="11.44140625" style="9" customWidth="1"/>
    <col min="10497" max="10497" width="3.88671875" style="9" customWidth="1"/>
    <col min="10498" max="10498" width="0" style="9" hidden="1"/>
    <col min="10499" max="10499" width="10.88671875" style="9" customWidth="1"/>
    <col min="10500" max="10500" width="17.6640625" style="9" customWidth="1"/>
    <col min="10501" max="10501" width="22.6640625" style="9" customWidth="1"/>
    <col min="10502" max="10502" width="21.44140625" style="9" customWidth="1"/>
    <col min="10503" max="10503" width="22.33203125" style="9" customWidth="1"/>
    <col min="10504" max="10506" width="5.33203125" style="9" customWidth="1"/>
    <col min="10507" max="10507" width="20.109375" style="9" customWidth="1"/>
    <col min="10508" max="10508" width="13" style="9" customWidth="1"/>
    <col min="10509" max="10509" width="10.109375" style="9" customWidth="1"/>
    <col min="10510" max="10510" width="11.5546875" style="9" customWidth="1"/>
    <col min="10511" max="10511" width="34.88671875" style="9" customWidth="1"/>
    <col min="10512" max="10512" width="7.5546875" style="9" customWidth="1"/>
    <col min="10513" max="10513" width="33.6640625" style="9" customWidth="1"/>
    <col min="10514" max="10752" width="11.44140625" style="9" customWidth="1"/>
    <col min="10753" max="10753" width="3.88671875" style="9" customWidth="1"/>
    <col min="10754" max="10754" width="0" style="9" hidden="1"/>
    <col min="10755" max="10755" width="10.88671875" style="9" customWidth="1"/>
    <col min="10756" max="10756" width="17.6640625" style="9" customWidth="1"/>
    <col min="10757" max="10757" width="22.6640625" style="9" customWidth="1"/>
    <col min="10758" max="10758" width="21.44140625" style="9" customWidth="1"/>
    <col min="10759" max="10759" width="22.33203125" style="9" customWidth="1"/>
    <col min="10760" max="10762" width="5.33203125" style="9" customWidth="1"/>
    <col min="10763" max="10763" width="20.109375" style="9" customWidth="1"/>
    <col min="10764" max="10764" width="13" style="9" customWidth="1"/>
    <col min="10765" max="10765" width="10.109375" style="9" customWidth="1"/>
    <col min="10766" max="10766" width="11.5546875" style="9" customWidth="1"/>
    <col min="10767" max="10767" width="34.88671875" style="9" customWidth="1"/>
    <col min="10768" max="10768" width="7.5546875" style="9" customWidth="1"/>
    <col min="10769" max="10769" width="33.6640625" style="9" customWidth="1"/>
    <col min="10770" max="11008" width="11.44140625" style="9" customWidth="1"/>
    <col min="11009" max="11009" width="3.88671875" style="9" customWidth="1"/>
    <col min="11010" max="11010" width="0" style="9" hidden="1"/>
    <col min="11011" max="11011" width="10.88671875" style="9" customWidth="1"/>
    <col min="11012" max="11012" width="17.6640625" style="9" customWidth="1"/>
    <col min="11013" max="11013" width="22.6640625" style="9" customWidth="1"/>
    <col min="11014" max="11014" width="21.44140625" style="9" customWidth="1"/>
    <col min="11015" max="11015" width="22.33203125" style="9" customWidth="1"/>
    <col min="11016" max="11018" width="5.33203125" style="9" customWidth="1"/>
    <col min="11019" max="11019" width="20.109375" style="9" customWidth="1"/>
    <col min="11020" max="11020" width="13" style="9" customWidth="1"/>
    <col min="11021" max="11021" width="10.109375" style="9" customWidth="1"/>
    <col min="11022" max="11022" width="11.5546875" style="9" customWidth="1"/>
    <col min="11023" max="11023" width="34.88671875" style="9" customWidth="1"/>
    <col min="11024" max="11024" width="7.5546875" style="9" customWidth="1"/>
    <col min="11025" max="11025" width="33.6640625" style="9" customWidth="1"/>
    <col min="11026" max="11264" width="11.44140625" style="9" customWidth="1"/>
    <col min="11265" max="11265" width="3.88671875" style="9" customWidth="1"/>
    <col min="11266" max="11266" width="0" style="9" hidden="1"/>
    <col min="11267" max="11267" width="10.88671875" style="9" customWidth="1"/>
    <col min="11268" max="11268" width="17.6640625" style="9" customWidth="1"/>
    <col min="11269" max="11269" width="22.6640625" style="9" customWidth="1"/>
    <col min="11270" max="11270" width="21.44140625" style="9" customWidth="1"/>
    <col min="11271" max="11271" width="22.33203125" style="9" customWidth="1"/>
    <col min="11272" max="11274" width="5.33203125" style="9" customWidth="1"/>
    <col min="11275" max="11275" width="20.109375" style="9" customWidth="1"/>
    <col min="11276" max="11276" width="13" style="9" customWidth="1"/>
    <col min="11277" max="11277" width="10.109375" style="9" customWidth="1"/>
    <col min="11278" max="11278" width="11.5546875" style="9" customWidth="1"/>
    <col min="11279" max="11279" width="34.88671875" style="9" customWidth="1"/>
    <col min="11280" max="11280" width="7.5546875" style="9" customWidth="1"/>
    <col min="11281" max="11281" width="33.6640625" style="9" customWidth="1"/>
    <col min="11282" max="11520" width="11.44140625" style="9" customWidth="1"/>
    <col min="11521" max="11521" width="3.88671875" style="9" customWidth="1"/>
    <col min="11522" max="11522" width="0" style="9" hidden="1"/>
    <col min="11523" max="11523" width="10.88671875" style="9" customWidth="1"/>
    <col min="11524" max="11524" width="17.6640625" style="9" customWidth="1"/>
    <col min="11525" max="11525" width="22.6640625" style="9" customWidth="1"/>
    <col min="11526" max="11526" width="21.44140625" style="9" customWidth="1"/>
    <col min="11527" max="11527" width="22.33203125" style="9" customWidth="1"/>
    <col min="11528" max="11530" width="5.33203125" style="9" customWidth="1"/>
    <col min="11531" max="11531" width="20.109375" style="9" customWidth="1"/>
    <col min="11532" max="11532" width="13" style="9" customWidth="1"/>
    <col min="11533" max="11533" width="10.109375" style="9" customWidth="1"/>
    <col min="11534" max="11534" width="11.5546875" style="9" customWidth="1"/>
    <col min="11535" max="11535" width="34.88671875" style="9" customWidth="1"/>
    <col min="11536" max="11536" width="7.5546875" style="9" customWidth="1"/>
    <col min="11537" max="11537" width="33.6640625" style="9" customWidth="1"/>
    <col min="11538" max="11776" width="11.44140625" style="9" customWidth="1"/>
    <col min="11777" max="11777" width="3.88671875" style="9" customWidth="1"/>
    <col min="11778" max="11778" width="0" style="9" hidden="1"/>
    <col min="11779" max="11779" width="10.88671875" style="9" customWidth="1"/>
    <col min="11780" max="11780" width="17.6640625" style="9" customWidth="1"/>
    <col min="11781" max="11781" width="22.6640625" style="9" customWidth="1"/>
    <col min="11782" max="11782" width="21.44140625" style="9" customWidth="1"/>
    <col min="11783" max="11783" width="22.33203125" style="9" customWidth="1"/>
    <col min="11784" max="11786" width="5.33203125" style="9" customWidth="1"/>
    <col min="11787" max="11787" width="20.109375" style="9" customWidth="1"/>
    <col min="11788" max="11788" width="13" style="9" customWidth="1"/>
    <col min="11789" max="11789" width="10.109375" style="9" customWidth="1"/>
    <col min="11790" max="11790" width="11.5546875" style="9" customWidth="1"/>
    <col min="11791" max="11791" width="34.88671875" style="9" customWidth="1"/>
    <col min="11792" max="11792" width="7.5546875" style="9" customWidth="1"/>
    <col min="11793" max="11793" width="33.6640625" style="9" customWidth="1"/>
    <col min="11794" max="12032" width="11.44140625" style="9" customWidth="1"/>
    <col min="12033" max="12033" width="3.88671875" style="9" customWidth="1"/>
    <col min="12034" max="12034" width="0" style="9" hidden="1"/>
    <col min="12035" max="12035" width="10.88671875" style="9" customWidth="1"/>
    <col min="12036" max="12036" width="17.6640625" style="9" customWidth="1"/>
    <col min="12037" max="12037" width="22.6640625" style="9" customWidth="1"/>
    <col min="12038" max="12038" width="21.44140625" style="9" customWidth="1"/>
    <col min="12039" max="12039" width="22.33203125" style="9" customWidth="1"/>
    <col min="12040" max="12042" width="5.33203125" style="9" customWidth="1"/>
    <col min="12043" max="12043" width="20.109375" style="9" customWidth="1"/>
    <col min="12044" max="12044" width="13" style="9" customWidth="1"/>
    <col min="12045" max="12045" width="10.109375" style="9" customWidth="1"/>
    <col min="12046" max="12046" width="11.5546875" style="9" customWidth="1"/>
    <col min="12047" max="12047" width="34.88671875" style="9" customWidth="1"/>
    <col min="12048" max="12048" width="7.5546875" style="9" customWidth="1"/>
    <col min="12049" max="12049" width="33.6640625" style="9" customWidth="1"/>
    <col min="12050" max="12288" width="11.44140625" style="9" customWidth="1"/>
    <col min="12289" max="12289" width="3.88671875" style="9" customWidth="1"/>
    <col min="12290" max="12290" width="0" style="9" hidden="1"/>
    <col min="12291" max="12291" width="10.88671875" style="9" customWidth="1"/>
    <col min="12292" max="12292" width="17.6640625" style="9" customWidth="1"/>
    <col min="12293" max="12293" width="22.6640625" style="9" customWidth="1"/>
    <col min="12294" max="12294" width="21.44140625" style="9" customWidth="1"/>
    <col min="12295" max="12295" width="22.33203125" style="9" customWidth="1"/>
    <col min="12296" max="12298" width="5.33203125" style="9" customWidth="1"/>
    <col min="12299" max="12299" width="20.109375" style="9" customWidth="1"/>
    <col min="12300" max="12300" width="13" style="9" customWidth="1"/>
    <col min="12301" max="12301" width="10.109375" style="9" customWidth="1"/>
    <col min="12302" max="12302" width="11.5546875" style="9" customWidth="1"/>
    <col min="12303" max="12303" width="34.88671875" style="9" customWidth="1"/>
    <col min="12304" max="12304" width="7.5546875" style="9" customWidth="1"/>
    <col min="12305" max="12305" width="33.6640625" style="9" customWidth="1"/>
    <col min="12306" max="12544" width="11.44140625" style="9" customWidth="1"/>
    <col min="12545" max="12545" width="3.88671875" style="9" customWidth="1"/>
    <col min="12546" max="12546" width="0" style="9" hidden="1"/>
    <col min="12547" max="12547" width="10.88671875" style="9" customWidth="1"/>
    <col min="12548" max="12548" width="17.6640625" style="9" customWidth="1"/>
    <col min="12549" max="12549" width="22.6640625" style="9" customWidth="1"/>
    <col min="12550" max="12550" width="21.44140625" style="9" customWidth="1"/>
    <col min="12551" max="12551" width="22.33203125" style="9" customWidth="1"/>
    <col min="12552" max="12554" width="5.33203125" style="9" customWidth="1"/>
    <col min="12555" max="12555" width="20.109375" style="9" customWidth="1"/>
    <col min="12556" max="12556" width="13" style="9" customWidth="1"/>
    <col min="12557" max="12557" width="10.109375" style="9" customWidth="1"/>
    <col min="12558" max="12558" width="11.5546875" style="9" customWidth="1"/>
    <col min="12559" max="12559" width="34.88671875" style="9" customWidth="1"/>
    <col min="12560" max="12560" width="7.5546875" style="9" customWidth="1"/>
    <col min="12561" max="12561" width="33.6640625" style="9" customWidth="1"/>
    <col min="12562" max="12800" width="11.44140625" style="9" customWidth="1"/>
    <col min="12801" max="12801" width="3.88671875" style="9" customWidth="1"/>
    <col min="12802" max="12802" width="0" style="9" hidden="1"/>
    <col min="12803" max="12803" width="10.88671875" style="9" customWidth="1"/>
    <col min="12804" max="12804" width="17.6640625" style="9" customWidth="1"/>
    <col min="12805" max="12805" width="22.6640625" style="9" customWidth="1"/>
    <col min="12806" max="12806" width="21.44140625" style="9" customWidth="1"/>
    <col min="12807" max="12807" width="22.33203125" style="9" customWidth="1"/>
    <col min="12808" max="12810" width="5.33203125" style="9" customWidth="1"/>
    <col min="12811" max="12811" width="20.109375" style="9" customWidth="1"/>
    <col min="12812" max="12812" width="13" style="9" customWidth="1"/>
    <col min="12813" max="12813" width="10.109375" style="9" customWidth="1"/>
    <col min="12814" max="12814" width="11.5546875" style="9" customWidth="1"/>
    <col min="12815" max="12815" width="34.88671875" style="9" customWidth="1"/>
    <col min="12816" max="12816" width="7.5546875" style="9" customWidth="1"/>
    <col min="12817" max="12817" width="33.6640625" style="9" customWidth="1"/>
    <col min="12818" max="13056" width="11.44140625" style="9" customWidth="1"/>
    <col min="13057" max="13057" width="3.88671875" style="9" customWidth="1"/>
    <col min="13058" max="13058" width="0" style="9" hidden="1"/>
    <col min="13059" max="13059" width="10.88671875" style="9" customWidth="1"/>
    <col min="13060" max="13060" width="17.6640625" style="9" customWidth="1"/>
    <col min="13061" max="13061" width="22.6640625" style="9" customWidth="1"/>
    <col min="13062" max="13062" width="21.44140625" style="9" customWidth="1"/>
    <col min="13063" max="13063" width="22.33203125" style="9" customWidth="1"/>
    <col min="13064" max="13066" width="5.33203125" style="9" customWidth="1"/>
    <col min="13067" max="13067" width="20.109375" style="9" customWidth="1"/>
    <col min="13068" max="13068" width="13" style="9" customWidth="1"/>
    <col min="13069" max="13069" width="10.109375" style="9" customWidth="1"/>
    <col min="13070" max="13070" width="11.5546875" style="9" customWidth="1"/>
    <col min="13071" max="13071" width="34.88671875" style="9" customWidth="1"/>
    <col min="13072" max="13072" width="7.5546875" style="9" customWidth="1"/>
    <col min="13073" max="13073" width="33.6640625" style="9" customWidth="1"/>
    <col min="13074" max="13312" width="11.44140625" style="9" customWidth="1"/>
    <col min="13313" max="13313" width="3.88671875" style="9" customWidth="1"/>
    <col min="13314" max="13314" width="0" style="9" hidden="1"/>
    <col min="13315" max="13315" width="10.88671875" style="9" customWidth="1"/>
    <col min="13316" max="13316" width="17.6640625" style="9" customWidth="1"/>
    <col min="13317" max="13317" width="22.6640625" style="9" customWidth="1"/>
    <col min="13318" max="13318" width="21.44140625" style="9" customWidth="1"/>
    <col min="13319" max="13319" width="22.33203125" style="9" customWidth="1"/>
    <col min="13320" max="13322" width="5.33203125" style="9" customWidth="1"/>
    <col min="13323" max="13323" width="20.109375" style="9" customWidth="1"/>
    <col min="13324" max="13324" width="13" style="9" customWidth="1"/>
    <col min="13325" max="13325" width="10.109375" style="9" customWidth="1"/>
    <col min="13326" max="13326" width="11.5546875" style="9" customWidth="1"/>
    <col min="13327" max="13327" width="34.88671875" style="9" customWidth="1"/>
    <col min="13328" max="13328" width="7.5546875" style="9" customWidth="1"/>
    <col min="13329" max="13329" width="33.6640625" style="9" customWidth="1"/>
    <col min="13330" max="13568" width="11.44140625" style="9" customWidth="1"/>
    <col min="13569" max="13569" width="3.88671875" style="9" customWidth="1"/>
    <col min="13570" max="13570" width="0" style="9" hidden="1"/>
    <col min="13571" max="13571" width="10.88671875" style="9" customWidth="1"/>
    <col min="13572" max="13572" width="17.6640625" style="9" customWidth="1"/>
    <col min="13573" max="13573" width="22.6640625" style="9" customWidth="1"/>
    <col min="13574" max="13574" width="21.44140625" style="9" customWidth="1"/>
    <col min="13575" max="13575" width="22.33203125" style="9" customWidth="1"/>
    <col min="13576" max="13578" width="5.33203125" style="9" customWidth="1"/>
    <col min="13579" max="13579" width="20.109375" style="9" customWidth="1"/>
    <col min="13580" max="13580" width="13" style="9" customWidth="1"/>
    <col min="13581" max="13581" width="10.109375" style="9" customWidth="1"/>
    <col min="13582" max="13582" width="11.5546875" style="9" customWidth="1"/>
    <col min="13583" max="13583" width="34.88671875" style="9" customWidth="1"/>
    <col min="13584" max="13584" width="7.5546875" style="9" customWidth="1"/>
    <col min="13585" max="13585" width="33.6640625" style="9" customWidth="1"/>
    <col min="13586" max="13824" width="11.44140625" style="9" customWidth="1"/>
    <col min="13825" max="13825" width="3.88671875" style="9" customWidth="1"/>
    <col min="13826" max="13826" width="0" style="9" hidden="1"/>
    <col min="13827" max="13827" width="10.88671875" style="9" customWidth="1"/>
    <col min="13828" max="13828" width="17.6640625" style="9" customWidth="1"/>
    <col min="13829" max="13829" width="22.6640625" style="9" customWidth="1"/>
    <col min="13830" max="13830" width="21.44140625" style="9" customWidth="1"/>
    <col min="13831" max="13831" width="22.33203125" style="9" customWidth="1"/>
    <col min="13832" max="13834" width="5.33203125" style="9" customWidth="1"/>
    <col min="13835" max="13835" width="20.109375" style="9" customWidth="1"/>
    <col min="13836" max="13836" width="13" style="9" customWidth="1"/>
    <col min="13837" max="13837" width="10.109375" style="9" customWidth="1"/>
    <col min="13838" max="13838" width="11.5546875" style="9" customWidth="1"/>
    <col min="13839" max="13839" width="34.88671875" style="9" customWidth="1"/>
    <col min="13840" max="13840" width="7.5546875" style="9" customWidth="1"/>
    <col min="13841" max="13841" width="33.6640625" style="9" customWidth="1"/>
    <col min="13842" max="14080" width="11.44140625" style="9" customWidth="1"/>
    <col min="14081" max="14081" width="3.88671875" style="9" customWidth="1"/>
    <col min="14082" max="14082" width="0" style="9" hidden="1"/>
    <col min="14083" max="14083" width="10.88671875" style="9" customWidth="1"/>
    <col min="14084" max="14084" width="17.6640625" style="9" customWidth="1"/>
    <col min="14085" max="14085" width="22.6640625" style="9" customWidth="1"/>
    <col min="14086" max="14086" width="21.44140625" style="9" customWidth="1"/>
    <col min="14087" max="14087" width="22.33203125" style="9" customWidth="1"/>
    <col min="14088" max="14090" width="5.33203125" style="9" customWidth="1"/>
    <col min="14091" max="14091" width="20.109375" style="9" customWidth="1"/>
    <col min="14092" max="14092" width="13" style="9" customWidth="1"/>
    <col min="14093" max="14093" width="10.109375" style="9" customWidth="1"/>
    <col min="14094" max="14094" width="11.5546875" style="9" customWidth="1"/>
    <col min="14095" max="14095" width="34.88671875" style="9" customWidth="1"/>
    <col min="14096" max="14096" width="7.5546875" style="9" customWidth="1"/>
    <col min="14097" max="14097" width="33.6640625" style="9" customWidth="1"/>
    <col min="14098" max="14336" width="11.44140625" style="9" customWidth="1"/>
    <col min="14337" max="14337" width="3.88671875" style="9" customWidth="1"/>
    <col min="14338" max="14338" width="0" style="9" hidden="1"/>
    <col min="14339" max="14339" width="10.88671875" style="9" customWidth="1"/>
    <col min="14340" max="14340" width="17.6640625" style="9" customWidth="1"/>
    <col min="14341" max="14341" width="22.6640625" style="9" customWidth="1"/>
    <col min="14342" max="14342" width="21.44140625" style="9" customWidth="1"/>
    <col min="14343" max="14343" width="22.33203125" style="9" customWidth="1"/>
    <col min="14344" max="14346" width="5.33203125" style="9" customWidth="1"/>
    <col min="14347" max="14347" width="20.109375" style="9" customWidth="1"/>
    <col min="14348" max="14348" width="13" style="9" customWidth="1"/>
    <col min="14349" max="14349" width="10.109375" style="9" customWidth="1"/>
    <col min="14350" max="14350" width="11.5546875" style="9" customWidth="1"/>
    <col min="14351" max="14351" width="34.88671875" style="9" customWidth="1"/>
    <col min="14352" max="14352" width="7.5546875" style="9" customWidth="1"/>
    <col min="14353" max="14353" width="33.6640625" style="9" customWidth="1"/>
    <col min="14354" max="14592" width="11.44140625" style="9" customWidth="1"/>
    <col min="14593" max="14593" width="3.88671875" style="9" customWidth="1"/>
    <col min="14594" max="14594" width="0" style="9" hidden="1"/>
    <col min="14595" max="14595" width="10.88671875" style="9" customWidth="1"/>
    <col min="14596" max="14596" width="17.6640625" style="9" customWidth="1"/>
    <col min="14597" max="14597" width="22.6640625" style="9" customWidth="1"/>
    <col min="14598" max="14598" width="21.44140625" style="9" customWidth="1"/>
    <col min="14599" max="14599" width="22.33203125" style="9" customWidth="1"/>
    <col min="14600" max="14602" width="5.33203125" style="9" customWidth="1"/>
    <col min="14603" max="14603" width="20.109375" style="9" customWidth="1"/>
    <col min="14604" max="14604" width="13" style="9" customWidth="1"/>
    <col min="14605" max="14605" width="10.109375" style="9" customWidth="1"/>
    <col min="14606" max="14606" width="11.5546875" style="9" customWidth="1"/>
    <col min="14607" max="14607" width="34.88671875" style="9" customWidth="1"/>
    <col min="14608" max="14608" width="7.5546875" style="9" customWidth="1"/>
    <col min="14609" max="14609" width="33.6640625" style="9" customWidth="1"/>
    <col min="14610" max="14848" width="11.44140625" style="9" customWidth="1"/>
    <col min="14849" max="14849" width="3.88671875" style="9" customWidth="1"/>
    <col min="14850" max="14850" width="0" style="9" hidden="1"/>
    <col min="14851" max="14851" width="10.88671875" style="9" customWidth="1"/>
    <col min="14852" max="14852" width="17.6640625" style="9" customWidth="1"/>
    <col min="14853" max="14853" width="22.6640625" style="9" customWidth="1"/>
    <col min="14854" max="14854" width="21.44140625" style="9" customWidth="1"/>
    <col min="14855" max="14855" width="22.33203125" style="9" customWidth="1"/>
    <col min="14856" max="14858" width="5.33203125" style="9" customWidth="1"/>
    <col min="14859" max="14859" width="20.109375" style="9" customWidth="1"/>
    <col min="14860" max="14860" width="13" style="9" customWidth="1"/>
    <col min="14861" max="14861" width="10.109375" style="9" customWidth="1"/>
    <col min="14862" max="14862" width="11.5546875" style="9" customWidth="1"/>
    <col min="14863" max="14863" width="34.88671875" style="9" customWidth="1"/>
    <col min="14864" max="14864" width="7.5546875" style="9" customWidth="1"/>
    <col min="14865" max="14865" width="33.6640625" style="9" customWidth="1"/>
    <col min="14866" max="15104" width="11.44140625" style="9" customWidth="1"/>
    <col min="15105" max="15105" width="3.88671875" style="9" customWidth="1"/>
    <col min="15106" max="15106" width="0" style="9" hidden="1"/>
    <col min="15107" max="15107" width="10.88671875" style="9" customWidth="1"/>
    <col min="15108" max="15108" width="17.6640625" style="9" customWidth="1"/>
    <col min="15109" max="15109" width="22.6640625" style="9" customWidth="1"/>
    <col min="15110" max="15110" width="21.44140625" style="9" customWidth="1"/>
    <col min="15111" max="15111" width="22.33203125" style="9" customWidth="1"/>
    <col min="15112" max="15114" width="5.33203125" style="9" customWidth="1"/>
    <col min="15115" max="15115" width="20.109375" style="9" customWidth="1"/>
    <col min="15116" max="15116" width="13" style="9" customWidth="1"/>
    <col min="15117" max="15117" width="10.109375" style="9" customWidth="1"/>
    <col min="15118" max="15118" width="11.5546875" style="9" customWidth="1"/>
    <col min="15119" max="15119" width="34.88671875" style="9" customWidth="1"/>
    <col min="15120" max="15120" width="7.5546875" style="9" customWidth="1"/>
    <col min="15121" max="15121" width="33.6640625" style="9" customWidth="1"/>
    <col min="15122" max="15360" width="11.44140625" style="9" customWidth="1"/>
    <col min="15361" max="15361" width="3.88671875" style="9" customWidth="1"/>
    <col min="15362" max="15362" width="0" style="9" hidden="1"/>
    <col min="15363" max="15363" width="10.88671875" style="9" customWidth="1"/>
    <col min="15364" max="15364" width="17.6640625" style="9" customWidth="1"/>
    <col min="15365" max="15365" width="22.6640625" style="9" customWidth="1"/>
    <col min="15366" max="15366" width="21.44140625" style="9" customWidth="1"/>
    <col min="15367" max="15367" width="22.33203125" style="9" customWidth="1"/>
    <col min="15368" max="15370" width="5.33203125" style="9" customWidth="1"/>
    <col min="15371" max="15371" width="20.109375" style="9" customWidth="1"/>
    <col min="15372" max="15372" width="13" style="9" customWidth="1"/>
    <col min="15373" max="15373" width="10.109375" style="9" customWidth="1"/>
    <col min="15374" max="15374" width="11.5546875" style="9" customWidth="1"/>
    <col min="15375" max="15375" width="34.88671875" style="9" customWidth="1"/>
    <col min="15376" max="15376" width="7.5546875" style="9" customWidth="1"/>
    <col min="15377" max="15377" width="33.6640625" style="9" customWidth="1"/>
    <col min="15378" max="15616" width="11.44140625" style="9" customWidth="1"/>
    <col min="15617" max="15617" width="3.88671875" style="9" customWidth="1"/>
    <col min="15618" max="15618" width="0" style="9" hidden="1"/>
    <col min="15619" max="15619" width="10.88671875" style="9" customWidth="1"/>
    <col min="15620" max="15620" width="17.6640625" style="9" customWidth="1"/>
    <col min="15621" max="15621" width="22.6640625" style="9" customWidth="1"/>
    <col min="15622" max="15622" width="21.44140625" style="9" customWidth="1"/>
    <col min="15623" max="15623" width="22.33203125" style="9" customWidth="1"/>
    <col min="15624" max="15626" width="5.33203125" style="9" customWidth="1"/>
    <col min="15627" max="15627" width="20.109375" style="9" customWidth="1"/>
    <col min="15628" max="15628" width="13" style="9" customWidth="1"/>
    <col min="15629" max="15629" width="10.109375" style="9" customWidth="1"/>
    <col min="15630" max="15630" width="11.5546875" style="9" customWidth="1"/>
    <col min="15631" max="15631" width="34.88671875" style="9" customWidth="1"/>
    <col min="15632" max="15632" width="7.5546875" style="9" customWidth="1"/>
    <col min="15633" max="15633" width="33.6640625" style="9" customWidth="1"/>
    <col min="15634" max="15872" width="11.44140625" style="9" customWidth="1"/>
    <col min="15873" max="15873" width="3.88671875" style="9" customWidth="1"/>
    <col min="15874" max="15874" width="0" style="9" hidden="1"/>
    <col min="15875" max="15875" width="10.88671875" style="9" customWidth="1"/>
    <col min="15876" max="15876" width="17.6640625" style="9" customWidth="1"/>
    <col min="15877" max="15877" width="22.6640625" style="9" customWidth="1"/>
    <col min="15878" max="15878" width="21.44140625" style="9" customWidth="1"/>
    <col min="15879" max="15879" width="22.33203125" style="9" customWidth="1"/>
    <col min="15880" max="15882" width="5.33203125" style="9" customWidth="1"/>
    <col min="15883" max="15883" width="20.109375" style="9" customWidth="1"/>
    <col min="15884" max="15884" width="13" style="9" customWidth="1"/>
    <col min="15885" max="15885" width="10.109375" style="9" customWidth="1"/>
    <col min="15886" max="15886" width="11.5546875" style="9" customWidth="1"/>
    <col min="15887" max="15887" width="34.88671875" style="9" customWidth="1"/>
    <col min="15888" max="15888" width="7.5546875" style="9" customWidth="1"/>
    <col min="15889" max="15889" width="33.6640625" style="9" customWidth="1"/>
    <col min="15890" max="16128" width="11.44140625" style="9" customWidth="1"/>
    <col min="16129" max="16129" width="3.88671875" style="9" customWidth="1"/>
    <col min="16130" max="16130" width="0" style="9" hidden="1"/>
    <col min="16131" max="16131" width="10.88671875" style="9" customWidth="1"/>
    <col min="16132" max="16132" width="17.6640625" style="9" customWidth="1"/>
    <col min="16133" max="16133" width="22.6640625" style="9" customWidth="1"/>
    <col min="16134" max="16134" width="21.44140625" style="9" customWidth="1"/>
    <col min="16135" max="16135" width="22.33203125" style="9" customWidth="1"/>
    <col min="16136" max="16138" width="5.33203125" style="9" customWidth="1"/>
    <col min="16139" max="16139" width="20.109375" style="9" customWidth="1"/>
    <col min="16140" max="16140" width="13" style="9" customWidth="1"/>
    <col min="16141" max="16141" width="10.109375" style="9" customWidth="1"/>
    <col min="16142" max="16142" width="11.5546875" style="9" customWidth="1"/>
    <col min="16143" max="16143" width="34.88671875" style="9" customWidth="1"/>
    <col min="16144" max="16144" width="7.5546875" style="9" customWidth="1"/>
    <col min="16145" max="16145" width="33.6640625" style="9" customWidth="1"/>
    <col min="16146" max="16384" width="11.44140625" style="9" customWidth="1"/>
  </cols>
  <sheetData>
    <row r="1" spans="1:19" ht="17.25" customHeight="1" thickBot="1" x14ac:dyDescent="0.35">
      <c r="A1" s="157" t="s">
        <v>25</v>
      </c>
      <c r="B1" s="113"/>
      <c r="C1" s="113"/>
      <c r="D1" s="113"/>
      <c r="E1" s="113"/>
      <c r="F1" s="113"/>
      <c r="G1" s="114"/>
      <c r="J1" s="31"/>
      <c r="K1" s="154" t="s">
        <v>26</v>
      </c>
      <c r="L1" s="130"/>
      <c r="M1" s="160" t="s">
        <v>27</v>
      </c>
      <c r="N1" s="129"/>
      <c r="O1" s="130"/>
      <c r="P1" s="32"/>
      <c r="Q1" s="32"/>
      <c r="R1" s="32"/>
      <c r="S1" s="33"/>
    </row>
    <row r="2" spans="1:19" ht="40.5" customHeight="1" x14ac:dyDescent="0.3">
      <c r="A2" s="152" t="str">
        <f>'Cover sheet'!C1</f>
        <v>IT-as-is Manager</v>
      </c>
      <c r="B2" s="123"/>
      <c r="C2" s="103"/>
      <c r="D2" s="153" t="str">
        <f>'Cover sheet'!D1</f>
        <v>Bosch CIO</v>
      </c>
      <c r="E2" s="103"/>
      <c r="F2" s="34">
        <f>'[1]Cover sheet'!F1</f>
        <v>0</v>
      </c>
      <c r="G2" s="35">
        <f>'[1]Cover sheet'!G1</f>
        <v>0</v>
      </c>
      <c r="J2" s="9"/>
      <c r="K2" s="36" t="s">
        <v>28</v>
      </c>
      <c r="L2" s="37">
        <v>12</v>
      </c>
      <c r="M2" s="38"/>
      <c r="N2" s="38"/>
      <c r="O2" s="39"/>
      <c r="P2" s="40"/>
    </row>
    <row r="3" spans="1:19" ht="39" customHeight="1" thickBot="1" x14ac:dyDescent="0.35">
      <c r="A3" s="149" t="str">
        <f>'Cover sheet'!C2</f>
        <v>IT-Project Manager</v>
      </c>
      <c r="B3" s="101"/>
      <c r="C3" s="105"/>
      <c r="D3" s="159" t="str">
        <f>'Cover sheet'!D2</f>
        <v>IT PM (Bosch-led)</v>
      </c>
      <c r="E3" s="105"/>
      <c r="F3" s="41">
        <f>'[1]Cover sheet'!F2</f>
        <v>0</v>
      </c>
      <c r="G3" s="42">
        <f>'[1]Cover sheet'!G2</f>
        <v>0</v>
      </c>
      <c r="K3" s="44" t="s">
        <v>29</v>
      </c>
      <c r="L3" s="45">
        <f>COUNTIF(J9:J489,"&gt;="&amp;L2)</f>
        <v>10</v>
      </c>
      <c r="M3" s="46"/>
      <c r="N3" s="46"/>
      <c r="O3" s="47"/>
      <c r="P3" s="40"/>
    </row>
    <row r="4" spans="1:19" ht="13.8" customHeight="1" thickBot="1" x14ac:dyDescent="0.35">
      <c r="A4" s="156" t="str">
        <f>'Cover sheet'!C3</f>
        <v>PMI-Lead</v>
      </c>
      <c r="B4" s="117"/>
      <c r="C4" s="111"/>
      <c r="D4" s="158" t="str">
        <f>'Cover sheet'!D3</f>
        <v>KPMG</v>
      </c>
      <c r="E4" s="111"/>
      <c r="F4" s="48">
        <f>'[1]Cover sheet'!F3</f>
        <v>0</v>
      </c>
      <c r="G4" s="49">
        <f>'[1]Cover sheet'!G3</f>
        <v>0</v>
      </c>
      <c r="K4" s="40"/>
      <c r="L4" s="40"/>
      <c r="M4" s="40"/>
      <c r="N4" s="40"/>
      <c r="O4" s="40"/>
      <c r="P4" s="40"/>
    </row>
    <row r="5" spans="1:19" x14ac:dyDescent="0.25">
      <c r="A5" s="40"/>
      <c r="B5" s="40"/>
      <c r="C5" s="40"/>
      <c r="D5" s="40"/>
      <c r="E5" s="40"/>
      <c r="F5" s="40"/>
      <c r="G5" s="50"/>
      <c r="H5" s="51"/>
      <c r="I5" s="43"/>
      <c r="K5" s="40"/>
      <c r="L5" s="40"/>
      <c r="M5" s="40"/>
      <c r="N5" s="40"/>
      <c r="O5" s="40"/>
      <c r="P5" s="40"/>
    </row>
    <row r="6" spans="1:19" ht="13.5" customHeight="1" thickBot="1" x14ac:dyDescent="0.35">
      <c r="A6" s="52"/>
      <c r="H6" s="53"/>
      <c r="J6" s="52"/>
      <c r="K6" s="52"/>
      <c r="L6" s="52"/>
    </row>
    <row r="7" spans="1:19" ht="16.5" customHeight="1" x14ac:dyDescent="0.3">
      <c r="A7" s="146" t="s">
        <v>30</v>
      </c>
      <c r="B7" s="148" t="s">
        <v>31</v>
      </c>
      <c r="C7" s="148" t="s">
        <v>32</v>
      </c>
      <c r="D7" s="148" t="s">
        <v>33</v>
      </c>
      <c r="E7" s="148" t="s">
        <v>34</v>
      </c>
      <c r="F7" s="148" t="s">
        <v>35</v>
      </c>
      <c r="G7" s="148" t="s">
        <v>36</v>
      </c>
      <c r="H7" s="150" t="s">
        <v>37</v>
      </c>
      <c r="I7" s="150" t="s">
        <v>38</v>
      </c>
      <c r="J7" s="155" t="s">
        <v>39</v>
      </c>
      <c r="K7" s="151" t="s">
        <v>40</v>
      </c>
      <c r="L7" s="151" t="s">
        <v>41</v>
      </c>
      <c r="M7" s="151" t="s">
        <v>42</v>
      </c>
      <c r="N7" s="151" t="s">
        <v>43</v>
      </c>
      <c r="O7" s="148" t="s">
        <v>44</v>
      </c>
    </row>
    <row r="8" spans="1:19" ht="35.25" customHeight="1" thickBot="1" x14ac:dyDescent="0.35">
      <c r="A8" s="147"/>
      <c r="B8" s="147"/>
      <c r="C8" s="147"/>
      <c r="D8" s="147"/>
      <c r="E8" s="147"/>
      <c r="F8" s="147"/>
      <c r="G8" s="147"/>
      <c r="H8" s="147"/>
      <c r="I8" s="147"/>
      <c r="J8" s="147"/>
      <c r="K8" s="147"/>
      <c r="L8" s="147"/>
      <c r="M8" s="147"/>
      <c r="N8" s="147"/>
      <c r="O8" s="147"/>
    </row>
    <row r="9" spans="1:19" ht="75" customHeight="1" x14ac:dyDescent="0.3">
      <c r="A9" s="92">
        <v>1</v>
      </c>
      <c r="B9" s="22" t="s">
        <v>45</v>
      </c>
      <c r="C9" s="93" t="s">
        <v>46</v>
      </c>
      <c r="D9" s="22" t="s">
        <v>47</v>
      </c>
      <c r="E9" s="22" t="s">
        <v>48</v>
      </c>
      <c r="F9" s="22" t="s">
        <v>49</v>
      </c>
      <c r="G9" s="22" t="s">
        <v>50</v>
      </c>
      <c r="H9" s="92">
        <v>2</v>
      </c>
      <c r="I9" s="92">
        <v>4</v>
      </c>
      <c r="J9" s="92">
        <f t="shared" ref="J9:J27" si="0">$H9*$I9</f>
        <v>8</v>
      </c>
      <c r="K9" s="22" t="s">
        <v>51</v>
      </c>
      <c r="L9" s="22" t="s">
        <v>52</v>
      </c>
      <c r="M9" s="94" t="s">
        <v>53</v>
      </c>
      <c r="N9" s="95" t="s">
        <v>54</v>
      </c>
      <c r="O9" s="22" t="s">
        <v>55</v>
      </c>
    </row>
    <row r="10" spans="1:19" ht="75" customHeight="1" x14ac:dyDescent="0.3">
      <c r="A10" s="92">
        <v>2</v>
      </c>
      <c r="B10" s="22" t="s">
        <v>45</v>
      </c>
      <c r="C10" s="93" t="s">
        <v>46</v>
      </c>
      <c r="D10" s="22" t="s">
        <v>56</v>
      </c>
      <c r="E10" s="22" t="s">
        <v>57</v>
      </c>
      <c r="F10" s="22" t="s">
        <v>58</v>
      </c>
      <c r="G10" s="22" t="s">
        <v>59</v>
      </c>
      <c r="H10" s="92">
        <v>2</v>
      </c>
      <c r="I10" s="92">
        <v>3</v>
      </c>
      <c r="J10" s="92">
        <f t="shared" si="0"/>
        <v>6</v>
      </c>
      <c r="K10" s="22" t="s">
        <v>60</v>
      </c>
      <c r="L10" s="22" t="s">
        <v>61</v>
      </c>
      <c r="M10" s="94" t="s">
        <v>62</v>
      </c>
      <c r="N10" s="95" t="s">
        <v>54</v>
      </c>
      <c r="O10" s="22" t="s">
        <v>63</v>
      </c>
    </row>
    <row r="11" spans="1:19" ht="75" customHeight="1" x14ac:dyDescent="0.3">
      <c r="A11" s="92">
        <v>3</v>
      </c>
      <c r="B11" s="22" t="s">
        <v>64</v>
      </c>
      <c r="C11" s="93" t="s">
        <v>46</v>
      </c>
      <c r="D11" s="22" t="s">
        <v>56</v>
      </c>
      <c r="E11" s="22" t="s">
        <v>65</v>
      </c>
      <c r="F11" s="22" t="s">
        <v>66</v>
      </c>
      <c r="G11" s="22" t="s">
        <v>67</v>
      </c>
      <c r="H11" s="92">
        <v>3</v>
      </c>
      <c r="I11" s="92">
        <v>3</v>
      </c>
      <c r="J11" s="92">
        <f t="shared" si="0"/>
        <v>9</v>
      </c>
      <c r="K11" s="22" t="s">
        <v>68</v>
      </c>
      <c r="L11" s="22" t="s">
        <v>69</v>
      </c>
      <c r="M11" s="94" t="s">
        <v>70</v>
      </c>
      <c r="N11" s="95" t="s">
        <v>54</v>
      </c>
      <c r="O11" s="22" t="s">
        <v>71</v>
      </c>
    </row>
    <row r="12" spans="1:19" ht="75" customHeight="1" x14ac:dyDescent="0.3">
      <c r="A12" s="92">
        <v>4</v>
      </c>
      <c r="B12" s="22" t="s">
        <v>72</v>
      </c>
      <c r="C12" s="93" t="s">
        <v>46</v>
      </c>
      <c r="D12" s="22" t="s">
        <v>73</v>
      </c>
      <c r="E12" s="22" t="s">
        <v>74</v>
      </c>
      <c r="F12" s="22" t="s">
        <v>75</v>
      </c>
      <c r="G12" s="22" t="s">
        <v>76</v>
      </c>
      <c r="H12" s="92">
        <v>4</v>
      </c>
      <c r="I12" s="92">
        <v>3</v>
      </c>
      <c r="J12" s="92">
        <f t="shared" si="0"/>
        <v>12</v>
      </c>
      <c r="K12" s="22" t="s">
        <v>77</v>
      </c>
      <c r="L12" s="22" t="s">
        <v>78</v>
      </c>
      <c r="M12" s="94" t="s">
        <v>79</v>
      </c>
      <c r="N12" s="95" t="s">
        <v>54</v>
      </c>
      <c r="O12" s="22" t="s">
        <v>80</v>
      </c>
    </row>
    <row r="13" spans="1:19" ht="75" customHeight="1" x14ac:dyDescent="0.3">
      <c r="A13" s="92">
        <v>5</v>
      </c>
      <c r="B13" s="22" t="s">
        <v>81</v>
      </c>
      <c r="C13" s="93" t="s">
        <v>46</v>
      </c>
      <c r="D13" s="22" t="s">
        <v>56</v>
      </c>
      <c r="E13" s="22" t="s">
        <v>82</v>
      </c>
      <c r="F13" s="22" t="s">
        <v>83</v>
      </c>
      <c r="G13" s="22" t="s">
        <v>84</v>
      </c>
      <c r="H13" s="92">
        <v>2</v>
      </c>
      <c r="I13" s="92">
        <v>4</v>
      </c>
      <c r="J13" s="92">
        <f t="shared" si="0"/>
        <v>8</v>
      </c>
      <c r="K13" s="22" t="s">
        <v>85</v>
      </c>
      <c r="L13" s="22" t="s">
        <v>86</v>
      </c>
      <c r="M13" s="94" t="s">
        <v>87</v>
      </c>
      <c r="N13" s="95" t="s">
        <v>54</v>
      </c>
      <c r="O13" s="22" t="s">
        <v>88</v>
      </c>
    </row>
    <row r="14" spans="1:19" ht="75" customHeight="1" x14ac:dyDescent="0.3">
      <c r="A14" s="92">
        <v>6</v>
      </c>
      <c r="B14" s="22" t="s">
        <v>89</v>
      </c>
      <c r="C14" s="93" t="s">
        <v>90</v>
      </c>
      <c r="D14" s="22" t="s">
        <v>56</v>
      </c>
      <c r="E14" s="22" t="s">
        <v>91</v>
      </c>
      <c r="F14" s="22" t="s">
        <v>92</v>
      </c>
      <c r="G14" s="22" t="s">
        <v>93</v>
      </c>
      <c r="H14" s="92">
        <v>4</v>
      </c>
      <c r="I14" s="92">
        <v>3</v>
      </c>
      <c r="J14" s="92">
        <f t="shared" si="0"/>
        <v>12</v>
      </c>
      <c r="K14" s="22" t="s">
        <v>94</v>
      </c>
      <c r="L14" s="22" t="s">
        <v>95</v>
      </c>
      <c r="M14" s="94" t="s">
        <v>96</v>
      </c>
      <c r="N14" s="95" t="s">
        <v>54</v>
      </c>
      <c r="O14" s="22" t="s">
        <v>97</v>
      </c>
    </row>
    <row r="15" spans="1:19" ht="75" customHeight="1" x14ac:dyDescent="0.3">
      <c r="A15" s="92">
        <v>7</v>
      </c>
      <c r="B15" s="22" t="s">
        <v>89</v>
      </c>
      <c r="C15" s="93" t="s">
        <v>90</v>
      </c>
      <c r="D15" s="22" t="s">
        <v>98</v>
      </c>
      <c r="E15" s="22" t="s">
        <v>99</v>
      </c>
      <c r="F15" s="22" t="s">
        <v>100</v>
      </c>
      <c r="G15" s="22" t="s">
        <v>101</v>
      </c>
      <c r="H15" s="92">
        <v>3</v>
      </c>
      <c r="I15" s="92">
        <v>4</v>
      </c>
      <c r="J15" s="92">
        <f t="shared" si="0"/>
        <v>12</v>
      </c>
      <c r="K15" s="22" t="s">
        <v>102</v>
      </c>
      <c r="L15" s="22" t="s">
        <v>103</v>
      </c>
      <c r="M15" s="94" t="s">
        <v>104</v>
      </c>
      <c r="N15" s="95" t="s">
        <v>54</v>
      </c>
      <c r="O15" s="22" t="s">
        <v>105</v>
      </c>
    </row>
    <row r="16" spans="1:19" ht="75" customHeight="1" x14ac:dyDescent="0.3">
      <c r="A16" s="92">
        <v>8</v>
      </c>
      <c r="B16" s="22" t="s">
        <v>106</v>
      </c>
      <c r="C16" s="93" t="s">
        <v>90</v>
      </c>
      <c r="D16" s="22" t="s">
        <v>47</v>
      </c>
      <c r="E16" s="22" t="s">
        <v>107</v>
      </c>
      <c r="F16" s="22" t="s">
        <v>108</v>
      </c>
      <c r="G16" s="22" t="s">
        <v>109</v>
      </c>
      <c r="H16" s="92">
        <v>2</v>
      </c>
      <c r="I16" s="92">
        <v>4</v>
      </c>
      <c r="J16" s="92">
        <f t="shared" si="0"/>
        <v>8</v>
      </c>
      <c r="K16" s="22" t="s">
        <v>110</v>
      </c>
      <c r="L16" s="22" t="s">
        <v>111</v>
      </c>
      <c r="M16" s="94" t="s">
        <v>112</v>
      </c>
      <c r="N16" s="95" t="s">
        <v>54</v>
      </c>
      <c r="O16" s="22" t="s">
        <v>113</v>
      </c>
    </row>
    <row r="17" spans="1:15" ht="75" customHeight="1" x14ac:dyDescent="0.3">
      <c r="A17" s="92">
        <v>9</v>
      </c>
      <c r="B17" s="22" t="s">
        <v>114</v>
      </c>
      <c r="C17" s="93" t="s">
        <v>90</v>
      </c>
      <c r="D17" s="22" t="s">
        <v>115</v>
      </c>
      <c r="E17" s="22" t="s">
        <v>116</v>
      </c>
      <c r="F17" s="22" t="s">
        <v>117</v>
      </c>
      <c r="G17" s="22" t="s">
        <v>118</v>
      </c>
      <c r="H17" s="92">
        <v>3</v>
      </c>
      <c r="I17" s="92">
        <v>4</v>
      </c>
      <c r="J17" s="92">
        <f t="shared" si="0"/>
        <v>12</v>
      </c>
      <c r="K17" s="22" t="s">
        <v>119</v>
      </c>
      <c r="L17" s="22" t="s">
        <v>120</v>
      </c>
      <c r="M17" s="94" t="s">
        <v>121</v>
      </c>
      <c r="N17" s="95" t="s">
        <v>54</v>
      </c>
      <c r="O17" s="22" t="s">
        <v>122</v>
      </c>
    </row>
    <row r="18" spans="1:15" ht="75" customHeight="1" x14ac:dyDescent="0.3">
      <c r="A18" s="92">
        <v>10</v>
      </c>
      <c r="B18" s="22" t="s">
        <v>123</v>
      </c>
      <c r="C18" s="93" t="s">
        <v>90</v>
      </c>
      <c r="D18" s="22" t="s">
        <v>73</v>
      </c>
      <c r="E18" s="22" t="s">
        <v>124</v>
      </c>
      <c r="F18" s="22" t="s">
        <v>125</v>
      </c>
      <c r="G18" s="22" t="s">
        <v>126</v>
      </c>
      <c r="H18" s="92">
        <v>3</v>
      </c>
      <c r="I18" s="92">
        <v>3</v>
      </c>
      <c r="J18" s="92">
        <f t="shared" si="0"/>
        <v>9</v>
      </c>
      <c r="K18" s="22" t="s">
        <v>127</v>
      </c>
      <c r="L18" s="22" t="s">
        <v>128</v>
      </c>
      <c r="M18" s="94" t="s">
        <v>129</v>
      </c>
      <c r="N18" s="95" t="s">
        <v>54</v>
      </c>
      <c r="O18" s="22" t="s">
        <v>130</v>
      </c>
    </row>
    <row r="19" spans="1:15" ht="75" customHeight="1" x14ac:dyDescent="0.3">
      <c r="A19" s="92">
        <v>11</v>
      </c>
      <c r="B19" s="22" t="s">
        <v>131</v>
      </c>
      <c r="C19" s="93" t="s">
        <v>90</v>
      </c>
      <c r="D19" s="22" t="s">
        <v>56</v>
      </c>
      <c r="E19" s="22" t="s">
        <v>132</v>
      </c>
      <c r="F19" s="22" t="s">
        <v>133</v>
      </c>
      <c r="G19" s="22" t="s">
        <v>134</v>
      </c>
      <c r="H19" s="92">
        <v>2</v>
      </c>
      <c r="I19" s="92">
        <v>4</v>
      </c>
      <c r="J19" s="92">
        <f t="shared" si="0"/>
        <v>8</v>
      </c>
      <c r="K19" s="22" t="s">
        <v>135</v>
      </c>
      <c r="L19" s="22" t="s">
        <v>136</v>
      </c>
      <c r="M19" s="94" t="s">
        <v>137</v>
      </c>
      <c r="N19" s="95" t="s">
        <v>54</v>
      </c>
      <c r="O19" s="22" t="s">
        <v>138</v>
      </c>
    </row>
    <row r="20" spans="1:15" ht="75" customHeight="1" x14ac:dyDescent="0.3">
      <c r="A20" s="92">
        <v>12</v>
      </c>
      <c r="B20" s="22" t="s">
        <v>139</v>
      </c>
      <c r="C20" s="93" t="s">
        <v>90</v>
      </c>
      <c r="D20" s="22" t="s">
        <v>56</v>
      </c>
      <c r="E20" s="22" t="s">
        <v>140</v>
      </c>
      <c r="F20" s="22" t="s">
        <v>141</v>
      </c>
      <c r="G20" s="22" t="s">
        <v>142</v>
      </c>
      <c r="H20" s="92">
        <v>4</v>
      </c>
      <c r="I20" s="92">
        <v>3</v>
      </c>
      <c r="J20" s="92">
        <f t="shared" si="0"/>
        <v>12</v>
      </c>
      <c r="K20" s="22" t="s">
        <v>143</v>
      </c>
      <c r="L20" s="22" t="s">
        <v>144</v>
      </c>
      <c r="M20" s="94" t="s">
        <v>145</v>
      </c>
      <c r="N20" s="95" t="s">
        <v>54</v>
      </c>
      <c r="O20" s="22" t="s">
        <v>146</v>
      </c>
    </row>
    <row r="21" spans="1:15" ht="75" customHeight="1" x14ac:dyDescent="0.3">
      <c r="A21" s="92">
        <v>13</v>
      </c>
      <c r="B21" s="22" t="s">
        <v>139</v>
      </c>
      <c r="C21" s="93" t="s">
        <v>90</v>
      </c>
      <c r="D21" s="22" t="s">
        <v>73</v>
      </c>
      <c r="E21" s="22" t="s">
        <v>147</v>
      </c>
      <c r="F21" s="22" t="s">
        <v>148</v>
      </c>
      <c r="G21" s="22" t="s">
        <v>149</v>
      </c>
      <c r="H21" s="92">
        <v>3</v>
      </c>
      <c r="I21" s="92">
        <v>4</v>
      </c>
      <c r="J21" s="92">
        <f t="shared" si="0"/>
        <v>12</v>
      </c>
      <c r="K21" s="22" t="s">
        <v>150</v>
      </c>
      <c r="L21" s="22" t="s">
        <v>151</v>
      </c>
      <c r="M21" s="94" t="s">
        <v>152</v>
      </c>
      <c r="N21" s="95" t="s">
        <v>54</v>
      </c>
      <c r="O21" s="22" t="s">
        <v>153</v>
      </c>
    </row>
    <row r="22" spans="1:15" ht="75" customHeight="1" x14ac:dyDescent="0.3">
      <c r="A22" s="92">
        <v>14</v>
      </c>
      <c r="B22" s="22" t="s">
        <v>154</v>
      </c>
      <c r="C22" s="93" t="s">
        <v>90</v>
      </c>
      <c r="D22" s="22" t="s">
        <v>56</v>
      </c>
      <c r="E22" s="22" t="s">
        <v>155</v>
      </c>
      <c r="F22" s="22" t="s">
        <v>156</v>
      </c>
      <c r="G22" s="22" t="s">
        <v>157</v>
      </c>
      <c r="H22" s="92">
        <v>3</v>
      </c>
      <c r="I22" s="92">
        <v>3</v>
      </c>
      <c r="J22" s="92">
        <f t="shared" si="0"/>
        <v>9</v>
      </c>
      <c r="K22" s="22" t="s">
        <v>158</v>
      </c>
      <c r="L22" s="22" t="s">
        <v>159</v>
      </c>
      <c r="M22" s="94" t="s">
        <v>160</v>
      </c>
      <c r="N22" s="95" t="s">
        <v>54</v>
      </c>
      <c r="O22" s="22" t="s">
        <v>161</v>
      </c>
    </row>
    <row r="23" spans="1:15" ht="75" customHeight="1" x14ac:dyDescent="0.3">
      <c r="A23" s="92">
        <v>15</v>
      </c>
      <c r="B23" s="22" t="s">
        <v>106</v>
      </c>
      <c r="C23" s="93" t="s">
        <v>90</v>
      </c>
      <c r="D23" s="22" t="s">
        <v>56</v>
      </c>
      <c r="E23" s="22" t="s">
        <v>162</v>
      </c>
      <c r="F23" s="22" t="s">
        <v>163</v>
      </c>
      <c r="G23" s="22" t="s">
        <v>164</v>
      </c>
      <c r="H23" s="92">
        <v>2</v>
      </c>
      <c r="I23" s="92">
        <v>4</v>
      </c>
      <c r="J23" s="92">
        <f t="shared" si="0"/>
        <v>8</v>
      </c>
      <c r="K23" s="22" t="s">
        <v>165</v>
      </c>
      <c r="L23" s="22" t="s">
        <v>166</v>
      </c>
      <c r="M23" s="94" t="s">
        <v>167</v>
      </c>
      <c r="N23" s="95" t="s">
        <v>54</v>
      </c>
      <c r="O23" s="22" t="s">
        <v>168</v>
      </c>
    </row>
    <row r="24" spans="1:15" ht="75" customHeight="1" x14ac:dyDescent="0.3">
      <c r="A24" s="92">
        <v>16</v>
      </c>
      <c r="B24" s="22" t="s">
        <v>169</v>
      </c>
      <c r="C24" s="93" t="s">
        <v>170</v>
      </c>
      <c r="D24" s="22" t="s">
        <v>47</v>
      </c>
      <c r="E24" s="22" t="s">
        <v>171</v>
      </c>
      <c r="F24" s="22" t="s">
        <v>172</v>
      </c>
      <c r="G24" s="22" t="s">
        <v>173</v>
      </c>
      <c r="H24" s="92">
        <v>3</v>
      </c>
      <c r="I24" s="92">
        <v>5</v>
      </c>
      <c r="J24" s="92">
        <f t="shared" si="0"/>
        <v>15</v>
      </c>
      <c r="K24" s="22" t="s">
        <v>174</v>
      </c>
      <c r="L24" s="22" t="s">
        <v>175</v>
      </c>
      <c r="M24" s="94" t="s">
        <v>176</v>
      </c>
      <c r="N24" s="95" t="s">
        <v>54</v>
      </c>
      <c r="O24" s="22" t="s">
        <v>177</v>
      </c>
    </row>
    <row r="25" spans="1:15" ht="75" customHeight="1" x14ac:dyDescent="0.3">
      <c r="A25" s="92">
        <v>17</v>
      </c>
      <c r="B25" s="22" t="s">
        <v>169</v>
      </c>
      <c r="C25" s="93" t="s">
        <v>170</v>
      </c>
      <c r="D25" s="22" t="s">
        <v>47</v>
      </c>
      <c r="E25" s="22" t="s">
        <v>178</v>
      </c>
      <c r="F25" s="22" t="s">
        <v>179</v>
      </c>
      <c r="G25" s="22" t="s">
        <v>180</v>
      </c>
      <c r="H25" s="92">
        <v>2</v>
      </c>
      <c r="I25" s="92">
        <v>5</v>
      </c>
      <c r="J25" s="92">
        <f t="shared" si="0"/>
        <v>10</v>
      </c>
      <c r="K25" s="22" t="s">
        <v>181</v>
      </c>
      <c r="L25" s="22" t="s">
        <v>182</v>
      </c>
      <c r="M25" s="94" t="s">
        <v>183</v>
      </c>
      <c r="N25" s="95" t="s">
        <v>54</v>
      </c>
      <c r="O25" s="22" t="s">
        <v>184</v>
      </c>
    </row>
    <row r="26" spans="1:15" ht="75" customHeight="1" x14ac:dyDescent="0.3">
      <c r="A26" s="92">
        <v>18</v>
      </c>
      <c r="B26" s="22" t="s">
        <v>185</v>
      </c>
      <c r="C26" s="93" t="s">
        <v>170</v>
      </c>
      <c r="D26" s="22" t="s">
        <v>47</v>
      </c>
      <c r="E26" s="22" t="s">
        <v>186</v>
      </c>
      <c r="F26" s="22" t="s">
        <v>187</v>
      </c>
      <c r="G26" s="22" t="s">
        <v>188</v>
      </c>
      <c r="H26" s="92">
        <v>3</v>
      </c>
      <c r="I26" s="92">
        <v>4</v>
      </c>
      <c r="J26" s="92">
        <f t="shared" si="0"/>
        <v>12</v>
      </c>
      <c r="K26" s="22" t="s">
        <v>189</v>
      </c>
      <c r="L26" s="22" t="s">
        <v>190</v>
      </c>
      <c r="M26" s="94" t="s">
        <v>191</v>
      </c>
      <c r="N26" s="95" t="s">
        <v>54</v>
      </c>
      <c r="O26" s="22" t="s">
        <v>192</v>
      </c>
    </row>
    <row r="27" spans="1:15" ht="75" customHeight="1" x14ac:dyDescent="0.3">
      <c r="A27" s="92">
        <v>19</v>
      </c>
      <c r="B27" s="22" t="s">
        <v>185</v>
      </c>
      <c r="C27" s="93" t="s">
        <v>170</v>
      </c>
      <c r="D27" s="22" t="s">
        <v>98</v>
      </c>
      <c r="E27" s="22" t="s">
        <v>193</v>
      </c>
      <c r="F27" s="22" t="s">
        <v>194</v>
      </c>
      <c r="G27" s="22" t="s">
        <v>195</v>
      </c>
      <c r="H27" s="92">
        <v>3</v>
      </c>
      <c r="I27" s="92">
        <v>4</v>
      </c>
      <c r="J27" s="92">
        <f t="shared" si="0"/>
        <v>12</v>
      </c>
      <c r="K27" s="22" t="s">
        <v>196</v>
      </c>
      <c r="L27" s="22" t="s">
        <v>197</v>
      </c>
      <c r="M27" s="94" t="s">
        <v>198</v>
      </c>
      <c r="N27" s="95" t="s">
        <v>54</v>
      </c>
      <c r="O27" s="22" t="s">
        <v>199</v>
      </c>
    </row>
    <row r="28" spans="1:15" ht="75" customHeight="1" x14ac:dyDescent="0.3">
      <c r="A28" s="96">
        <v>20</v>
      </c>
      <c r="B28" s="97" t="s">
        <v>200</v>
      </c>
      <c r="C28" s="98" t="s">
        <v>170</v>
      </c>
      <c r="D28" s="97" t="s">
        <v>115</v>
      </c>
      <c r="E28" s="97" t="s">
        <v>201</v>
      </c>
      <c r="F28" s="97" t="s">
        <v>202</v>
      </c>
      <c r="G28" s="97" t="s">
        <v>203</v>
      </c>
      <c r="H28" s="97">
        <v>3</v>
      </c>
      <c r="I28" s="97">
        <v>4</v>
      </c>
      <c r="J28" s="97"/>
      <c r="K28" s="97" t="s">
        <v>204</v>
      </c>
      <c r="L28" s="97" t="s">
        <v>205</v>
      </c>
      <c r="M28" s="97" t="s">
        <v>206</v>
      </c>
      <c r="N28" s="97" t="s">
        <v>54</v>
      </c>
      <c r="O28" s="99" t="s">
        <v>207</v>
      </c>
    </row>
    <row r="29" spans="1:15" ht="75" customHeight="1" x14ac:dyDescent="0.3">
      <c r="A29" s="96">
        <v>21</v>
      </c>
      <c r="B29" s="97" t="s">
        <v>169</v>
      </c>
      <c r="C29" s="98" t="s">
        <v>170</v>
      </c>
      <c r="D29" s="97" t="s">
        <v>208</v>
      </c>
      <c r="E29" s="97" t="s">
        <v>209</v>
      </c>
      <c r="F29" s="97" t="s">
        <v>210</v>
      </c>
      <c r="G29" s="97" t="s">
        <v>211</v>
      </c>
      <c r="H29" s="97">
        <v>4</v>
      </c>
      <c r="I29" s="97">
        <v>3</v>
      </c>
      <c r="J29" s="97"/>
      <c r="K29" s="97" t="s">
        <v>212</v>
      </c>
      <c r="L29" s="97" t="s">
        <v>213</v>
      </c>
      <c r="M29" s="97" t="s">
        <v>214</v>
      </c>
      <c r="N29" s="97" t="s">
        <v>54</v>
      </c>
      <c r="O29" s="99" t="s">
        <v>215</v>
      </c>
    </row>
    <row r="30" spans="1:15" ht="75" customHeight="1" x14ac:dyDescent="0.3">
      <c r="A30" s="97">
        <v>22</v>
      </c>
      <c r="B30" s="97" t="s">
        <v>216</v>
      </c>
      <c r="C30" s="97" t="s">
        <v>170</v>
      </c>
      <c r="D30" s="97" t="s">
        <v>56</v>
      </c>
      <c r="E30" s="97" t="s">
        <v>217</v>
      </c>
      <c r="F30" s="97" t="s">
        <v>218</v>
      </c>
      <c r="G30" s="97" t="s">
        <v>219</v>
      </c>
      <c r="H30" s="97">
        <v>3</v>
      </c>
      <c r="I30" s="97">
        <v>3</v>
      </c>
      <c r="J30" s="97"/>
      <c r="K30" s="97" t="s">
        <v>220</v>
      </c>
      <c r="L30" s="97" t="s">
        <v>221</v>
      </c>
      <c r="M30" s="97" t="s">
        <v>222</v>
      </c>
      <c r="N30" s="97" t="s">
        <v>54</v>
      </c>
      <c r="O30" s="97" t="s">
        <v>223</v>
      </c>
    </row>
    <row r="31" spans="1:15" ht="75" customHeight="1" x14ac:dyDescent="0.3">
      <c r="A31" s="97">
        <v>23</v>
      </c>
      <c r="B31" s="97" t="s">
        <v>224</v>
      </c>
      <c r="C31" s="97" t="s">
        <v>170</v>
      </c>
      <c r="D31" s="97" t="s">
        <v>98</v>
      </c>
      <c r="E31" s="97" t="s">
        <v>225</v>
      </c>
      <c r="F31" s="97" t="s">
        <v>226</v>
      </c>
      <c r="G31" s="97" t="s">
        <v>227</v>
      </c>
      <c r="H31" s="97">
        <v>4</v>
      </c>
      <c r="I31" s="97">
        <v>3</v>
      </c>
      <c r="J31" s="97"/>
      <c r="K31" s="97" t="s">
        <v>228</v>
      </c>
      <c r="L31" s="97" t="s">
        <v>229</v>
      </c>
      <c r="M31" s="97" t="s">
        <v>230</v>
      </c>
      <c r="N31" s="97" t="s">
        <v>54</v>
      </c>
      <c r="O31" s="97" t="s">
        <v>231</v>
      </c>
    </row>
    <row r="32" spans="1:15" ht="75" customHeight="1" x14ac:dyDescent="0.3">
      <c r="A32" s="97">
        <v>24</v>
      </c>
      <c r="B32" s="97" t="s">
        <v>216</v>
      </c>
      <c r="C32" s="97" t="s">
        <v>170</v>
      </c>
      <c r="D32" s="97" t="s">
        <v>115</v>
      </c>
      <c r="E32" s="97" t="s">
        <v>232</v>
      </c>
      <c r="F32" s="97" t="s">
        <v>233</v>
      </c>
      <c r="G32" s="97" t="s">
        <v>234</v>
      </c>
      <c r="H32" s="97">
        <v>3</v>
      </c>
      <c r="I32" s="97">
        <v>3</v>
      </c>
      <c r="J32" s="97"/>
      <c r="K32" s="97" t="s">
        <v>235</v>
      </c>
      <c r="L32" s="97" t="s">
        <v>236</v>
      </c>
      <c r="M32" s="97" t="s">
        <v>237</v>
      </c>
      <c r="N32" s="97" t="s">
        <v>54</v>
      </c>
      <c r="O32" s="97" t="s">
        <v>238</v>
      </c>
    </row>
    <row r="33" spans="1:15" ht="75" customHeight="1" x14ac:dyDescent="0.3">
      <c r="A33" s="97">
        <v>25</v>
      </c>
      <c r="B33" s="97" t="s">
        <v>239</v>
      </c>
      <c r="C33" s="97" t="s">
        <v>170</v>
      </c>
      <c r="D33" s="97" t="s">
        <v>115</v>
      </c>
      <c r="E33" s="97" t="s">
        <v>240</v>
      </c>
      <c r="F33" s="97" t="s">
        <v>241</v>
      </c>
      <c r="G33" s="97" t="s">
        <v>242</v>
      </c>
      <c r="H33" s="97">
        <v>2</v>
      </c>
      <c r="I33" s="97">
        <v>4</v>
      </c>
      <c r="J33" s="97"/>
      <c r="K33" s="97" t="s">
        <v>243</v>
      </c>
      <c r="L33" s="97" t="s">
        <v>244</v>
      </c>
      <c r="M33" s="97" t="s">
        <v>245</v>
      </c>
      <c r="N33" s="97" t="s">
        <v>54</v>
      </c>
      <c r="O33" s="97" t="s">
        <v>246</v>
      </c>
    </row>
    <row r="34" spans="1:15" ht="75" customHeight="1" x14ac:dyDescent="0.3">
      <c r="A34" s="97">
        <v>26</v>
      </c>
      <c r="B34" s="97" t="s">
        <v>247</v>
      </c>
      <c r="C34" s="97" t="s">
        <v>170</v>
      </c>
      <c r="D34" s="97" t="s">
        <v>115</v>
      </c>
      <c r="E34" s="97" t="s">
        <v>248</v>
      </c>
      <c r="F34" s="97" t="s">
        <v>249</v>
      </c>
      <c r="G34" s="97" t="s">
        <v>250</v>
      </c>
      <c r="H34" s="97">
        <v>2</v>
      </c>
      <c r="I34" s="97">
        <v>5</v>
      </c>
      <c r="J34" s="97"/>
      <c r="K34" s="97" t="s">
        <v>251</v>
      </c>
      <c r="L34" s="97" t="s">
        <v>252</v>
      </c>
      <c r="M34" s="97" t="s">
        <v>253</v>
      </c>
      <c r="N34" s="97" t="s">
        <v>54</v>
      </c>
      <c r="O34" s="97" t="s">
        <v>254</v>
      </c>
    </row>
    <row r="35" spans="1:15" ht="75" customHeight="1" x14ac:dyDescent="0.3">
      <c r="A35" s="97">
        <v>27</v>
      </c>
      <c r="B35" s="97" t="s">
        <v>255</v>
      </c>
      <c r="C35" s="97" t="s">
        <v>170</v>
      </c>
      <c r="D35" s="97" t="s">
        <v>115</v>
      </c>
      <c r="E35" s="97" t="s">
        <v>256</v>
      </c>
      <c r="F35" s="97" t="s">
        <v>257</v>
      </c>
      <c r="G35" s="97" t="s">
        <v>258</v>
      </c>
      <c r="H35" s="97">
        <v>3</v>
      </c>
      <c r="I35" s="97">
        <v>2</v>
      </c>
      <c r="J35" s="97"/>
      <c r="K35" s="97" t="s">
        <v>259</v>
      </c>
      <c r="L35" s="97" t="s">
        <v>260</v>
      </c>
      <c r="M35" s="97" t="s">
        <v>261</v>
      </c>
      <c r="N35" s="97" t="s">
        <v>54</v>
      </c>
      <c r="O35" s="97" t="s">
        <v>262</v>
      </c>
    </row>
    <row r="36" spans="1:15" ht="75" customHeight="1" x14ac:dyDescent="0.3">
      <c r="A36" s="97">
        <v>28</v>
      </c>
      <c r="B36" s="97" t="s">
        <v>263</v>
      </c>
      <c r="C36" s="97" t="s">
        <v>170</v>
      </c>
      <c r="D36" s="97" t="s">
        <v>56</v>
      </c>
      <c r="E36" s="97" t="s">
        <v>264</v>
      </c>
      <c r="F36" s="97" t="s">
        <v>265</v>
      </c>
      <c r="G36" s="97" t="s">
        <v>266</v>
      </c>
      <c r="H36" s="97">
        <v>2</v>
      </c>
      <c r="I36" s="97">
        <v>4</v>
      </c>
      <c r="J36" s="97"/>
      <c r="K36" s="97" t="s">
        <v>267</v>
      </c>
      <c r="L36" s="97" t="s">
        <v>268</v>
      </c>
      <c r="M36" s="97" t="s">
        <v>269</v>
      </c>
      <c r="N36" s="97" t="s">
        <v>54</v>
      </c>
      <c r="O36" s="97" t="s">
        <v>270</v>
      </c>
    </row>
    <row r="37" spans="1:15" ht="75" customHeight="1" x14ac:dyDescent="0.3">
      <c r="A37" s="97">
        <v>29</v>
      </c>
      <c r="B37" s="97" t="s">
        <v>271</v>
      </c>
      <c r="C37" s="97" t="s">
        <v>272</v>
      </c>
      <c r="D37" s="97" t="s">
        <v>115</v>
      </c>
      <c r="E37" s="97" t="s">
        <v>273</v>
      </c>
      <c r="F37" s="97" t="s">
        <v>274</v>
      </c>
      <c r="G37" s="97" t="s">
        <v>275</v>
      </c>
      <c r="H37" s="97">
        <v>3</v>
      </c>
      <c r="I37" s="97">
        <v>4</v>
      </c>
      <c r="J37" s="97"/>
      <c r="K37" s="97" t="s">
        <v>276</v>
      </c>
      <c r="L37" s="97" t="s">
        <v>277</v>
      </c>
      <c r="M37" s="97" t="s">
        <v>278</v>
      </c>
      <c r="N37" s="97" t="s">
        <v>54</v>
      </c>
      <c r="O37" s="97" t="s">
        <v>279</v>
      </c>
    </row>
    <row r="38" spans="1:15" ht="75" customHeight="1" x14ac:dyDescent="0.3">
      <c r="A38" s="97">
        <v>30</v>
      </c>
      <c r="B38" s="97" t="s">
        <v>271</v>
      </c>
      <c r="C38" s="97" t="s">
        <v>272</v>
      </c>
      <c r="D38" s="97" t="s">
        <v>280</v>
      </c>
      <c r="E38" s="97" t="s">
        <v>281</v>
      </c>
      <c r="F38" s="97" t="s">
        <v>282</v>
      </c>
      <c r="G38" s="97" t="s">
        <v>283</v>
      </c>
      <c r="H38" s="97">
        <v>3</v>
      </c>
      <c r="I38" s="97">
        <v>4</v>
      </c>
      <c r="J38" s="97"/>
      <c r="K38" s="97" t="s">
        <v>284</v>
      </c>
      <c r="L38" s="97" t="s">
        <v>285</v>
      </c>
      <c r="M38" s="97" t="s">
        <v>286</v>
      </c>
      <c r="N38" s="97" t="s">
        <v>54</v>
      </c>
      <c r="O38" s="97" t="s">
        <v>287</v>
      </c>
    </row>
    <row r="39" spans="1:15" ht="75" customHeight="1" x14ac:dyDescent="0.3">
      <c r="A39" s="97">
        <v>31</v>
      </c>
      <c r="B39" s="97" t="s">
        <v>288</v>
      </c>
      <c r="C39" s="97" t="s">
        <v>272</v>
      </c>
      <c r="D39" s="97" t="s">
        <v>98</v>
      </c>
      <c r="E39" s="97" t="s">
        <v>289</v>
      </c>
      <c r="F39" s="97" t="s">
        <v>290</v>
      </c>
      <c r="G39" s="97" t="s">
        <v>291</v>
      </c>
      <c r="H39" s="97">
        <v>3</v>
      </c>
      <c r="I39" s="97">
        <v>3</v>
      </c>
      <c r="J39" s="97"/>
      <c r="K39" s="97" t="s">
        <v>292</v>
      </c>
      <c r="L39" s="97" t="s">
        <v>293</v>
      </c>
      <c r="M39" s="97" t="s">
        <v>294</v>
      </c>
      <c r="N39" s="97" t="s">
        <v>54</v>
      </c>
      <c r="O39" s="97" t="s">
        <v>295</v>
      </c>
    </row>
    <row r="40" spans="1:15" ht="75" customHeight="1" x14ac:dyDescent="0.3">
      <c r="A40" s="96">
        <v>32</v>
      </c>
      <c r="B40" s="97" t="s">
        <v>296</v>
      </c>
      <c r="C40" s="97" t="s">
        <v>272</v>
      </c>
      <c r="D40" s="97" t="s">
        <v>115</v>
      </c>
      <c r="E40" s="97" t="s">
        <v>297</v>
      </c>
      <c r="F40" s="97" t="s">
        <v>298</v>
      </c>
      <c r="G40" s="97" t="s">
        <v>299</v>
      </c>
      <c r="H40" s="97">
        <v>3</v>
      </c>
      <c r="I40" s="97">
        <v>3</v>
      </c>
      <c r="J40" s="97"/>
      <c r="K40" s="97" t="s">
        <v>300</v>
      </c>
      <c r="L40" s="97" t="s">
        <v>301</v>
      </c>
      <c r="M40" s="97" t="s">
        <v>302</v>
      </c>
      <c r="N40" s="97" t="s">
        <v>54</v>
      </c>
      <c r="O40" s="97" t="s">
        <v>303</v>
      </c>
    </row>
    <row r="41" spans="1:15" ht="75" customHeight="1" x14ac:dyDescent="0.3">
      <c r="A41" s="96">
        <v>33</v>
      </c>
      <c r="B41" s="97" t="s">
        <v>304</v>
      </c>
      <c r="C41" s="97" t="s">
        <v>272</v>
      </c>
      <c r="D41" s="97" t="s">
        <v>115</v>
      </c>
      <c r="E41" s="97" t="s">
        <v>305</v>
      </c>
      <c r="F41" s="97" t="s">
        <v>306</v>
      </c>
      <c r="G41" s="97" t="s">
        <v>307</v>
      </c>
      <c r="H41" s="97">
        <v>2</v>
      </c>
      <c r="I41" s="97">
        <v>4</v>
      </c>
      <c r="J41" s="97"/>
      <c r="K41" s="97" t="s">
        <v>308</v>
      </c>
      <c r="L41" s="97" t="s">
        <v>309</v>
      </c>
      <c r="M41" s="97" t="s">
        <v>310</v>
      </c>
      <c r="N41" s="97" t="s">
        <v>54</v>
      </c>
      <c r="O41" s="97" t="s">
        <v>311</v>
      </c>
    </row>
    <row r="42" spans="1:15" ht="75" customHeight="1" x14ac:dyDescent="0.3">
      <c r="A42" s="96">
        <v>34</v>
      </c>
      <c r="B42" s="97" t="s">
        <v>304</v>
      </c>
      <c r="C42" s="97" t="s">
        <v>272</v>
      </c>
      <c r="D42" s="97" t="s">
        <v>98</v>
      </c>
      <c r="E42" s="97" t="s">
        <v>312</v>
      </c>
      <c r="F42" s="97" t="s">
        <v>313</v>
      </c>
      <c r="G42" s="97" t="s">
        <v>314</v>
      </c>
      <c r="H42" s="97">
        <v>3</v>
      </c>
      <c r="I42" s="97">
        <v>3</v>
      </c>
      <c r="J42" s="97"/>
      <c r="K42" s="97" t="s">
        <v>315</v>
      </c>
      <c r="L42" s="97" t="s">
        <v>316</v>
      </c>
      <c r="M42" s="97" t="s">
        <v>278</v>
      </c>
      <c r="N42" s="97" t="s">
        <v>54</v>
      </c>
      <c r="O42" s="97" t="s">
        <v>317</v>
      </c>
    </row>
    <row r="43" spans="1:15" ht="75" customHeight="1" x14ac:dyDescent="0.3">
      <c r="A43" s="96">
        <v>35</v>
      </c>
      <c r="B43" s="97" t="s">
        <v>318</v>
      </c>
      <c r="C43" s="97" t="s">
        <v>319</v>
      </c>
      <c r="D43" s="97" t="s">
        <v>73</v>
      </c>
      <c r="E43" s="97" t="s">
        <v>320</v>
      </c>
      <c r="F43" s="97" t="s">
        <v>321</v>
      </c>
      <c r="G43" s="97" t="s">
        <v>322</v>
      </c>
      <c r="H43" s="97">
        <v>2</v>
      </c>
      <c r="I43" s="97">
        <v>5</v>
      </c>
      <c r="J43" s="97"/>
      <c r="K43" s="97" t="s">
        <v>323</v>
      </c>
      <c r="L43" s="97" t="s">
        <v>324</v>
      </c>
      <c r="M43" s="97" t="s">
        <v>325</v>
      </c>
      <c r="N43" s="97" t="s">
        <v>54</v>
      </c>
      <c r="O43" s="97" t="s">
        <v>326</v>
      </c>
    </row>
    <row r="44" spans="1:15" ht="75" customHeight="1" x14ac:dyDescent="0.3">
      <c r="A44" s="96">
        <v>36</v>
      </c>
      <c r="B44" s="97" t="s">
        <v>327</v>
      </c>
      <c r="C44" s="97" t="s">
        <v>319</v>
      </c>
      <c r="D44" s="97" t="s">
        <v>280</v>
      </c>
      <c r="E44" s="97" t="s">
        <v>328</v>
      </c>
      <c r="F44" s="97" t="s">
        <v>329</v>
      </c>
      <c r="G44" s="97" t="s">
        <v>330</v>
      </c>
      <c r="H44" s="97">
        <v>2</v>
      </c>
      <c r="I44" s="97">
        <v>3</v>
      </c>
      <c r="J44" s="97"/>
      <c r="K44" s="97" t="s">
        <v>331</v>
      </c>
      <c r="L44" s="97" t="s">
        <v>229</v>
      </c>
      <c r="M44" s="97" t="s">
        <v>332</v>
      </c>
      <c r="N44" s="97" t="s">
        <v>54</v>
      </c>
      <c r="O44" s="97" t="s">
        <v>333</v>
      </c>
    </row>
    <row r="45" spans="1:15" ht="75" customHeight="1" x14ac:dyDescent="0.3">
      <c r="A45" s="96">
        <v>37</v>
      </c>
      <c r="B45" s="97" t="s">
        <v>334</v>
      </c>
      <c r="C45" s="97" t="s">
        <v>335</v>
      </c>
      <c r="D45" s="97" t="s">
        <v>47</v>
      </c>
      <c r="E45" s="97" t="s">
        <v>336</v>
      </c>
      <c r="F45" s="97" t="s">
        <v>337</v>
      </c>
      <c r="G45" s="97" t="s">
        <v>338</v>
      </c>
      <c r="H45" s="97">
        <v>2</v>
      </c>
      <c r="I45" s="97">
        <v>5</v>
      </c>
      <c r="J45" s="97"/>
      <c r="K45" s="97" t="s">
        <v>339</v>
      </c>
      <c r="L45" s="97" t="s">
        <v>340</v>
      </c>
      <c r="M45" s="97" t="s">
        <v>341</v>
      </c>
      <c r="N45" s="97" t="s">
        <v>54</v>
      </c>
      <c r="O45" s="97" t="s">
        <v>342</v>
      </c>
    </row>
    <row r="46" spans="1:15" ht="75" customHeight="1" x14ac:dyDescent="0.3">
      <c r="A46" s="96">
        <v>38</v>
      </c>
      <c r="B46" s="97" t="s">
        <v>343</v>
      </c>
      <c r="C46" s="97" t="s">
        <v>332</v>
      </c>
      <c r="D46" s="97" t="s">
        <v>280</v>
      </c>
      <c r="E46" s="97" t="s">
        <v>344</v>
      </c>
      <c r="F46" s="97" t="s">
        <v>345</v>
      </c>
      <c r="G46" s="97" t="s">
        <v>346</v>
      </c>
      <c r="H46" s="97">
        <v>2</v>
      </c>
      <c r="I46" s="97">
        <v>5</v>
      </c>
      <c r="J46" s="97"/>
      <c r="K46" s="97" t="s">
        <v>347</v>
      </c>
      <c r="L46" s="97" t="s">
        <v>229</v>
      </c>
      <c r="M46" s="97" t="s">
        <v>348</v>
      </c>
      <c r="N46" s="97" t="s">
        <v>54</v>
      </c>
      <c r="O46" s="97" t="s">
        <v>349</v>
      </c>
    </row>
    <row r="47" spans="1:15" ht="75" customHeight="1" x14ac:dyDescent="0.3">
      <c r="A47" s="96">
        <v>39</v>
      </c>
      <c r="B47" s="97" t="s">
        <v>350</v>
      </c>
      <c r="C47" s="97" t="s">
        <v>332</v>
      </c>
      <c r="D47" s="97" t="s">
        <v>280</v>
      </c>
      <c r="E47" s="97" t="s">
        <v>351</v>
      </c>
      <c r="F47" s="97" t="s">
        <v>352</v>
      </c>
      <c r="G47" s="97" t="s">
        <v>353</v>
      </c>
      <c r="H47" s="97">
        <v>3</v>
      </c>
      <c r="I47" s="97">
        <v>4</v>
      </c>
      <c r="J47" s="97"/>
      <c r="K47" s="97" t="s">
        <v>354</v>
      </c>
      <c r="L47" s="97" t="s">
        <v>355</v>
      </c>
      <c r="M47" s="97" t="s">
        <v>356</v>
      </c>
      <c r="N47" s="97" t="s">
        <v>54</v>
      </c>
      <c r="O47" s="97" t="s">
        <v>357</v>
      </c>
    </row>
    <row r="48" spans="1:15" ht="75" customHeight="1" x14ac:dyDescent="0.3">
      <c r="A48" s="96">
        <v>40</v>
      </c>
      <c r="B48" s="97" t="s">
        <v>358</v>
      </c>
      <c r="C48" s="97" t="s">
        <v>332</v>
      </c>
      <c r="D48" s="97" t="s">
        <v>208</v>
      </c>
      <c r="E48" s="97" t="s">
        <v>359</v>
      </c>
      <c r="F48" s="97" t="s">
        <v>360</v>
      </c>
      <c r="G48" s="97" t="s">
        <v>361</v>
      </c>
      <c r="H48" s="97">
        <v>2</v>
      </c>
      <c r="I48" s="97">
        <v>3</v>
      </c>
      <c r="J48" s="97"/>
      <c r="K48" s="97" t="s">
        <v>362</v>
      </c>
      <c r="L48" s="97" t="s">
        <v>363</v>
      </c>
      <c r="M48" s="97" t="s">
        <v>364</v>
      </c>
      <c r="N48" s="97" t="s">
        <v>54</v>
      </c>
      <c r="O48" s="97" t="s">
        <v>365</v>
      </c>
    </row>
    <row r="49" spans="1:15" ht="75" customHeight="1" x14ac:dyDescent="0.3">
      <c r="A49" s="96">
        <v>41</v>
      </c>
      <c r="B49" s="97" t="s">
        <v>366</v>
      </c>
      <c r="C49" s="97" t="s">
        <v>367</v>
      </c>
      <c r="D49" s="97" t="s">
        <v>98</v>
      </c>
      <c r="E49" s="97" t="s">
        <v>368</v>
      </c>
      <c r="F49" s="97" t="s">
        <v>369</v>
      </c>
      <c r="G49" s="97" t="s">
        <v>370</v>
      </c>
      <c r="H49" s="97">
        <v>3</v>
      </c>
      <c r="I49" s="97">
        <v>4</v>
      </c>
      <c r="J49" s="97"/>
      <c r="K49" s="97" t="s">
        <v>371</v>
      </c>
      <c r="L49" s="97" t="s">
        <v>372</v>
      </c>
      <c r="M49" s="97" t="s">
        <v>373</v>
      </c>
      <c r="N49" s="97" t="s">
        <v>54</v>
      </c>
      <c r="O49" s="97" t="s">
        <v>374</v>
      </c>
    </row>
    <row r="50" spans="1:15" ht="75" customHeight="1" x14ac:dyDescent="0.3">
      <c r="A50" s="96">
        <v>42</v>
      </c>
      <c r="B50" s="97" t="s">
        <v>375</v>
      </c>
      <c r="C50" s="97" t="s">
        <v>367</v>
      </c>
      <c r="D50" s="97" t="s">
        <v>115</v>
      </c>
      <c r="E50" s="97" t="s">
        <v>376</v>
      </c>
      <c r="F50" s="97" t="s">
        <v>377</v>
      </c>
      <c r="G50" s="97" t="s">
        <v>378</v>
      </c>
      <c r="H50" s="97">
        <v>3</v>
      </c>
      <c r="I50" s="97">
        <v>4</v>
      </c>
      <c r="J50" s="97"/>
      <c r="K50" s="97" t="s">
        <v>379</v>
      </c>
      <c r="L50" s="97" t="s">
        <v>380</v>
      </c>
      <c r="M50" s="97" t="s">
        <v>381</v>
      </c>
      <c r="N50" s="97" t="s">
        <v>54</v>
      </c>
      <c r="O50" s="97" t="s">
        <v>382</v>
      </c>
    </row>
    <row r="51" spans="1:15" ht="75" customHeight="1" x14ac:dyDescent="0.3">
      <c r="A51" s="96">
        <v>43</v>
      </c>
      <c r="B51" s="97" t="s">
        <v>383</v>
      </c>
      <c r="C51" s="97" t="s">
        <v>384</v>
      </c>
      <c r="D51" s="97" t="s">
        <v>47</v>
      </c>
      <c r="E51" s="97" t="s">
        <v>385</v>
      </c>
      <c r="F51" s="97" t="s">
        <v>386</v>
      </c>
      <c r="G51" s="97" t="s">
        <v>387</v>
      </c>
      <c r="H51" s="97">
        <v>3</v>
      </c>
      <c r="I51" s="97">
        <v>3</v>
      </c>
      <c r="J51" s="97"/>
      <c r="K51" s="97" t="s">
        <v>388</v>
      </c>
      <c r="L51" s="97" t="s">
        <v>389</v>
      </c>
      <c r="M51" s="97" t="s">
        <v>390</v>
      </c>
      <c r="N51" s="97" t="s">
        <v>54</v>
      </c>
      <c r="O51" s="97" t="s">
        <v>391</v>
      </c>
    </row>
    <row r="52" spans="1:15" ht="75" customHeight="1" x14ac:dyDescent="0.3">
      <c r="A52" s="97">
        <v>44</v>
      </c>
      <c r="B52" s="97" t="s">
        <v>392</v>
      </c>
      <c r="C52" s="97" t="s">
        <v>393</v>
      </c>
      <c r="D52" s="97" t="s">
        <v>280</v>
      </c>
      <c r="E52" s="97" t="s">
        <v>394</v>
      </c>
      <c r="F52" s="97" t="s">
        <v>395</v>
      </c>
      <c r="G52" s="97" t="s">
        <v>396</v>
      </c>
      <c r="H52" s="97">
        <v>2</v>
      </c>
      <c r="I52" s="97">
        <v>4</v>
      </c>
      <c r="J52" s="97">
        <f t="shared" ref="J52:J62" si="1">$H52*$I52</f>
        <v>8</v>
      </c>
      <c r="K52" s="97" t="s">
        <v>397</v>
      </c>
      <c r="L52" s="97" t="s">
        <v>398</v>
      </c>
      <c r="M52" s="97" t="s">
        <v>399</v>
      </c>
      <c r="N52" s="97" t="s">
        <v>54</v>
      </c>
      <c r="O52" s="97" t="s">
        <v>400</v>
      </c>
    </row>
    <row r="53" spans="1:15" ht="75" customHeight="1" x14ac:dyDescent="0.3">
      <c r="A53" s="97">
        <v>45</v>
      </c>
      <c r="B53" s="97" t="s">
        <v>401</v>
      </c>
      <c r="C53" s="97" t="s">
        <v>384</v>
      </c>
      <c r="D53" s="97" t="s">
        <v>56</v>
      </c>
      <c r="E53" s="97" t="s">
        <v>402</v>
      </c>
      <c r="F53" s="97" t="s">
        <v>403</v>
      </c>
      <c r="G53" s="97" t="s">
        <v>404</v>
      </c>
      <c r="H53" s="97">
        <v>3</v>
      </c>
      <c r="I53" s="97">
        <v>3</v>
      </c>
      <c r="J53" s="97">
        <f t="shared" si="1"/>
        <v>9</v>
      </c>
      <c r="K53" s="97" t="s">
        <v>405</v>
      </c>
      <c r="L53" s="97" t="s">
        <v>406</v>
      </c>
      <c r="M53" s="97" t="s">
        <v>407</v>
      </c>
      <c r="N53" s="97" t="s">
        <v>54</v>
      </c>
      <c r="O53" s="97" t="s">
        <v>408</v>
      </c>
    </row>
    <row r="54" spans="1:15" ht="75" customHeight="1" x14ac:dyDescent="0.3">
      <c r="A54" s="97">
        <v>46</v>
      </c>
      <c r="B54" s="97" t="s">
        <v>409</v>
      </c>
      <c r="C54" s="97" t="s">
        <v>410</v>
      </c>
      <c r="D54" s="97" t="s">
        <v>47</v>
      </c>
      <c r="E54" s="97" t="s">
        <v>411</v>
      </c>
      <c r="F54" s="97" t="s">
        <v>412</v>
      </c>
      <c r="G54" s="97" t="s">
        <v>413</v>
      </c>
      <c r="H54" s="97">
        <v>3</v>
      </c>
      <c r="I54" s="97">
        <v>3</v>
      </c>
      <c r="J54" s="97">
        <f t="shared" si="1"/>
        <v>9</v>
      </c>
      <c r="K54" s="97" t="s">
        <v>414</v>
      </c>
      <c r="L54" s="97" t="s">
        <v>415</v>
      </c>
      <c r="M54" s="97" t="s">
        <v>416</v>
      </c>
      <c r="N54" s="97" t="s">
        <v>54</v>
      </c>
      <c r="O54" s="97" t="s">
        <v>417</v>
      </c>
    </row>
    <row r="55" spans="1:15" ht="75" customHeight="1" x14ac:dyDescent="0.3">
      <c r="A55" s="97">
        <v>47</v>
      </c>
      <c r="B55" s="97" t="s">
        <v>418</v>
      </c>
      <c r="C55" s="97" t="s">
        <v>46</v>
      </c>
      <c r="D55" s="97" t="s">
        <v>419</v>
      </c>
      <c r="E55" s="97" t="s">
        <v>420</v>
      </c>
      <c r="F55" s="97" t="s">
        <v>421</v>
      </c>
      <c r="G55" s="97" t="s">
        <v>422</v>
      </c>
      <c r="H55" s="97">
        <v>3</v>
      </c>
      <c r="I55" s="97">
        <v>4</v>
      </c>
      <c r="J55" s="97">
        <f t="shared" si="1"/>
        <v>12</v>
      </c>
      <c r="K55" s="97" t="s">
        <v>423</v>
      </c>
      <c r="L55" s="97" t="s">
        <v>424</v>
      </c>
      <c r="M55" s="97" t="s">
        <v>425</v>
      </c>
      <c r="N55" s="97" t="s">
        <v>54</v>
      </c>
      <c r="O55" s="97" t="s">
        <v>426</v>
      </c>
    </row>
    <row r="56" spans="1:15" ht="75" customHeight="1" x14ac:dyDescent="0.3">
      <c r="A56" s="97">
        <v>48</v>
      </c>
      <c r="B56" s="97" t="s">
        <v>418</v>
      </c>
      <c r="C56" s="97" t="s">
        <v>46</v>
      </c>
      <c r="D56" s="97" t="s">
        <v>98</v>
      </c>
      <c r="E56" s="97" t="s">
        <v>427</v>
      </c>
      <c r="F56" s="97" t="s">
        <v>428</v>
      </c>
      <c r="G56" s="97" t="s">
        <v>429</v>
      </c>
      <c r="H56" s="97">
        <v>2</v>
      </c>
      <c r="I56" s="97">
        <v>3</v>
      </c>
      <c r="J56" s="97">
        <f t="shared" si="1"/>
        <v>6</v>
      </c>
      <c r="K56" s="97" t="s">
        <v>430</v>
      </c>
      <c r="L56" s="97" t="s">
        <v>431</v>
      </c>
      <c r="M56" s="97" t="s">
        <v>425</v>
      </c>
      <c r="N56" s="97" t="s">
        <v>54</v>
      </c>
      <c r="O56" s="97" t="s">
        <v>432</v>
      </c>
    </row>
    <row r="57" spans="1:15" ht="75" customHeight="1" x14ac:dyDescent="0.3">
      <c r="A57" s="97">
        <v>49</v>
      </c>
      <c r="B57" s="97" t="s">
        <v>433</v>
      </c>
      <c r="C57" s="97" t="s">
        <v>46</v>
      </c>
      <c r="D57" s="97" t="s">
        <v>73</v>
      </c>
      <c r="E57" s="97" t="s">
        <v>434</v>
      </c>
      <c r="F57" s="97" t="s">
        <v>435</v>
      </c>
      <c r="G57" s="97" t="s">
        <v>436</v>
      </c>
      <c r="H57" s="97">
        <v>2</v>
      </c>
      <c r="I57" s="97">
        <v>4</v>
      </c>
      <c r="J57" s="97">
        <f t="shared" si="1"/>
        <v>8</v>
      </c>
      <c r="K57" s="97" t="s">
        <v>437</v>
      </c>
      <c r="L57" s="97" t="s">
        <v>438</v>
      </c>
      <c r="M57" s="97" t="s">
        <v>439</v>
      </c>
      <c r="N57" s="97" t="s">
        <v>54</v>
      </c>
      <c r="O57" s="97" t="s">
        <v>440</v>
      </c>
    </row>
    <row r="58" spans="1:15" ht="75" customHeight="1" x14ac:dyDescent="0.3">
      <c r="A58" s="97">
        <v>50</v>
      </c>
      <c r="B58" s="97" t="s">
        <v>441</v>
      </c>
      <c r="C58" s="97" t="s">
        <v>46</v>
      </c>
      <c r="D58" s="97" t="s">
        <v>98</v>
      </c>
      <c r="E58" s="97" t="s">
        <v>442</v>
      </c>
      <c r="F58" s="97" t="s">
        <v>443</v>
      </c>
      <c r="G58" s="97" t="s">
        <v>444</v>
      </c>
      <c r="H58" s="97">
        <v>2</v>
      </c>
      <c r="I58" s="97">
        <v>4</v>
      </c>
      <c r="J58" s="97">
        <f t="shared" si="1"/>
        <v>8</v>
      </c>
      <c r="K58" s="97" t="s">
        <v>445</v>
      </c>
      <c r="L58" s="97" t="s">
        <v>446</v>
      </c>
      <c r="M58" s="97" t="s">
        <v>425</v>
      </c>
      <c r="N58" s="97" t="s">
        <v>54</v>
      </c>
      <c r="O58" s="97" t="s">
        <v>447</v>
      </c>
    </row>
    <row r="59" spans="1:15" ht="75" customHeight="1" x14ac:dyDescent="0.3">
      <c r="A59" s="97">
        <v>51</v>
      </c>
      <c r="B59" s="97" t="s">
        <v>448</v>
      </c>
      <c r="C59" s="97" t="s">
        <v>46</v>
      </c>
      <c r="D59" s="97" t="s">
        <v>280</v>
      </c>
      <c r="E59" s="97" t="s">
        <v>449</v>
      </c>
      <c r="F59" s="97" t="s">
        <v>450</v>
      </c>
      <c r="G59" s="97" t="s">
        <v>451</v>
      </c>
      <c r="H59" s="97">
        <v>2</v>
      </c>
      <c r="I59" s="97">
        <v>4</v>
      </c>
      <c r="J59" s="97">
        <f t="shared" si="1"/>
        <v>8</v>
      </c>
      <c r="K59" s="97" t="s">
        <v>452</v>
      </c>
      <c r="L59" s="97" t="s">
        <v>453</v>
      </c>
      <c r="M59" s="97" t="s">
        <v>425</v>
      </c>
      <c r="N59" s="97" t="s">
        <v>54</v>
      </c>
      <c r="O59" s="97" t="s">
        <v>454</v>
      </c>
    </row>
    <row r="60" spans="1:15" ht="75" customHeight="1" x14ac:dyDescent="0.3">
      <c r="A60" s="97">
        <v>52</v>
      </c>
      <c r="B60" s="97" t="s">
        <v>418</v>
      </c>
      <c r="C60" s="97" t="s">
        <v>46</v>
      </c>
      <c r="D60" s="97" t="s">
        <v>208</v>
      </c>
      <c r="E60" s="97" t="s">
        <v>455</v>
      </c>
      <c r="F60" s="97" t="s">
        <v>456</v>
      </c>
      <c r="G60" s="97" t="s">
        <v>457</v>
      </c>
      <c r="H60" s="97">
        <v>2</v>
      </c>
      <c r="I60" s="97">
        <v>3</v>
      </c>
      <c r="J60" s="97">
        <f t="shared" si="1"/>
        <v>6</v>
      </c>
      <c r="K60" s="97" t="s">
        <v>458</v>
      </c>
      <c r="L60" s="97" t="s">
        <v>459</v>
      </c>
      <c r="M60" s="97" t="s">
        <v>425</v>
      </c>
      <c r="N60" s="97" t="s">
        <v>54</v>
      </c>
      <c r="O60" s="97" t="s">
        <v>460</v>
      </c>
    </row>
    <row r="61" spans="1:15" ht="75" customHeight="1" x14ac:dyDescent="0.3">
      <c r="A61" s="97">
        <v>53</v>
      </c>
      <c r="B61" s="97" t="s">
        <v>461</v>
      </c>
      <c r="C61" s="97" t="s">
        <v>46</v>
      </c>
      <c r="D61" s="97" t="s">
        <v>47</v>
      </c>
      <c r="E61" s="97" t="s">
        <v>462</v>
      </c>
      <c r="F61" s="97" t="s">
        <v>463</v>
      </c>
      <c r="G61" s="97" t="s">
        <v>464</v>
      </c>
      <c r="H61" s="97">
        <v>3</v>
      </c>
      <c r="I61" s="97">
        <v>3</v>
      </c>
      <c r="J61" s="97">
        <f t="shared" si="1"/>
        <v>9</v>
      </c>
      <c r="K61" s="97" t="s">
        <v>465</v>
      </c>
      <c r="L61" s="97" t="s">
        <v>466</v>
      </c>
      <c r="M61" s="97" t="s">
        <v>467</v>
      </c>
      <c r="N61" s="97" t="s">
        <v>54</v>
      </c>
      <c r="O61" s="97" t="s">
        <v>468</v>
      </c>
    </row>
    <row r="62" spans="1:15" ht="75" customHeight="1" x14ac:dyDescent="0.3">
      <c r="A62" s="97">
        <v>54</v>
      </c>
      <c r="B62" s="97" t="s">
        <v>469</v>
      </c>
      <c r="C62" s="97" t="s">
        <v>46</v>
      </c>
      <c r="D62" s="97" t="s">
        <v>56</v>
      </c>
      <c r="E62" s="97" t="s">
        <v>470</v>
      </c>
      <c r="F62" s="97" t="s">
        <v>471</v>
      </c>
      <c r="G62" s="97" t="s">
        <v>472</v>
      </c>
      <c r="H62" s="97">
        <v>3</v>
      </c>
      <c r="I62" s="97">
        <v>3</v>
      </c>
      <c r="J62" s="97">
        <f t="shared" si="1"/>
        <v>9</v>
      </c>
      <c r="K62" s="97" t="s">
        <v>473</v>
      </c>
      <c r="L62" s="97" t="s">
        <v>474</v>
      </c>
      <c r="M62" s="97" t="s">
        <v>475</v>
      </c>
      <c r="N62" s="97" t="s">
        <v>54</v>
      </c>
      <c r="O62" s="97" t="s">
        <v>476</v>
      </c>
    </row>
  </sheetData>
  <mergeCells count="24">
    <mergeCell ref="O7:O8"/>
    <mergeCell ref="D3:E3"/>
    <mergeCell ref="M1:O1"/>
    <mergeCell ref="B7:B8"/>
    <mergeCell ref="F7:F8"/>
    <mergeCell ref="L7:L8"/>
    <mergeCell ref="N7:N8"/>
    <mergeCell ref="A2:C2"/>
    <mergeCell ref="D2:E2"/>
    <mergeCell ref="K1:L1"/>
    <mergeCell ref="D7:D8"/>
    <mergeCell ref="H7:H8"/>
    <mergeCell ref="J7:J8"/>
    <mergeCell ref="A4:C4"/>
    <mergeCell ref="A1:G1"/>
    <mergeCell ref="C7:C8"/>
    <mergeCell ref="E7:E8"/>
    <mergeCell ref="D4:E4"/>
    <mergeCell ref="K7:K8"/>
    <mergeCell ref="A7:A8"/>
    <mergeCell ref="G7:G8"/>
    <mergeCell ref="A3:C3"/>
    <mergeCell ref="I7:I8"/>
    <mergeCell ref="M7:M8"/>
  </mergeCells>
  <conditionalFormatting sqref="J9:J27">
    <cfRule type="cellIs" dxfId="1" priority="2" stopIfTrue="1" operator="greaterThanOrEqual">
      <formula>$L$2</formula>
    </cfRule>
  </conditionalFormatting>
  <conditionalFormatting sqref="L3">
    <cfRule type="cellIs" dxfId="0" priority="1" stopIfTrue="1" operator="greaterThan">
      <formula>0</formula>
    </cfRule>
  </conditionalFormatting>
  <dataValidations count="2">
    <dataValidation type="list" allowBlank="1" showInputMessage="1" showErrorMessage="1" sqref="N9:N27 N65534:N65563 N131070:N131099 N196606:N196635 N262142:N262171 N327678:N327707 N393214:N393243 N458750:N458779 N524286:N524315 N589822:N589851 N655358:N655387 N720894:N720923 N786430:N786459 N851966:N851995 N917502:N917531 N983038:N983067 JJ9:JJ27 JJ65534:JJ65563 JJ131070:JJ131099 JJ196606:JJ196635 JJ262142:JJ262171 JJ327678:JJ327707 JJ393214:JJ393243 JJ458750:JJ458779 JJ524286:JJ524315 JJ589822:JJ589851 JJ655358:JJ655387 JJ720894:JJ720923 JJ786430:JJ786459 JJ851966:JJ851995 JJ917502:JJ917531 JJ983038:JJ983067 TF9:TF27 TF65534:TF65563 TF131070:TF131099 TF196606:TF196635 TF262142:TF262171 TF327678:TF327707 TF393214:TF393243 TF458750:TF458779 TF524286:TF524315 TF589822:TF589851 TF655358:TF655387 TF720894:TF720923 TF786430:TF786459 TF851966:TF851995 TF917502:TF917531 TF983038:TF983067 ADB9:ADB27 ADB65534:ADB65563 ADB131070:ADB131099 ADB196606:ADB196635 ADB262142:ADB262171 ADB327678:ADB327707 ADB393214:ADB393243 ADB458750:ADB458779 ADB524286:ADB524315 ADB589822:ADB589851 ADB655358:ADB655387 ADB720894:ADB720923 ADB786430:ADB786459 ADB851966:ADB851995 ADB917502:ADB917531 ADB983038:ADB983067 AMX9:AMX27 AMX65534:AMX65563 AMX131070:AMX131099 AMX196606:AMX196635 AMX262142:AMX262171 AMX327678:AMX327707 AMX393214:AMX393243 AMX458750:AMX458779 AMX524286:AMX524315 AMX589822:AMX589851 AMX655358:AMX655387 AMX720894:AMX720923 AMX786430:AMX786459 AMX851966:AMX851995 AMX917502:AMX917531 AMX983038:AMX983067 AWT9:AWT27 AWT65534:AWT65563 AWT131070:AWT131099 AWT196606:AWT196635 AWT262142:AWT262171 AWT327678:AWT327707 AWT393214:AWT393243 AWT458750:AWT458779 AWT524286:AWT524315 AWT589822:AWT589851 AWT655358:AWT655387 AWT720894:AWT720923 AWT786430:AWT786459 AWT851966:AWT851995 AWT917502:AWT917531 AWT983038:AWT983067 BGP9:BGP27 BGP65534:BGP65563 BGP131070:BGP131099 BGP196606:BGP196635 BGP262142:BGP262171 BGP327678:BGP327707 BGP393214:BGP393243 BGP458750:BGP458779 BGP524286:BGP524315 BGP589822:BGP589851 BGP655358:BGP655387 BGP720894:BGP720923 BGP786430:BGP786459 BGP851966:BGP851995 BGP917502:BGP917531 BGP983038:BGP983067 BQL9:BQL27 BQL65534:BQL65563 BQL131070:BQL131099 BQL196606:BQL196635 BQL262142:BQL262171 BQL327678:BQL327707 BQL393214:BQL393243 BQL458750:BQL458779 BQL524286:BQL524315 BQL589822:BQL589851 BQL655358:BQL655387 BQL720894:BQL720923 BQL786430:BQL786459 BQL851966:BQL851995 BQL917502:BQL917531 BQL983038:BQL983067 CAH9:CAH27 CAH65534:CAH65563 CAH131070:CAH131099 CAH196606:CAH196635 CAH262142:CAH262171 CAH327678:CAH327707 CAH393214:CAH393243 CAH458750:CAH458779 CAH524286:CAH524315 CAH589822:CAH589851 CAH655358:CAH655387 CAH720894:CAH720923 CAH786430:CAH786459 CAH851966:CAH851995 CAH917502:CAH917531 CAH983038:CAH983067 CKD9:CKD27 CKD65534:CKD65563 CKD131070:CKD131099 CKD196606:CKD196635 CKD262142:CKD262171 CKD327678:CKD327707 CKD393214:CKD393243 CKD458750:CKD458779 CKD524286:CKD524315 CKD589822:CKD589851 CKD655358:CKD655387 CKD720894:CKD720923 CKD786430:CKD786459 CKD851966:CKD851995 CKD917502:CKD917531 CKD983038:CKD983067 CTZ9:CTZ27 CTZ65534:CTZ65563 CTZ131070:CTZ131099 CTZ196606:CTZ196635 CTZ262142:CTZ262171 CTZ327678:CTZ327707 CTZ393214:CTZ393243 CTZ458750:CTZ458779 CTZ524286:CTZ524315 CTZ589822:CTZ589851 CTZ655358:CTZ655387 CTZ720894:CTZ720923 CTZ786430:CTZ786459 CTZ851966:CTZ851995 CTZ917502:CTZ917531 CTZ983038:CTZ983067 DDV9:DDV27 DDV65534:DDV65563 DDV131070:DDV131099 DDV196606:DDV196635 DDV262142:DDV262171 DDV327678:DDV327707 DDV393214:DDV393243 DDV458750:DDV458779 DDV524286:DDV524315 DDV589822:DDV589851 DDV655358:DDV655387 DDV720894:DDV720923 DDV786430:DDV786459 DDV851966:DDV851995 DDV917502:DDV917531 DDV983038:DDV983067 DNR9:DNR27 DNR65534:DNR65563 DNR131070:DNR131099 DNR196606:DNR196635 DNR262142:DNR262171 DNR327678:DNR327707 DNR393214:DNR393243 DNR458750:DNR458779 DNR524286:DNR524315 DNR589822:DNR589851 DNR655358:DNR655387 DNR720894:DNR720923 DNR786430:DNR786459 DNR851966:DNR851995 DNR917502:DNR917531 DNR983038:DNR983067 DXN9:DXN27 DXN65534:DXN65563 DXN131070:DXN131099 DXN196606:DXN196635 DXN262142:DXN262171 DXN327678:DXN327707 DXN393214:DXN393243 DXN458750:DXN458779 DXN524286:DXN524315 DXN589822:DXN589851 DXN655358:DXN655387 DXN720894:DXN720923 DXN786430:DXN786459 DXN851966:DXN851995 DXN917502:DXN917531 DXN983038:DXN983067 EHJ9:EHJ27 EHJ65534:EHJ65563 EHJ131070:EHJ131099 EHJ196606:EHJ196635 EHJ262142:EHJ262171 EHJ327678:EHJ327707 EHJ393214:EHJ393243 EHJ458750:EHJ458779 EHJ524286:EHJ524315 EHJ589822:EHJ589851 EHJ655358:EHJ655387 EHJ720894:EHJ720923 EHJ786430:EHJ786459 EHJ851966:EHJ851995 EHJ917502:EHJ917531 EHJ983038:EHJ983067 ERF9:ERF27 ERF65534:ERF65563 ERF131070:ERF131099 ERF196606:ERF196635 ERF262142:ERF262171 ERF327678:ERF327707 ERF393214:ERF393243 ERF458750:ERF458779 ERF524286:ERF524315 ERF589822:ERF589851 ERF655358:ERF655387 ERF720894:ERF720923 ERF786430:ERF786459 ERF851966:ERF851995 ERF917502:ERF917531 ERF983038:ERF983067 FBB9:FBB27 FBB65534:FBB65563 FBB131070:FBB131099 FBB196606:FBB196635 FBB262142:FBB262171 FBB327678:FBB327707 FBB393214:FBB393243 FBB458750:FBB458779 FBB524286:FBB524315 FBB589822:FBB589851 FBB655358:FBB655387 FBB720894:FBB720923 FBB786430:FBB786459 FBB851966:FBB851995 FBB917502:FBB917531 FBB983038:FBB983067 FKX9:FKX27 FKX65534:FKX65563 FKX131070:FKX131099 FKX196606:FKX196635 FKX262142:FKX262171 FKX327678:FKX327707 FKX393214:FKX393243 FKX458750:FKX458779 FKX524286:FKX524315 FKX589822:FKX589851 FKX655358:FKX655387 FKX720894:FKX720923 FKX786430:FKX786459 FKX851966:FKX851995 FKX917502:FKX917531 FKX983038:FKX983067 FUT9:FUT27 FUT65534:FUT65563 FUT131070:FUT131099 FUT196606:FUT196635 FUT262142:FUT262171 FUT327678:FUT327707 FUT393214:FUT393243 FUT458750:FUT458779 FUT524286:FUT524315 FUT589822:FUT589851 FUT655358:FUT655387 FUT720894:FUT720923 FUT786430:FUT786459 FUT851966:FUT851995 FUT917502:FUT917531 FUT983038:FUT983067 GEP9:GEP27 GEP65534:GEP65563 GEP131070:GEP131099 GEP196606:GEP196635 GEP262142:GEP262171 GEP327678:GEP327707 GEP393214:GEP393243 GEP458750:GEP458779 GEP524286:GEP524315 GEP589822:GEP589851 GEP655358:GEP655387 GEP720894:GEP720923 GEP786430:GEP786459 GEP851966:GEP851995 GEP917502:GEP917531 GEP983038:GEP983067 GOL9:GOL27 GOL65534:GOL65563 GOL131070:GOL131099 GOL196606:GOL196635 GOL262142:GOL262171 GOL327678:GOL327707 GOL393214:GOL393243 GOL458750:GOL458779 GOL524286:GOL524315 GOL589822:GOL589851 GOL655358:GOL655387 GOL720894:GOL720923 GOL786430:GOL786459 GOL851966:GOL851995 GOL917502:GOL917531 GOL983038:GOL983067 GYH9:GYH27 GYH65534:GYH65563 GYH131070:GYH131099 GYH196606:GYH196635 GYH262142:GYH262171 GYH327678:GYH327707 GYH393214:GYH393243 GYH458750:GYH458779 GYH524286:GYH524315 GYH589822:GYH589851 GYH655358:GYH655387 GYH720894:GYH720923 GYH786430:GYH786459 GYH851966:GYH851995 GYH917502:GYH917531 GYH983038:GYH983067 HID9:HID27 HID65534:HID65563 HID131070:HID131099 HID196606:HID196635 HID262142:HID262171 HID327678:HID327707 HID393214:HID393243 HID458750:HID458779 HID524286:HID524315 HID589822:HID589851 HID655358:HID655387 HID720894:HID720923 HID786430:HID786459 HID851966:HID851995 HID917502:HID917531 HID983038:HID983067 HRZ9:HRZ27 HRZ65534:HRZ65563 HRZ131070:HRZ131099 HRZ196606:HRZ196635 HRZ262142:HRZ262171 HRZ327678:HRZ327707 HRZ393214:HRZ393243 HRZ458750:HRZ458779 HRZ524286:HRZ524315 HRZ589822:HRZ589851 HRZ655358:HRZ655387 HRZ720894:HRZ720923 HRZ786430:HRZ786459 HRZ851966:HRZ851995 HRZ917502:HRZ917531 HRZ983038:HRZ983067 IBV9:IBV27 IBV65534:IBV65563 IBV131070:IBV131099 IBV196606:IBV196635 IBV262142:IBV262171 IBV327678:IBV327707 IBV393214:IBV393243 IBV458750:IBV458779 IBV524286:IBV524315 IBV589822:IBV589851 IBV655358:IBV655387 IBV720894:IBV720923 IBV786430:IBV786459 IBV851966:IBV851995 IBV917502:IBV917531 IBV983038:IBV983067 ILR9:ILR27 ILR65534:ILR65563 ILR131070:ILR131099 ILR196606:ILR196635 ILR262142:ILR262171 ILR327678:ILR327707 ILR393214:ILR393243 ILR458750:ILR458779 ILR524286:ILR524315 ILR589822:ILR589851 ILR655358:ILR655387 ILR720894:ILR720923 ILR786430:ILR786459 ILR851966:ILR851995 ILR917502:ILR917531 ILR983038:ILR983067 IVN9:IVN27 IVN65534:IVN65563 IVN131070:IVN131099 IVN196606:IVN196635 IVN262142:IVN262171 IVN327678:IVN327707 IVN393214:IVN393243 IVN458750:IVN458779 IVN524286:IVN524315 IVN589822:IVN589851 IVN655358:IVN655387 IVN720894:IVN720923 IVN786430:IVN786459 IVN851966:IVN851995 IVN917502:IVN917531 IVN983038:IVN983067 JFJ9:JFJ27 JFJ65534:JFJ65563 JFJ131070:JFJ131099 JFJ196606:JFJ196635 JFJ262142:JFJ262171 JFJ327678:JFJ327707 JFJ393214:JFJ393243 JFJ458750:JFJ458779 JFJ524286:JFJ524315 JFJ589822:JFJ589851 JFJ655358:JFJ655387 JFJ720894:JFJ720923 JFJ786430:JFJ786459 JFJ851966:JFJ851995 JFJ917502:JFJ917531 JFJ983038:JFJ983067 JPF9:JPF27 JPF65534:JPF65563 JPF131070:JPF131099 JPF196606:JPF196635 JPF262142:JPF262171 JPF327678:JPF327707 JPF393214:JPF393243 JPF458750:JPF458779 JPF524286:JPF524315 JPF589822:JPF589851 JPF655358:JPF655387 JPF720894:JPF720923 JPF786430:JPF786459 JPF851966:JPF851995 JPF917502:JPF917531 JPF983038:JPF983067 JZB9:JZB27 JZB65534:JZB65563 JZB131070:JZB131099 JZB196606:JZB196635 JZB262142:JZB262171 JZB327678:JZB327707 JZB393214:JZB393243 JZB458750:JZB458779 JZB524286:JZB524315 JZB589822:JZB589851 JZB655358:JZB655387 JZB720894:JZB720923 JZB786430:JZB786459 JZB851966:JZB851995 JZB917502:JZB917531 JZB983038:JZB983067 KIX9:KIX27 KIX65534:KIX65563 KIX131070:KIX131099 KIX196606:KIX196635 KIX262142:KIX262171 KIX327678:KIX327707 KIX393214:KIX393243 KIX458750:KIX458779 KIX524286:KIX524315 KIX589822:KIX589851 KIX655358:KIX655387 KIX720894:KIX720923 KIX786430:KIX786459 KIX851966:KIX851995 KIX917502:KIX917531 KIX983038:KIX983067 KST9:KST27 KST65534:KST65563 KST131070:KST131099 KST196606:KST196635 KST262142:KST262171 KST327678:KST327707 KST393214:KST393243 KST458750:KST458779 KST524286:KST524315 KST589822:KST589851 KST655358:KST655387 KST720894:KST720923 KST786430:KST786459 KST851966:KST851995 KST917502:KST917531 KST983038:KST983067 LCP9:LCP27 LCP65534:LCP65563 LCP131070:LCP131099 LCP196606:LCP196635 LCP262142:LCP262171 LCP327678:LCP327707 LCP393214:LCP393243 LCP458750:LCP458779 LCP524286:LCP524315 LCP589822:LCP589851 LCP655358:LCP655387 LCP720894:LCP720923 LCP786430:LCP786459 LCP851966:LCP851995 LCP917502:LCP917531 LCP983038:LCP983067 LML9:LML27 LML65534:LML65563 LML131070:LML131099 LML196606:LML196635 LML262142:LML262171 LML327678:LML327707 LML393214:LML393243 LML458750:LML458779 LML524286:LML524315 LML589822:LML589851 LML655358:LML655387 LML720894:LML720923 LML786430:LML786459 LML851966:LML851995 LML917502:LML917531 LML983038:LML983067 LWH9:LWH27 LWH65534:LWH65563 LWH131070:LWH131099 LWH196606:LWH196635 LWH262142:LWH262171 LWH327678:LWH327707 LWH393214:LWH393243 LWH458750:LWH458779 LWH524286:LWH524315 LWH589822:LWH589851 LWH655358:LWH655387 LWH720894:LWH720923 LWH786430:LWH786459 LWH851966:LWH851995 LWH917502:LWH917531 LWH983038:LWH983067 MGD9:MGD27 MGD65534:MGD65563 MGD131070:MGD131099 MGD196606:MGD196635 MGD262142:MGD262171 MGD327678:MGD327707 MGD393214:MGD393243 MGD458750:MGD458779 MGD524286:MGD524315 MGD589822:MGD589851 MGD655358:MGD655387 MGD720894:MGD720923 MGD786430:MGD786459 MGD851966:MGD851995 MGD917502:MGD917531 MGD983038:MGD983067 MPZ9:MPZ27 MPZ65534:MPZ65563 MPZ131070:MPZ131099 MPZ196606:MPZ196635 MPZ262142:MPZ262171 MPZ327678:MPZ327707 MPZ393214:MPZ393243 MPZ458750:MPZ458779 MPZ524286:MPZ524315 MPZ589822:MPZ589851 MPZ655358:MPZ655387 MPZ720894:MPZ720923 MPZ786430:MPZ786459 MPZ851966:MPZ851995 MPZ917502:MPZ917531 MPZ983038:MPZ983067 MZV9:MZV27 MZV65534:MZV65563 MZV131070:MZV131099 MZV196606:MZV196635 MZV262142:MZV262171 MZV327678:MZV327707 MZV393214:MZV393243 MZV458750:MZV458779 MZV524286:MZV524315 MZV589822:MZV589851 MZV655358:MZV655387 MZV720894:MZV720923 MZV786430:MZV786459 MZV851966:MZV851995 MZV917502:MZV917531 MZV983038:MZV983067 NJR9:NJR27 NJR65534:NJR65563 NJR131070:NJR131099 NJR196606:NJR196635 NJR262142:NJR262171 NJR327678:NJR327707 NJR393214:NJR393243 NJR458750:NJR458779 NJR524286:NJR524315 NJR589822:NJR589851 NJR655358:NJR655387 NJR720894:NJR720923 NJR786430:NJR786459 NJR851966:NJR851995 NJR917502:NJR917531 NJR983038:NJR983067 NTN9:NTN27 NTN65534:NTN65563 NTN131070:NTN131099 NTN196606:NTN196635 NTN262142:NTN262171 NTN327678:NTN327707 NTN393214:NTN393243 NTN458750:NTN458779 NTN524286:NTN524315 NTN589822:NTN589851 NTN655358:NTN655387 NTN720894:NTN720923 NTN786430:NTN786459 NTN851966:NTN851995 NTN917502:NTN917531 NTN983038:NTN983067 ODJ9:ODJ27 ODJ65534:ODJ65563 ODJ131070:ODJ131099 ODJ196606:ODJ196635 ODJ262142:ODJ262171 ODJ327678:ODJ327707 ODJ393214:ODJ393243 ODJ458750:ODJ458779 ODJ524286:ODJ524315 ODJ589822:ODJ589851 ODJ655358:ODJ655387 ODJ720894:ODJ720923 ODJ786430:ODJ786459 ODJ851966:ODJ851995 ODJ917502:ODJ917531 ODJ983038:ODJ983067 ONF9:ONF27 ONF65534:ONF65563 ONF131070:ONF131099 ONF196606:ONF196635 ONF262142:ONF262171 ONF327678:ONF327707 ONF393214:ONF393243 ONF458750:ONF458779 ONF524286:ONF524315 ONF589822:ONF589851 ONF655358:ONF655387 ONF720894:ONF720923 ONF786430:ONF786459 ONF851966:ONF851995 ONF917502:ONF917531 ONF983038:ONF983067 OXB9:OXB27 OXB65534:OXB65563 OXB131070:OXB131099 OXB196606:OXB196635 OXB262142:OXB262171 OXB327678:OXB327707 OXB393214:OXB393243 OXB458750:OXB458779 OXB524286:OXB524315 OXB589822:OXB589851 OXB655358:OXB655387 OXB720894:OXB720923 OXB786430:OXB786459 OXB851966:OXB851995 OXB917502:OXB917531 OXB983038:OXB983067 PGX9:PGX27 PGX65534:PGX65563 PGX131070:PGX131099 PGX196606:PGX196635 PGX262142:PGX262171 PGX327678:PGX327707 PGX393214:PGX393243 PGX458750:PGX458779 PGX524286:PGX524315 PGX589822:PGX589851 PGX655358:PGX655387 PGX720894:PGX720923 PGX786430:PGX786459 PGX851966:PGX851995 PGX917502:PGX917531 PGX983038:PGX983067 PQT9:PQT27 PQT65534:PQT65563 PQT131070:PQT131099 PQT196606:PQT196635 PQT262142:PQT262171 PQT327678:PQT327707 PQT393214:PQT393243 PQT458750:PQT458779 PQT524286:PQT524315 PQT589822:PQT589851 PQT655358:PQT655387 PQT720894:PQT720923 PQT786430:PQT786459 PQT851966:PQT851995 PQT917502:PQT917531 PQT983038:PQT983067 QAP9:QAP27 QAP65534:QAP65563 QAP131070:QAP131099 QAP196606:QAP196635 QAP262142:QAP262171 QAP327678:QAP327707 QAP393214:QAP393243 QAP458750:QAP458779 QAP524286:QAP524315 QAP589822:QAP589851 QAP655358:QAP655387 QAP720894:QAP720923 QAP786430:QAP786459 QAP851966:QAP851995 QAP917502:QAP917531 QAP983038:QAP983067 QKL9:QKL27 QKL65534:QKL65563 QKL131070:QKL131099 QKL196606:QKL196635 QKL262142:QKL262171 QKL327678:QKL327707 QKL393214:QKL393243 QKL458750:QKL458779 QKL524286:QKL524315 QKL589822:QKL589851 QKL655358:QKL655387 QKL720894:QKL720923 QKL786430:QKL786459 QKL851966:QKL851995 QKL917502:QKL917531 QKL983038:QKL983067 QUH9:QUH27 QUH65534:QUH65563 QUH131070:QUH131099 QUH196606:QUH196635 QUH262142:QUH262171 QUH327678:QUH327707 QUH393214:QUH393243 QUH458750:QUH458779 QUH524286:QUH524315 QUH589822:QUH589851 QUH655358:QUH655387 QUH720894:QUH720923 QUH786430:QUH786459 QUH851966:QUH851995 QUH917502:QUH917531 QUH983038:QUH983067 RED9:RED27 RED65534:RED65563 RED131070:RED131099 RED196606:RED196635 RED262142:RED262171 RED327678:RED327707 RED393214:RED393243 RED458750:RED458779 RED524286:RED524315 RED589822:RED589851 RED655358:RED655387 RED720894:RED720923 RED786430:RED786459 RED851966:RED851995 RED917502:RED917531 RED983038:RED983067 RNZ9:RNZ27 RNZ65534:RNZ65563 RNZ131070:RNZ131099 RNZ196606:RNZ196635 RNZ262142:RNZ262171 RNZ327678:RNZ327707 RNZ393214:RNZ393243 RNZ458750:RNZ458779 RNZ524286:RNZ524315 RNZ589822:RNZ589851 RNZ655358:RNZ655387 RNZ720894:RNZ720923 RNZ786430:RNZ786459 RNZ851966:RNZ851995 RNZ917502:RNZ917531 RNZ983038:RNZ983067 RXV9:RXV27 RXV65534:RXV65563 RXV131070:RXV131099 RXV196606:RXV196635 RXV262142:RXV262171 RXV327678:RXV327707 RXV393214:RXV393243 RXV458750:RXV458779 RXV524286:RXV524315 RXV589822:RXV589851 RXV655358:RXV655387 RXV720894:RXV720923 RXV786430:RXV786459 RXV851966:RXV851995 RXV917502:RXV917531 RXV983038:RXV983067 SHR9:SHR27 SHR65534:SHR65563 SHR131070:SHR131099 SHR196606:SHR196635 SHR262142:SHR262171 SHR327678:SHR327707 SHR393214:SHR393243 SHR458750:SHR458779 SHR524286:SHR524315 SHR589822:SHR589851 SHR655358:SHR655387 SHR720894:SHR720923 SHR786430:SHR786459 SHR851966:SHR851995 SHR917502:SHR917531 SHR983038:SHR983067 SRN9:SRN27 SRN65534:SRN65563 SRN131070:SRN131099 SRN196606:SRN196635 SRN262142:SRN262171 SRN327678:SRN327707 SRN393214:SRN393243 SRN458750:SRN458779 SRN524286:SRN524315 SRN589822:SRN589851 SRN655358:SRN655387 SRN720894:SRN720923 SRN786430:SRN786459 SRN851966:SRN851995 SRN917502:SRN917531 SRN983038:SRN983067 TBJ9:TBJ27 TBJ65534:TBJ65563 TBJ131070:TBJ131099 TBJ196606:TBJ196635 TBJ262142:TBJ262171 TBJ327678:TBJ327707 TBJ393214:TBJ393243 TBJ458750:TBJ458779 TBJ524286:TBJ524315 TBJ589822:TBJ589851 TBJ655358:TBJ655387 TBJ720894:TBJ720923 TBJ786430:TBJ786459 TBJ851966:TBJ851995 TBJ917502:TBJ917531 TBJ983038:TBJ983067 TLF9:TLF27 TLF65534:TLF65563 TLF131070:TLF131099 TLF196606:TLF196635 TLF262142:TLF262171 TLF327678:TLF327707 TLF393214:TLF393243 TLF458750:TLF458779 TLF524286:TLF524315 TLF589822:TLF589851 TLF655358:TLF655387 TLF720894:TLF720923 TLF786430:TLF786459 TLF851966:TLF851995 TLF917502:TLF917531 TLF983038:TLF983067 TVB9:TVB27 TVB65534:TVB65563 TVB131070:TVB131099 TVB196606:TVB196635 TVB262142:TVB262171 TVB327678:TVB327707 TVB393214:TVB393243 TVB458750:TVB458779 TVB524286:TVB524315 TVB589822:TVB589851 TVB655358:TVB655387 TVB720894:TVB720923 TVB786430:TVB786459 TVB851966:TVB851995 TVB917502:TVB917531 TVB983038:TVB983067 UEX9:UEX27 UEX65534:UEX65563 UEX131070:UEX131099 UEX196606:UEX196635 UEX262142:UEX262171 UEX327678:UEX327707 UEX393214:UEX393243 UEX458750:UEX458779 UEX524286:UEX524315 UEX589822:UEX589851 UEX655358:UEX655387 UEX720894:UEX720923 UEX786430:UEX786459 UEX851966:UEX851995 UEX917502:UEX917531 UEX983038:UEX983067 UOT9:UOT27 UOT65534:UOT65563 UOT131070:UOT131099 UOT196606:UOT196635 UOT262142:UOT262171 UOT327678:UOT327707 UOT393214:UOT393243 UOT458750:UOT458779 UOT524286:UOT524315 UOT589822:UOT589851 UOT655358:UOT655387 UOT720894:UOT720923 UOT786430:UOT786459 UOT851966:UOT851995 UOT917502:UOT917531 UOT983038:UOT983067 UYP9:UYP27 UYP65534:UYP65563 UYP131070:UYP131099 UYP196606:UYP196635 UYP262142:UYP262171 UYP327678:UYP327707 UYP393214:UYP393243 UYP458750:UYP458779 UYP524286:UYP524315 UYP589822:UYP589851 UYP655358:UYP655387 UYP720894:UYP720923 UYP786430:UYP786459 UYP851966:UYP851995 UYP917502:UYP917531 UYP983038:UYP983067 VIL9:VIL27 VIL65534:VIL65563 VIL131070:VIL131099 VIL196606:VIL196635 VIL262142:VIL262171 VIL327678:VIL327707 VIL393214:VIL393243 VIL458750:VIL458779 VIL524286:VIL524315 VIL589822:VIL589851 VIL655358:VIL655387 VIL720894:VIL720923 VIL786430:VIL786459 VIL851966:VIL851995 VIL917502:VIL917531 VIL983038:VIL983067 VSH9:VSH27 VSH65534:VSH65563 VSH131070:VSH131099 VSH196606:VSH196635 VSH262142:VSH262171 VSH327678:VSH327707 VSH393214:VSH393243 VSH458750:VSH458779 VSH524286:VSH524315 VSH589822:VSH589851 VSH655358:VSH655387 VSH720894:VSH720923 VSH786430:VSH786459 VSH851966:VSH851995 VSH917502:VSH917531 VSH983038:VSH983067 WCD9:WCD27 WCD65534:WCD65563 WCD131070:WCD131099 WCD196606:WCD196635 WCD262142:WCD262171 WCD327678:WCD327707 WCD393214:WCD393243 WCD458750:WCD458779 WCD524286:WCD524315 WCD589822:WCD589851 WCD655358:WCD655387 WCD720894:WCD720923 WCD786430:WCD786459 WCD851966:WCD851995 WCD917502:WCD917531 WCD983038:WCD983067 WLZ9:WLZ27 WLZ65534:WLZ65563 WLZ131070:WLZ131099 WLZ196606:WLZ196635 WLZ262142:WLZ262171 WLZ327678:WLZ327707 WLZ393214:WLZ393243 WLZ458750:WLZ458779 WLZ524286:WLZ524315 WLZ589822:WLZ589851 WLZ655358:WLZ655387 WLZ720894:WLZ720923 WLZ786430:WLZ786459 WLZ851966:WLZ851995 WLZ917502:WLZ917531 WLZ983038:WLZ983067 WVV9:WVV27 WVV65534:WVV65563 WVV131070:WVV131099 WVV196606:WVV196635 WVV262142:WVV262171 WVV327678:WVV327707 WVV393214:WVV393243 WVV458750:WVV458779 WVV524286:WVV524315 WVV589822:WVV589851 WVV655358:WVV655387 WVV720894:WVV720923 WVV786430:WVV786459 WVV851966:WVV851995 WVV917502:WVV917531 WVV983038:WVV983067" xr:uid="{00000000-0002-0000-0100-000000000000}">
      <formula1>"open, iP, com"</formula1>
    </dataValidation>
    <dataValidation type="list" allowBlank="1" showInputMessage="1" showErrorMessage="1" sqref="H9:I27 H65534:I65563 H131070:I131099 H196606:I196635 H262142:I262171 H327678:I327707 H393214:I393243 H458750:I458779 H524286:I524315 H589822:I589851 H655358:I655387 H720894:I720923 H786430:I786459 H851966:I851995 H917502:I917531 H983038:I983067 JD9:JE27 JD65534:JE65563 JD131070:JE131099 JD196606:JE196635 JD262142:JE262171 JD327678:JE327707 JD393214:JE393243 JD458750:JE458779 JD524286:JE524315 JD589822:JE589851 JD655358:JE655387 JD720894:JE720923 JD786430:JE786459 JD851966:JE851995 JD917502:JE917531 JD983038:JE983067 SZ9:TA27 SZ65534:TA65563 SZ131070:TA131099 SZ196606:TA196635 SZ262142:TA262171 SZ327678:TA327707 SZ393214:TA393243 SZ458750:TA458779 SZ524286:TA524315 SZ589822:TA589851 SZ655358:TA655387 SZ720894:TA720923 SZ786430:TA786459 SZ851966:TA851995 SZ917502:TA917531 SZ983038:TA983067 ACV9:ACW27 ACV65534:ACW65563 ACV131070:ACW131099 ACV196606:ACW196635 ACV262142:ACW262171 ACV327678:ACW327707 ACV393214:ACW393243 ACV458750:ACW458779 ACV524286:ACW524315 ACV589822:ACW589851 ACV655358:ACW655387 ACV720894:ACW720923 ACV786430:ACW786459 ACV851966:ACW851995 ACV917502:ACW917531 ACV983038:ACW983067 AMR9:AMS27 AMR65534:AMS65563 AMR131070:AMS131099 AMR196606:AMS196635 AMR262142:AMS262171 AMR327678:AMS327707 AMR393214:AMS393243 AMR458750:AMS458779 AMR524286:AMS524315 AMR589822:AMS589851 AMR655358:AMS655387 AMR720894:AMS720923 AMR786430:AMS786459 AMR851966:AMS851995 AMR917502:AMS917531 AMR983038:AMS983067 AWN9:AWO27 AWN65534:AWO65563 AWN131070:AWO131099 AWN196606:AWO196635 AWN262142:AWO262171 AWN327678:AWO327707 AWN393214:AWO393243 AWN458750:AWO458779 AWN524286:AWO524315 AWN589822:AWO589851 AWN655358:AWO655387 AWN720894:AWO720923 AWN786430:AWO786459 AWN851966:AWO851995 AWN917502:AWO917531 AWN983038:AWO983067 BGJ9:BGK27 BGJ65534:BGK65563 BGJ131070:BGK131099 BGJ196606:BGK196635 BGJ262142:BGK262171 BGJ327678:BGK327707 BGJ393214:BGK393243 BGJ458750:BGK458779 BGJ524286:BGK524315 BGJ589822:BGK589851 BGJ655358:BGK655387 BGJ720894:BGK720923 BGJ786430:BGK786459 BGJ851966:BGK851995 BGJ917502:BGK917531 BGJ983038:BGK983067 BQF9:BQG27 BQF65534:BQG65563 BQF131070:BQG131099 BQF196606:BQG196635 BQF262142:BQG262171 BQF327678:BQG327707 BQF393214:BQG393243 BQF458750:BQG458779 BQF524286:BQG524315 BQF589822:BQG589851 BQF655358:BQG655387 BQF720894:BQG720923 BQF786430:BQG786459 BQF851966:BQG851995 BQF917502:BQG917531 BQF983038:BQG983067 CAB9:CAC27 CAB65534:CAC65563 CAB131070:CAC131099 CAB196606:CAC196635 CAB262142:CAC262171 CAB327678:CAC327707 CAB393214:CAC393243 CAB458750:CAC458779 CAB524286:CAC524315 CAB589822:CAC589851 CAB655358:CAC655387 CAB720894:CAC720923 CAB786430:CAC786459 CAB851966:CAC851995 CAB917502:CAC917531 CAB983038:CAC983067 CJX9:CJY27 CJX65534:CJY65563 CJX131070:CJY131099 CJX196606:CJY196635 CJX262142:CJY262171 CJX327678:CJY327707 CJX393214:CJY393243 CJX458750:CJY458779 CJX524286:CJY524315 CJX589822:CJY589851 CJX655358:CJY655387 CJX720894:CJY720923 CJX786430:CJY786459 CJX851966:CJY851995 CJX917502:CJY917531 CJX983038:CJY983067 CTT9:CTU27 CTT65534:CTU65563 CTT131070:CTU131099 CTT196606:CTU196635 CTT262142:CTU262171 CTT327678:CTU327707 CTT393214:CTU393243 CTT458750:CTU458779 CTT524286:CTU524315 CTT589822:CTU589851 CTT655358:CTU655387 CTT720894:CTU720923 CTT786430:CTU786459 CTT851966:CTU851995 CTT917502:CTU917531 CTT983038:CTU983067 DDP9:DDQ27 DDP65534:DDQ65563 DDP131070:DDQ131099 DDP196606:DDQ196635 DDP262142:DDQ262171 DDP327678:DDQ327707 DDP393214:DDQ393243 DDP458750:DDQ458779 DDP524286:DDQ524315 DDP589822:DDQ589851 DDP655358:DDQ655387 DDP720894:DDQ720923 DDP786430:DDQ786459 DDP851966:DDQ851995 DDP917502:DDQ917531 DDP983038:DDQ983067 DNL9:DNM27 DNL65534:DNM65563 DNL131070:DNM131099 DNL196606:DNM196635 DNL262142:DNM262171 DNL327678:DNM327707 DNL393214:DNM393243 DNL458750:DNM458779 DNL524286:DNM524315 DNL589822:DNM589851 DNL655358:DNM655387 DNL720894:DNM720923 DNL786430:DNM786459 DNL851966:DNM851995 DNL917502:DNM917531 DNL983038:DNM983067 DXH9:DXI27 DXH65534:DXI65563 DXH131070:DXI131099 DXH196606:DXI196635 DXH262142:DXI262171 DXH327678:DXI327707 DXH393214:DXI393243 DXH458750:DXI458779 DXH524286:DXI524315 DXH589822:DXI589851 DXH655358:DXI655387 DXH720894:DXI720923 DXH786430:DXI786459 DXH851966:DXI851995 DXH917502:DXI917531 DXH983038:DXI983067 EHD9:EHE27 EHD65534:EHE65563 EHD131070:EHE131099 EHD196606:EHE196635 EHD262142:EHE262171 EHD327678:EHE327707 EHD393214:EHE393243 EHD458750:EHE458779 EHD524286:EHE524315 EHD589822:EHE589851 EHD655358:EHE655387 EHD720894:EHE720923 EHD786430:EHE786459 EHD851966:EHE851995 EHD917502:EHE917531 EHD983038:EHE983067 EQZ9:ERA27 EQZ65534:ERA65563 EQZ131070:ERA131099 EQZ196606:ERA196635 EQZ262142:ERA262171 EQZ327678:ERA327707 EQZ393214:ERA393243 EQZ458750:ERA458779 EQZ524286:ERA524315 EQZ589822:ERA589851 EQZ655358:ERA655387 EQZ720894:ERA720923 EQZ786430:ERA786459 EQZ851966:ERA851995 EQZ917502:ERA917531 EQZ983038:ERA983067 FAV9:FAW27 FAV65534:FAW65563 FAV131070:FAW131099 FAV196606:FAW196635 FAV262142:FAW262171 FAV327678:FAW327707 FAV393214:FAW393243 FAV458750:FAW458779 FAV524286:FAW524315 FAV589822:FAW589851 FAV655358:FAW655387 FAV720894:FAW720923 FAV786430:FAW786459 FAV851966:FAW851995 FAV917502:FAW917531 FAV983038:FAW983067 FKR9:FKS27 FKR65534:FKS65563 FKR131070:FKS131099 FKR196606:FKS196635 FKR262142:FKS262171 FKR327678:FKS327707 FKR393214:FKS393243 FKR458750:FKS458779 FKR524286:FKS524315 FKR589822:FKS589851 FKR655358:FKS655387 FKR720894:FKS720923 FKR786430:FKS786459 FKR851966:FKS851995 FKR917502:FKS917531 FKR983038:FKS983067 FUN9:FUO27 FUN65534:FUO65563 FUN131070:FUO131099 FUN196606:FUO196635 FUN262142:FUO262171 FUN327678:FUO327707 FUN393214:FUO393243 FUN458750:FUO458779 FUN524286:FUO524315 FUN589822:FUO589851 FUN655358:FUO655387 FUN720894:FUO720923 FUN786430:FUO786459 FUN851966:FUO851995 FUN917502:FUO917531 FUN983038:FUO983067 GEJ9:GEK27 GEJ65534:GEK65563 GEJ131070:GEK131099 GEJ196606:GEK196635 GEJ262142:GEK262171 GEJ327678:GEK327707 GEJ393214:GEK393243 GEJ458750:GEK458779 GEJ524286:GEK524315 GEJ589822:GEK589851 GEJ655358:GEK655387 GEJ720894:GEK720923 GEJ786430:GEK786459 GEJ851966:GEK851995 GEJ917502:GEK917531 GEJ983038:GEK983067 GOF9:GOG27 GOF65534:GOG65563 GOF131070:GOG131099 GOF196606:GOG196635 GOF262142:GOG262171 GOF327678:GOG327707 GOF393214:GOG393243 GOF458750:GOG458779 GOF524286:GOG524315 GOF589822:GOG589851 GOF655358:GOG655387 GOF720894:GOG720923 GOF786430:GOG786459 GOF851966:GOG851995 GOF917502:GOG917531 GOF983038:GOG983067 GYB9:GYC27 GYB65534:GYC65563 GYB131070:GYC131099 GYB196606:GYC196635 GYB262142:GYC262171 GYB327678:GYC327707 GYB393214:GYC393243 GYB458750:GYC458779 GYB524286:GYC524315 GYB589822:GYC589851 GYB655358:GYC655387 GYB720894:GYC720923 GYB786430:GYC786459 GYB851966:GYC851995 GYB917502:GYC917531 GYB983038:GYC983067 HHX9:HHY27 HHX65534:HHY65563 HHX131070:HHY131099 HHX196606:HHY196635 HHX262142:HHY262171 HHX327678:HHY327707 HHX393214:HHY393243 HHX458750:HHY458779 HHX524286:HHY524315 HHX589822:HHY589851 HHX655358:HHY655387 HHX720894:HHY720923 HHX786430:HHY786459 HHX851966:HHY851995 HHX917502:HHY917531 HHX983038:HHY983067 HRT9:HRU27 HRT65534:HRU65563 HRT131070:HRU131099 HRT196606:HRU196635 HRT262142:HRU262171 HRT327678:HRU327707 HRT393214:HRU393243 HRT458750:HRU458779 HRT524286:HRU524315 HRT589822:HRU589851 HRT655358:HRU655387 HRT720894:HRU720923 HRT786430:HRU786459 HRT851966:HRU851995 HRT917502:HRU917531 HRT983038:HRU983067 IBP9:IBQ27 IBP65534:IBQ65563 IBP131070:IBQ131099 IBP196606:IBQ196635 IBP262142:IBQ262171 IBP327678:IBQ327707 IBP393214:IBQ393243 IBP458750:IBQ458779 IBP524286:IBQ524315 IBP589822:IBQ589851 IBP655358:IBQ655387 IBP720894:IBQ720923 IBP786430:IBQ786459 IBP851966:IBQ851995 IBP917502:IBQ917531 IBP983038:IBQ983067 ILL9:ILM27 ILL65534:ILM65563 ILL131070:ILM131099 ILL196606:ILM196635 ILL262142:ILM262171 ILL327678:ILM327707 ILL393214:ILM393243 ILL458750:ILM458779 ILL524286:ILM524315 ILL589822:ILM589851 ILL655358:ILM655387 ILL720894:ILM720923 ILL786430:ILM786459 ILL851966:ILM851995 ILL917502:ILM917531 ILL983038:ILM983067 IVH9:IVI27 IVH65534:IVI65563 IVH131070:IVI131099 IVH196606:IVI196635 IVH262142:IVI262171 IVH327678:IVI327707 IVH393214:IVI393243 IVH458750:IVI458779 IVH524286:IVI524315 IVH589822:IVI589851 IVH655358:IVI655387 IVH720894:IVI720923 IVH786430:IVI786459 IVH851966:IVI851995 IVH917502:IVI917531 IVH983038:IVI983067 JFD9:JFE27 JFD65534:JFE65563 JFD131070:JFE131099 JFD196606:JFE196635 JFD262142:JFE262171 JFD327678:JFE327707 JFD393214:JFE393243 JFD458750:JFE458779 JFD524286:JFE524315 JFD589822:JFE589851 JFD655358:JFE655387 JFD720894:JFE720923 JFD786430:JFE786459 JFD851966:JFE851995 JFD917502:JFE917531 JFD983038:JFE983067 JOZ9:JPA27 JOZ65534:JPA65563 JOZ131070:JPA131099 JOZ196606:JPA196635 JOZ262142:JPA262171 JOZ327678:JPA327707 JOZ393214:JPA393243 JOZ458750:JPA458779 JOZ524286:JPA524315 JOZ589822:JPA589851 JOZ655358:JPA655387 JOZ720894:JPA720923 JOZ786430:JPA786459 JOZ851966:JPA851995 JOZ917502:JPA917531 JOZ983038:JPA983067 JYV9:JYW27 JYV65534:JYW65563 JYV131070:JYW131099 JYV196606:JYW196635 JYV262142:JYW262171 JYV327678:JYW327707 JYV393214:JYW393243 JYV458750:JYW458779 JYV524286:JYW524315 JYV589822:JYW589851 JYV655358:JYW655387 JYV720894:JYW720923 JYV786430:JYW786459 JYV851966:JYW851995 JYV917502:JYW917531 JYV983038:JYW983067 KIR9:KIS27 KIR65534:KIS65563 KIR131070:KIS131099 KIR196606:KIS196635 KIR262142:KIS262171 KIR327678:KIS327707 KIR393214:KIS393243 KIR458750:KIS458779 KIR524286:KIS524315 KIR589822:KIS589851 KIR655358:KIS655387 KIR720894:KIS720923 KIR786430:KIS786459 KIR851966:KIS851995 KIR917502:KIS917531 KIR983038:KIS983067 KSN9:KSO27 KSN65534:KSO65563 KSN131070:KSO131099 KSN196606:KSO196635 KSN262142:KSO262171 KSN327678:KSO327707 KSN393214:KSO393243 KSN458750:KSO458779 KSN524286:KSO524315 KSN589822:KSO589851 KSN655358:KSO655387 KSN720894:KSO720923 KSN786430:KSO786459 KSN851966:KSO851995 KSN917502:KSO917531 KSN983038:KSO983067 LCJ9:LCK27 LCJ65534:LCK65563 LCJ131070:LCK131099 LCJ196606:LCK196635 LCJ262142:LCK262171 LCJ327678:LCK327707 LCJ393214:LCK393243 LCJ458750:LCK458779 LCJ524286:LCK524315 LCJ589822:LCK589851 LCJ655358:LCK655387 LCJ720894:LCK720923 LCJ786430:LCK786459 LCJ851966:LCK851995 LCJ917502:LCK917531 LCJ983038:LCK983067 LMF9:LMG27 LMF65534:LMG65563 LMF131070:LMG131099 LMF196606:LMG196635 LMF262142:LMG262171 LMF327678:LMG327707 LMF393214:LMG393243 LMF458750:LMG458779 LMF524286:LMG524315 LMF589822:LMG589851 LMF655358:LMG655387 LMF720894:LMG720923 LMF786430:LMG786459 LMF851966:LMG851995 LMF917502:LMG917531 LMF983038:LMG983067 LWB9:LWC27 LWB65534:LWC65563 LWB131070:LWC131099 LWB196606:LWC196635 LWB262142:LWC262171 LWB327678:LWC327707 LWB393214:LWC393243 LWB458750:LWC458779 LWB524286:LWC524315 LWB589822:LWC589851 LWB655358:LWC655387 LWB720894:LWC720923 LWB786430:LWC786459 LWB851966:LWC851995 LWB917502:LWC917531 LWB983038:LWC983067 MFX9:MFY27 MFX65534:MFY65563 MFX131070:MFY131099 MFX196606:MFY196635 MFX262142:MFY262171 MFX327678:MFY327707 MFX393214:MFY393243 MFX458750:MFY458779 MFX524286:MFY524315 MFX589822:MFY589851 MFX655358:MFY655387 MFX720894:MFY720923 MFX786430:MFY786459 MFX851966:MFY851995 MFX917502:MFY917531 MFX983038:MFY983067 MPT9:MPU27 MPT65534:MPU65563 MPT131070:MPU131099 MPT196606:MPU196635 MPT262142:MPU262171 MPT327678:MPU327707 MPT393214:MPU393243 MPT458750:MPU458779 MPT524286:MPU524315 MPT589822:MPU589851 MPT655358:MPU655387 MPT720894:MPU720923 MPT786430:MPU786459 MPT851966:MPU851995 MPT917502:MPU917531 MPT983038:MPU983067 MZP9:MZQ27 MZP65534:MZQ65563 MZP131070:MZQ131099 MZP196606:MZQ196635 MZP262142:MZQ262171 MZP327678:MZQ327707 MZP393214:MZQ393243 MZP458750:MZQ458779 MZP524286:MZQ524315 MZP589822:MZQ589851 MZP655358:MZQ655387 MZP720894:MZQ720923 MZP786430:MZQ786459 MZP851966:MZQ851995 MZP917502:MZQ917531 MZP983038:MZQ983067 NJL9:NJM27 NJL65534:NJM65563 NJL131070:NJM131099 NJL196606:NJM196635 NJL262142:NJM262171 NJL327678:NJM327707 NJL393214:NJM393243 NJL458750:NJM458779 NJL524286:NJM524315 NJL589822:NJM589851 NJL655358:NJM655387 NJL720894:NJM720923 NJL786430:NJM786459 NJL851966:NJM851995 NJL917502:NJM917531 NJL983038:NJM983067 NTH9:NTI27 NTH65534:NTI65563 NTH131070:NTI131099 NTH196606:NTI196635 NTH262142:NTI262171 NTH327678:NTI327707 NTH393214:NTI393243 NTH458750:NTI458779 NTH524286:NTI524315 NTH589822:NTI589851 NTH655358:NTI655387 NTH720894:NTI720923 NTH786430:NTI786459 NTH851966:NTI851995 NTH917502:NTI917531 NTH983038:NTI983067 ODD9:ODE27 ODD65534:ODE65563 ODD131070:ODE131099 ODD196606:ODE196635 ODD262142:ODE262171 ODD327678:ODE327707 ODD393214:ODE393243 ODD458750:ODE458779 ODD524286:ODE524315 ODD589822:ODE589851 ODD655358:ODE655387 ODD720894:ODE720923 ODD786430:ODE786459 ODD851966:ODE851995 ODD917502:ODE917531 ODD983038:ODE983067 OMZ9:ONA27 OMZ65534:ONA65563 OMZ131070:ONA131099 OMZ196606:ONA196635 OMZ262142:ONA262171 OMZ327678:ONA327707 OMZ393214:ONA393243 OMZ458750:ONA458779 OMZ524286:ONA524315 OMZ589822:ONA589851 OMZ655358:ONA655387 OMZ720894:ONA720923 OMZ786430:ONA786459 OMZ851966:ONA851995 OMZ917502:ONA917531 OMZ983038:ONA983067 OWV9:OWW27 OWV65534:OWW65563 OWV131070:OWW131099 OWV196606:OWW196635 OWV262142:OWW262171 OWV327678:OWW327707 OWV393214:OWW393243 OWV458750:OWW458779 OWV524286:OWW524315 OWV589822:OWW589851 OWV655358:OWW655387 OWV720894:OWW720923 OWV786430:OWW786459 OWV851966:OWW851995 OWV917502:OWW917531 OWV983038:OWW983067 PGR9:PGS27 PGR65534:PGS65563 PGR131070:PGS131099 PGR196606:PGS196635 PGR262142:PGS262171 PGR327678:PGS327707 PGR393214:PGS393243 PGR458750:PGS458779 PGR524286:PGS524315 PGR589822:PGS589851 PGR655358:PGS655387 PGR720894:PGS720923 PGR786430:PGS786459 PGR851966:PGS851995 PGR917502:PGS917531 PGR983038:PGS983067 PQN9:PQO27 PQN65534:PQO65563 PQN131070:PQO131099 PQN196606:PQO196635 PQN262142:PQO262171 PQN327678:PQO327707 PQN393214:PQO393243 PQN458750:PQO458779 PQN524286:PQO524315 PQN589822:PQO589851 PQN655358:PQO655387 PQN720894:PQO720923 PQN786430:PQO786459 PQN851966:PQO851995 PQN917502:PQO917531 PQN983038:PQO983067 QAJ9:QAK27 QAJ65534:QAK65563 QAJ131070:QAK131099 QAJ196606:QAK196635 QAJ262142:QAK262171 QAJ327678:QAK327707 QAJ393214:QAK393243 QAJ458750:QAK458779 QAJ524286:QAK524315 QAJ589822:QAK589851 QAJ655358:QAK655387 QAJ720894:QAK720923 QAJ786430:QAK786459 QAJ851966:QAK851995 QAJ917502:QAK917531 QAJ983038:QAK983067 QKF9:QKG27 QKF65534:QKG65563 QKF131070:QKG131099 QKF196606:QKG196635 QKF262142:QKG262171 QKF327678:QKG327707 QKF393214:QKG393243 QKF458750:QKG458779 QKF524286:QKG524315 QKF589822:QKG589851 QKF655358:QKG655387 QKF720894:QKG720923 QKF786430:QKG786459 QKF851966:QKG851995 QKF917502:QKG917531 QKF983038:QKG983067 QUB9:QUC27 QUB65534:QUC65563 QUB131070:QUC131099 QUB196606:QUC196635 QUB262142:QUC262171 QUB327678:QUC327707 QUB393214:QUC393243 QUB458750:QUC458779 QUB524286:QUC524315 QUB589822:QUC589851 QUB655358:QUC655387 QUB720894:QUC720923 QUB786430:QUC786459 QUB851966:QUC851995 QUB917502:QUC917531 QUB983038:QUC983067 RDX9:RDY27 RDX65534:RDY65563 RDX131070:RDY131099 RDX196606:RDY196635 RDX262142:RDY262171 RDX327678:RDY327707 RDX393214:RDY393243 RDX458750:RDY458779 RDX524286:RDY524315 RDX589822:RDY589851 RDX655358:RDY655387 RDX720894:RDY720923 RDX786430:RDY786459 RDX851966:RDY851995 RDX917502:RDY917531 RDX983038:RDY983067 RNT9:RNU27 RNT65534:RNU65563 RNT131070:RNU131099 RNT196606:RNU196635 RNT262142:RNU262171 RNT327678:RNU327707 RNT393214:RNU393243 RNT458750:RNU458779 RNT524286:RNU524315 RNT589822:RNU589851 RNT655358:RNU655387 RNT720894:RNU720923 RNT786430:RNU786459 RNT851966:RNU851995 RNT917502:RNU917531 RNT983038:RNU983067 RXP9:RXQ27 RXP65534:RXQ65563 RXP131070:RXQ131099 RXP196606:RXQ196635 RXP262142:RXQ262171 RXP327678:RXQ327707 RXP393214:RXQ393243 RXP458750:RXQ458779 RXP524286:RXQ524315 RXP589822:RXQ589851 RXP655358:RXQ655387 RXP720894:RXQ720923 RXP786430:RXQ786459 RXP851966:RXQ851995 RXP917502:RXQ917531 RXP983038:RXQ983067 SHL9:SHM27 SHL65534:SHM65563 SHL131070:SHM131099 SHL196606:SHM196635 SHL262142:SHM262171 SHL327678:SHM327707 SHL393214:SHM393243 SHL458750:SHM458779 SHL524286:SHM524315 SHL589822:SHM589851 SHL655358:SHM655387 SHL720894:SHM720923 SHL786430:SHM786459 SHL851966:SHM851995 SHL917502:SHM917531 SHL983038:SHM983067 SRH9:SRI27 SRH65534:SRI65563 SRH131070:SRI131099 SRH196606:SRI196635 SRH262142:SRI262171 SRH327678:SRI327707 SRH393214:SRI393243 SRH458750:SRI458779 SRH524286:SRI524315 SRH589822:SRI589851 SRH655358:SRI655387 SRH720894:SRI720923 SRH786430:SRI786459 SRH851966:SRI851995 SRH917502:SRI917531 SRH983038:SRI983067 TBD9:TBE27 TBD65534:TBE65563 TBD131070:TBE131099 TBD196606:TBE196635 TBD262142:TBE262171 TBD327678:TBE327707 TBD393214:TBE393243 TBD458750:TBE458779 TBD524286:TBE524315 TBD589822:TBE589851 TBD655358:TBE655387 TBD720894:TBE720923 TBD786430:TBE786459 TBD851966:TBE851995 TBD917502:TBE917531 TBD983038:TBE983067 TKZ9:TLA27 TKZ65534:TLA65563 TKZ131070:TLA131099 TKZ196606:TLA196635 TKZ262142:TLA262171 TKZ327678:TLA327707 TKZ393214:TLA393243 TKZ458750:TLA458779 TKZ524286:TLA524315 TKZ589822:TLA589851 TKZ655358:TLA655387 TKZ720894:TLA720923 TKZ786430:TLA786459 TKZ851966:TLA851995 TKZ917502:TLA917531 TKZ983038:TLA983067 TUV9:TUW27 TUV65534:TUW65563 TUV131070:TUW131099 TUV196606:TUW196635 TUV262142:TUW262171 TUV327678:TUW327707 TUV393214:TUW393243 TUV458750:TUW458779 TUV524286:TUW524315 TUV589822:TUW589851 TUV655358:TUW655387 TUV720894:TUW720923 TUV786430:TUW786459 TUV851966:TUW851995 TUV917502:TUW917531 TUV983038:TUW983067 UER9:UES27 UER65534:UES65563 UER131070:UES131099 UER196606:UES196635 UER262142:UES262171 UER327678:UES327707 UER393214:UES393243 UER458750:UES458779 UER524286:UES524315 UER589822:UES589851 UER655358:UES655387 UER720894:UES720923 UER786430:UES786459 UER851966:UES851995 UER917502:UES917531 UER983038:UES983067 UON9:UOO27 UON65534:UOO65563 UON131070:UOO131099 UON196606:UOO196635 UON262142:UOO262171 UON327678:UOO327707 UON393214:UOO393243 UON458750:UOO458779 UON524286:UOO524315 UON589822:UOO589851 UON655358:UOO655387 UON720894:UOO720923 UON786430:UOO786459 UON851966:UOO851995 UON917502:UOO917531 UON983038:UOO983067 UYJ9:UYK27 UYJ65534:UYK65563 UYJ131070:UYK131099 UYJ196606:UYK196635 UYJ262142:UYK262171 UYJ327678:UYK327707 UYJ393214:UYK393243 UYJ458750:UYK458779 UYJ524286:UYK524315 UYJ589822:UYK589851 UYJ655358:UYK655387 UYJ720894:UYK720923 UYJ786430:UYK786459 UYJ851966:UYK851995 UYJ917502:UYK917531 UYJ983038:UYK983067 VIF9:VIG27 VIF65534:VIG65563 VIF131070:VIG131099 VIF196606:VIG196635 VIF262142:VIG262171 VIF327678:VIG327707 VIF393214:VIG393243 VIF458750:VIG458779 VIF524286:VIG524315 VIF589822:VIG589851 VIF655358:VIG655387 VIF720894:VIG720923 VIF786430:VIG786459 VIF851966:VIG851995 VIF917502:VIG917531 VIF983038:VIG983067 VSB9:VSC27 VSB65534:VSC65563 VSB131070:VSC131099 VSB196606:VSC196635 VSB262142:VSC262171 VSB327678:VSC327707 VSB393214:VSC393243 VSB458750:VSC458779 VSB524286:VSC524315 VSB589822:VSC589851 VSB655358:VSC655387 VSB720894:VSC720923 VSB786430:VSC786459 VSB851966:VSC851995 VSB917502:VSC917531 VSB983038:VSC983067 WBX9:WBY27 WBX65534:WBY65563 WBX131070:WBY131099 WBX196606:WBY196635 WBX262142:WBY262171 WBX327678:WBY327707 WBX393214:WBY393243 WBX458750:WBY458779 WBX524286:WBY524315 WBX589822:WBY589851 WBX655358:WBY655387 WBX720894:WBY720923 WBX786430:WBY786459 WBX851966:WBY851995 WBX917502:WBY917531 WBX983038:WBY983067 WLT9:WLU27 WLT65534:WLU65563 WLT131070:WLU131099 WLT196606:WLU196635 WLT262142:WLU262171 WLT327678:WLU327707 WLT393214:WLU393243 WLT458750:WLU458779 WLT524286:WLU524315 WLT589822:WLU589851 WLT655358:WLU655387 WLT720894:WLU720923 WLT786430:WLU786459 WLT851966:WLU851995 WLT917502:WLU917531 WLT983038:WLU983067 WVP9:WVQ27 WVP65534:WVQ65563 WVP131070:WVQ131099 WVP196606:WVQ196635 WVP262142:WVQ262171 WVP327678:WVQ327707 WVP393214:WVQ393243 WVP458750:WVQ458779 WVP524286:WVQ524315 WVP589822:WVQ589851 WVP655358:WVQ655387 WVP720894:WVQ720923 WVP786430:WVQ786459 WVP851966:WVQ851995 WVP917502:WVQ917531 WVP983038:WVQ983067" xr:uid="{00000000-0002-0000-0100-000001000000}">
      <formula1>"5,4,3,2,1"</formula1>
    </dataValidation>
  </dataValidations>
  <pageMargins left="0.78740157499999996" right="0.78740157499999996" top="0.984251969" bottom="0.984251969" header="0.4921259845" footer="0.4921259845"/>
  <pageSetup paperSize="9" scale="64" fitToHeight="20" orientation="landscape"/>
  <headerFooter alignWithMargins="0">
    <oddFooter>&amp;L&amp;8 CI/QMM; V4.2, with IT PEP V7.0;
© Robert Bosch GmbH 2010. All rights reserved, also regarding any disposal, exploitation, reproduction, editing, distribution, as well as in the event of applications for industrial property rights. &amp;R&amp;P</oddFooter>
  </headerFooter>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E24"/>
  <sheetViews>
    <sheetView zoomScale="70" zoomScaleNormal="70" workbookViewId="0">
      <selection activeCell="E5" sqref="E5"/>
    </sheetView>
  </sheetViews>
  <sheetFormatPr defaultColWidth="10.88671875" defaultRowHeight="13.2" x14ac:dyDescent="0.25"/>
  <cols>
    <col min="1" max="3" width="10.88671875" style="55" customWidth="1"/>
    <col min="4" max="4" width="14" style="55" customWidth="1"/>
    <col min="5" max="5" width="77.77734375" style="55" customWidth="1"/>
    <col min="6" max="6" width="10.88671875" style="55" customWidth="1"/>
    <col min="7" max="16384" width="10.88671875" style="55"/>
  </cols>
  <sheetData>
    <row r="1" spans="2:5" ht="13.8" customHeight="1" thickBot="1" x14ac:dyDescent="0.3"/>
    <row r="2" spans="2:5" ht="18" customHeight="1" thickBot="1" x14ac:dyDescent="0.35">
      <c r="B2" s="172" t="s">
        <v>477</v>
      </c>
      <c r="C2" s="113"/>
      <c r="D2" s="113"/>
      <c r="E2" s="114"/>
    </row>
    <row r="3" spans="2:5" ht="79.8" customHeight="1" thickBot="1" x14ac:dyDescent="0.35">
      <c r="B3" s="165" t="s">
        <v>478</v>
      </c>
      <c r="C3" s="113"/>
      <c r="D3" s="113"/>
      <c r="E3" s="56" t="s">
        <v>479</v>
      </c>
    </row>
    <row r="4" spans="2:5" ht="53.4" customHeight="1" thickBot="1" x14ac:dyDescent="0.35">
      <c r="B4" s="169" t="s">
        <v>480</v>
      </c>
      <c r="C4" s="136"/>
      <c r="D4" s="136"/>
      <c r="E4" s="57" t="s">
        <v>481</v>
      </c>
    </row>
    <row r="5" spans="2:5" ht="106.2" customHeight="1" thickBot="1" x14ac:dyDescent="0.35">
      <c r="B5" s="166" t="s">
        <v>482</v>
      </c>
      <c r="C5" s="113"/>
      <c r="D5" s="113"/>
      <c r="E5" s="58" t="s">
        <v>483</v>
      </c>
    </row>
    <row r="6" spans="2:5" ht="66.599999999999994" customHeight="1" thickBot="1" x14ac:dyDescent="0.35">
      <c r="B6" s="174" t="s">
        <v>484</v>
      </c>
      <c r="C6" s="113"/>
      <c r="D6" s="113"/>
      <c r="E6" s="59" t="s">
        <v>485</v>
      </c>
    </row>
    <row r="7" spans="2:5" ht="172.2" customHeight="1" thickBot="1" x14ac:dyDescent="0.35">
      <c r="B7" s="173" t="s">
        <v>486</v>
      </c>
      <c r="C7" s="113"/>
      <c r="D7" s="113"/>
      <c r="E7" s="60" t="s">
        <v>487</v>
      </c>
    </row>
    <row r="8" spans="2:5" ht="52.8" customHeight="1" x14ac:dyDescent="0.25">
      <c r="B8" s="165" t="s">
        <v>488</v>
      </c>
      <c r="C8" s="129"/>
      <c r="D8" s="129"/>
      <c r="E8" s="61" t="s">
        <v>489</v>
      </c>
    </row>
    <row r="9" spans="2:5" ht="13.8" customHeight="1" thickBot="1" x14ac:dyDescent="0.3">
      <c r="B9" s="135"/>
      <c r="C9" s="136"/>
      <c r="D9" s="136"/>
      <c r="E9" s="62" t="s">
        <v>490</v>
      </c>
    </row>
    <row r="10" spans="2:5" ht="29.4" customHeight="1" thickBot="1" x14ac:dyDescent="0.3">
      <c r="B10" s="161" t="s">
        <v>491</v>
      </c>
      <c r="C10" s="162"/>
      <c r="D10" s="162"/>
      <c r="E10" s="63" t="s">
        <v>492</v>
      </c>
    </row>
    <row r="11" spans="2:5" ht="27" customHeight="1" thickBot="1" x14ac:dyDescent="0.35">
      <c r="B11" s="163" t="s">
        <v>493</v>
      </c>
      <c r="C11" s="129"/>
      <c r="D11" s="164"/>
      <c r="E11" s="60" t="s">
        <v>494</v>
      </c>
    </row>
    <row r="12" spans="2:5" ht="13.8" customHeight="1" thickBot="1" x14ac:dyDescent="0.3">
      <c r="B12" s="64"/>
      <c r="C12" s="65"/>
      <c r="D12" s="65"/>
      <c r="E12" s="65"/>
    </row>
    <row r="13" spans="2:5" ht="14.4" x14ac:dyDescent="0.3">
      <c r="B13" s="170" t="s">
        <v>495</v>
      </c>
      <c r="C13" s="171"/>
      <c r="D13" s="171"/>
      <c r="E13" s="66"/>
    </row>
    <row r="14" spans="2:5" ht="66" customHeight="1" x14ac:dyDescent="0.3">
      <c r="B14" s="67"/>
      <c r="C14" s="168" t="s">
        <v>496</v>
      </c>
      <c r="D14" s="105"/>
      <c r="E14" s="68" t="s">
        <v>497</v>
      </c>
    </row>
    <row r="15" spans="2:5" ht="66" customHeight="1" x14ac:dyDescent="0.3">
      <c r="B15" s="67"/>
      <c r="C15" s="168" t="s">
        <v>498</v>
      </c>
      <c r="D15" s="105"/>
      <c r="E15" s="68" t="s">
        <v>499</v>
      </c>
    </row>
    <row r="16" spans="2:5" ht="27" customHeight="1" thickBot="1" x14ac:dyDescent="0.35">
      <c r="B16" s="69"/>
      <c r="C16" s="167" t="s">
        <v>500</v>
      </c>
      <c r="D16" s="111"/>
      <c r="E16" s="70" t="s">
        <v>501</v>
      </c>
    </row>
    <row r="17" spans="2:5" x14ac:dyDescent="0.25">
      <c r="B17" s="64"/>
      <c r="C17" s="65"/>
      <c r="D17" s="65"/>
      <c r="E17" s="65"/>
    </row>
    <row r="18" spans="2:5" ht="13.8" customHeight="1" thickBot="1" x14ac:dyDescent="0.3">
      <c r="B18" s="71"/>
      <c r="C18" s="72"/>
      <c r="D18" s="72"/>
      <c r="E18" s="72"/>
    </row>
    <row r="19" spans="2:5" ht="18" customHeight="1" thickBot="1" x14ac:dyDescent="0.35">
      <c r="B19" s="172" t="s">
        <v>502</v>
      </c>
      <c r="C19" s="113"/>
      <c r="D19" s="113"/>
      <c r="E19" s="114"/>
    </row>
    <row r="20" spans="2:5" ht="13.8" customHeight="1" thickBot="1" x14ac:dyDescent="0.3">
      <c r="B20" s="73"/>
      <c r="C20" s="65"/>
      <c r="D20" s="65"/>
      <c r="E20" s="74"/>
    </row>
    <row r="21" spans="2:5" ht="26.4" customHeight="1" x14ac:dyDescent="0.25">
      <c r="B21" s="75" t="s">
        <v>19</v>
      </c>
      <c r="C21" s="76" t="s">
        <v>503</v>
      </c>
      <c r="D21" s="76" t="s">
        <v>504</v>
      </c>
      <c r="E21" s="77" t="s">
        <v>505</v>
      </c>
    </row>
    <row r="22" spans="2:5" ht="26.4" customHeight="1" x14ac:dyDescent="0.25">
      <c r="B22" s="78" t="s">
        <v>506</v>
      </c>
      <c r="C22" s="79">
        <v>44725</v>
      </c>
      <c r="D22" s="80" t="s">
        <v>507</v>
      </c>
      <c r="E22" s="81" t="s">
        <v>508</v>
      </c>
    </row>
    <row r="23" spans="2:5" x14ac:dyDescent="0.25">
      <c r="B23" s="82"/>
      <c r="C23" s="83"/>
      <c r="D23" s="84"/>
      <c r="E23" s="85" t="s">
        <v>509</v>
      </c>
    </row>
    <row r="24" spans="2:5" x14ac:dyDescent="0.25">
      <c r="B24" s="82"/>
      <c r="C24" s="83"/>
      <c r="D24" s="84"/>
      <c r="E24" s="86" t="s">
        <v>510</v>
      </c>
    </row>
  </sheetData>
  <mergeCells count="14">
    <mergeCell ref="B2:E2"/>
    <mergeCell ref="B19:E19"/>
    <mergeCell ref="B7:D7"/>
    <mergeCell ref="B6:D6"/>
    <mergeCell ref="B8:D9"/>
    <mergeCell ref="B10:D10"/>
    <mergeCell ref="B11:D11"/>
    <mergeCell ref="B3:D3"/>
    <mergeCell ref="B5:D5"/>
    <mergeCell ref="C16:D16"/>
    <mergeCell ref="C15:D15"/>
    <mergeCell ref="B4:D4"/>
    <mergeCell ref="B13:D13"/>
    <mergeCell ref="C14:D14"/>
  </mergeCells>
  <pageMargins left="0.7" right="0.7" top="0.78740157499999996" bottom="0.78740157499999996" header="0.3" footer="0.3"/>
  <pageSetup paperSize="9" orientation="portrai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3</vt:i4>
      </vt:variant>
      <vt:variant>
        <vt:lpstr>Named Ranges</vt:lpstr>
      </vt:variant>
      <vt:variant>
        <vt:i4>5</vt:i4>
      </vt:variant>
    </vt:vector>
  </HeadingPairs>
  <TitlesOfParts>
    <vt:vector size="8" baseType="lpstr">
      <vt:lpstr>Cover sheet</vt:lpstr>
      <vt:lpstr>Analysis of project risks</vt:lpstr>
      <vt:lpstr>Explanation_History</vt:lpstr>
      <vt:lpstr>Nr</vt:lpstr>
      <vt:lpstr>'Analysis of project risks'!Print_Area</vt:lpstr>
      <vt:lpstr>'Analysis of project risks'!Print_Titles</vt:lpstr>
      <vt:lpstr>RZ</vt:lpstr>
      <vt:lpstr>Status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Ladenburger Andreas (BD/MIL-MIA)</dc:creator>
  <cp:lastModifiedBy>Ho Keng Hua (BD/MIL-ICC)</cp:lastModifiedBy>
  <dcterms:created xsi:type="dcterms:W3CDTF">2026-01-16T10:47:08Z</dcterms:created>
  <dcterms:modified xsi:type="dcterms:W3CDTF">2026-04-01T15:00:40Z</dcterms:modified>
</cp:coreProperties>
</file>