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kho1sgp\Downloads\"/>
    </mc:Choice>
  </mc:AlternateContent>
  <xr:revisionPtr revIDLastSave="0" documentId="8_{1423CD6D-8C2C-4D40-BD1F-A76B54A48C42}" xr6:coauthVersionLast="47" xr6:coauthVersionMax="47" xr10:uidLastSave="{00000000-0000-0000-0000-000000000000}"/>
  <bookViews>
    <workbookView xWindow="-108" yWindow="-108" windowWidth="23256" windowHeight="13896" firstSheet="2" activeTab="2" xr2:uid="{5915C905-B163-459F-B97E-E22BFDEA5710}"/>
  </bookViews>
  <sheets>
    <sheet name="Pivot Vendors vs Products" sheetId="14" r:id="rId1"/>
    <sheet name="Pivot Free or OSS" sheetId="13" r:id="rId2"/>
    <sheet name="Shopping List Astra 10.02.2026" sheetId="11" r:id="rId3"/>
    <sheet name="License inventory for FOSS" sheetId="12" r:id="rId4"/>
    <sheet name="Tabelle1" sheetId="15" r:id="rId5"/>
  </sheets>
  <definedNames>
    <definedName name="_xlnm._FilterDatabase" localSheetId="3" hidden="1">'License inventory for FOSS'!#REF!</definedName>
    <definedName name="_xlnm._FilterDatabase" localSheetId="2" hidden="1">'Shopping List Astra 10.02.2026'!$E$128:$E$128</definedName>
  </definedNames>
  <calcPr calcId="191028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5" l="1"/>
  <c r="H11" i="15"/>
  <c r="A11" i="1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B9" i="12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B109" i="12" s="1"/>
  <c r="B110" i="12" s="1"/>
  <c r="B111" i="12" s="1"/>
  <c r="B112" i="12" s="1"/>
  <c r="B113" i="12" s="1"/>
  <c r="B114" i="12" s="1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6" i="12" s="1"/>
  <c r="B127" i="12" s="1"/>
  <c r="B128" i="12" s="1"/>
  <c r="B129" i="12" s="1"/>
  <c r="B130" i="12" s="1"/>
</calcChain>
</file>

<file path=xl/sharedStrings.xml><?xml version="1.0" encoding="utf-8"?>
<sst xmlns="http://schemas.openxmlformats.org/spreadsheetml/2006/main" count="1202" uniqueCount="444">
  <si>
    <t xml:space="preserve">In total 31 Vendors </t>
  </si>
  <si>
    <t>Row Labels</t>
  </si>
  <si>
    <t>Count of Product name</t>
  </si>
  <si>
    <t>MathWorks</t>
  </si>
  <si>
    <t>Microsoft</t>
  </si>
  <si>
    <t>SAP</t>
  </si>
  <si>
    <t>Siemens</t>
  </si>
  <si>
    <t>Oracle (SAP)</t>
  </si>
  <si>
    <t>PTC</t>
  </si>
  <si>
    <t>Vector Informatik</t>
  </si>
  <si>
    <t>Methodpark</t>
  </si>
  <si>
    <t>Dassault Systèmes</t>
  </si>
  <si>
    <t>Adobe</t>
  </si>
  <si>
    <t>Autodesk</t>
  </si>
  <si>
    <t>Altair</t>
  </si>
  <si>
    <t>Open Text</t>
  </si>
  <si>
    <t>Famos</t>
  </si>
  <si>
    <t>Hexagon</t>
  </si>
  <si>
    <t>Anaconda</t>
  </si>
  <si>
    <t>APIS Infromationstechnologie</t>
  </si>
  <si>
    <t xml:space="preserve">Corel/Alludo </t>
  </si>
  <si>
    <t>IBM</t>
  </si>
  <si>
    <t>Irfan Skiljan</t>
  </si>
  <si>
    <t>Learnpulse</t>
  </si>
  <si>
    <t>Minitab</t>
  </si>
  <si>
    <t>Mobatek</t>
  </si>
  <si>
    <t>Octoplant</t>
  </si>
  <si>
    <t>Rocket Software</t>
  </si>
  <si>
    <t>Sparx Systems</t>
  </si>
  <si>
    <t>TTS</t>
  </si>
  <si>
    <t>(blank)</t>
  </si>
  <si>
    <t>Bensberg</t>
  </si>
  <si>
    <t>Caresoft Global</t>
  </si>
  <si>
    <t>Tenfold Securities</t>
  </si>
  <si>
    <t>Digicert</t>
  </si>
  <si>
    <t xml:space="preserve">Microsoft </t>
  </si>
  <si>
    <t>Grand Total</t>
  </si>
  <si>
    <t xml:space="preserve"> Vendors for Free or OSS = 79</t>
  </si>
  <si>
    <t>ALM Toolkit</t>
  </si>
  <si>
    <t>Amazon</t>
  </si>
  <si>
    <t>Andrea Vacondio</t>
  </si>
  <si>
    <t>Ansgar Becker</t>
  </si>
  <si>
    <t>Antoine Potten</t>
  </si>
  <si>
    <t>Apple</t>
  </si>
  <si>
    <t>Arduino DE</t>
  </si>
  <si>
    <t>AT&amp;T</t>
  </si>
  <si>
    <t>Atlassian</t>
  </si>
  <si>
    <t>AutoHotkey Foundation LLC</t>
  </si>
  <si>
    <t>Bambu Lab</t>
  </si>
  <si>
    <t xml:space="preserve">Benito van der Zander </t>
  </si>
  <si>
    <t xml:space="preserve">Broadcom </t>
  </si>
  <si>
    <t>Bryce Harrington</t>
  </si>
  <si>
    <t>Charles Lechasseur</t>
  </si>
  <si>
    <t>Christian Schenk</t>
  </si>
  <si>
    <t>Colin Mackie</t>
  </si>
  <si>
    <t>DAX Studio</t>
  </si>
  <si>
    <t>Dimitry Polivaev</t>
  </si>
  <si>
    <t>Dominik Reichl</t>
  </si>
  <si>
    <t>Don Ho</t>
  </si>
  <si>
    <t>Eclipse Foundation</t>
  </si>
  <si>
    <t>EWSoftware</t>
  </si>
  <si>
    <t>Genotrance-Ganesh Viswanathan</t>
  </si>
  <si>
    <t>Ghostgum Software</t>
  </si>
  <si>
    <t>Git-Team</t>
  </si>
  <si>
    <t>GlavSoft</t>
  </si>
  <si>
    <t>Google</t>
  </si>
  <si>
    <t>Gordon Lyon</t>
  </si>
  <si>
    <t>GoTo</t>
  </si>
  <si>
    <t>hikikomori82</t>
  </si>
  <si>
    <t>Igor Pavlov</t>
  </si>
  <si>
    <t>ImageWriter Developers</t>
  </si>
  <si>
    <t>Inkscape/Bryce Harrington</t>
  </si>
  <si>
    <t>item Industrietechnik</t>
  </si>
  <si>
    <t>Jabra/GN Audio</t>
  </si>
  <si>
    <t>Kaltura</t>
  </si>
  <si>
    <t>Kapacity</t>
  </si>
  <si>
    <t>Krzysztof Kowalczyk</t>
  </si>
  <si>
    <t>Marek Jasinski</t>
  </si>
  <si>
    <t>Martin Prikryl</t>
  </si>
  <si>
    <t>Meltytech</t>
  </si>
  <si>
    <t>Microsoft Sysinternals</t>
  </si>
  <si>
    <t>Midox/Jamie O Connell</t>
  </si>
  <si>
    <t>Mozilla</t>
  </si>
  <si>
    <t>Multimedia</t>
  </si>
  <si>
    <t>Node.js Foundation</t>
  </si>
  <si>
    <t>OBS Studio Contributors</t>
  </si>
  <si>
    <t>OBS Studio Contributors-TriCaster</t>
  </si>
  <si>
    <t>Oracle</t>
  </si>
  <si>
    <t>Pilz</t>
  </si>
  <si>
    <t>Plantronics</t>
  </si>
  <si>
    <t>PostgreSQL Global Development Group</t>
  </si>
  <si>
    <t>PuTTY/Simon Tatham</t>
  </si>
  <si>
    <t>RADACAD</t>
  </si>
  <si>
    <t>Realtek</t>
  </si>
  <si>
    <t>Red Hat</t>
  </si>
  <si>
    <t>Riverbed Technology</t>
  </si>
  <si>
    <t>SourceForge</t>
  </si>
  <si>
    <t>SQLBI</t>
  </si>
  <si>
    <t>Synaptics</t>
  </si>
  <si>
    <t>Tabular Editor</t>
  </si>
  <si>
    <t>Testo</t>
  </si>
  <si>
    <t>The GIMP Team</t>
  </si>
  <si>
    <t>The MathWorks</t>
  </si>
  <si>
    <t>The R Foundation for Statistical Computing</t>
  </si>
  <si>
    <t>UltraVNC</t>
  </si>
  <si>
    <t>VideoLAN</t>
  </si>
  <si>
    <t>VMware</t>
  </si>
  <si>
    <t>Wireshark Development Team</t>
  </si>
  <si>
    <t>Wireshark Foundation</t>
  </si>
  <si>
    <t>Zebra Technologies</t>
  </si>
  <si>
    <t>License shopping list - 18.02.2026</t>
  </si>
  <si>
    <t>Project ASTRA</t>
  </si>
  <si>
    <r>
      <rPr>
        <b/>
        <sz val="10"/>
        <color theme="1"/>
        <rFont val="Arial"/>
        <family val="2"/>
      </rPr>
      <t>1. TBD</t>
    </r>
    <r>
      <rPr>
        <sz val="10"/>
        <color theme="1"/>
        <rFont val="Arial"/>
        <family val="2"/>
      </rPr>
      <t xml:space="preserve"> – Entries in the </t>
    </r>
    <r>
      <rPr>
        <b/>
        <sz val="10"/>
        <color theme="1"/>
        <rFont val="Arial"/>
        <family val="2"/>
      </rPr>
      <t>"metric"</t>
    </r>
    <r>
      <rPr>
        <sz val="10"/>
        <color theme="1"/>
        <rFont val="Arial"/>
        <family val="2"/>
      </rPr>
      <t xml:space="preserve"> and </t>
    </r>
    <r>
      <rPr>
        <b/>
        <sz val="10"/>
        <color theme="1"/>
        <rFont val="Arial"/>
        <family val="2"/>
      </rPr>
      <t>"type of payment"</t>
    </r>
    <r>
      <rPr>
        <sz val="10"/>
        <color theme="1"/>
        <rFont val="Arial"/>
        <family val="2"/>
      </rPr>
      <t xml:space="preserve"> fields need to be clarified during the procurement process.</t>
    </r>
  </si>
  <si>
    <r>
      <rPr>
        <b/>
        <sz val="10"/>
        <color theme="1"/>
        <rFont val="Arial"/>
        <family val="2"/>
      </rPr>
      <t xml:space="preserve">2. </t>
    </r>
    <r>
      <rPr>
        <sz val="10"/>
        <color theme="1"/>
        <rFont val="Arial"/>
        <family val="2"/>
      </rPr>
      <t>All required license keys must be installed prior to closing.</t>
    </r>
  </si>
  <si>
    <t>#</t>
  </si>
  <si>
    <t>Vendor</t>
  </si>
  <si>
    <t>Product name</t>
  </si>
  <si>
    <t>Quantity</t>
  </si>
  <si>
    <t xml:space="preserve">Metric </t>
  </si>
  <si>
    <t>Type of Payment*</t>
  </si>
  <si>
    <t>Notes</t>
  </si>
  <si>
    <t>Acrobat Standard DC</t>
  </si>
  <si>
    <t>user</t>
  </si>
  <si>
    <t>subscription</t>
  </si>
  <si>
    <t xml:space="preserve">Acrobat Professional DC </t>
  </si>
  <si>
    <t>Illustrator CC</t>
  </si>
  <si>
    <t>Altair Token</t>
  </si>
  <si>
    <t>1 license +30 tokens</t>
  </si>
  <si>
    <t xml:space="preserve"> token floating</t>
  </si>
  <si>
    <t>Hyperworks</t>
  </si>
  <si>
    <t>token floating</t>
  </si>
  <si>
    <t>Python Enterprice</t>
  </si>
  <si>
    <t>tbd</t>
  </si>
  <si>
    <t>IQ-FMEA-L</t>
  </si>
  <si>
    <t xml:space="preserve">floating </t>
  </si>
  <si>
    <t xml:space="preserve">perpetual </t>
  </si>
  <si>
    <t xml:space="preserve">AutoCAD </t>
  </si>
  <si>
    <t xml:space="preserve">Inventor Professional </t>
  </si>
  <si>
    <t xml:space="preserve">Vault Professional </t>
  </si>
  <si>
    <t>MindManager</t>
  </si>
  <si>
    <t xml:space="preserve">CATIA V5 </t>
  </si>
  <si>
    <t>concurrent/floating</t>
  </si>
  <si>
    <t xml:space="preserve">eDrawings Profesional </t>
  </si>
  <si>
    <t>SolidWorks</t>
  </si>
  <si>
    <t xml:space="preserve">Abaqus </t>
  </si>
  <si>
    <t>concurrent</t>
  </si>
  <si>
    <t>Q-DAS 14 Notebook</t>
  </si>
  <si>
    <t>IBM Doors ("IBM Engineering Requirements Management DOORS family Authorized User License + SW Subscription &amp; Support 12 Months")</t>
  </si>
  <si>
    <t>IrfanView 4.x 64bit</t>
  </si>
  <si>
    <t>enterprise/corporate</t>
  </si>
  <si>
    <t xml:space="preserve">ScreenPresso Pro </t>
  </si>
  <si>
    <t>MATLAB</t>
  </si>
  <si>
    <t>named/specific user</t>
  </si>
  <si>
    <t>Signal_Toolbox</t>
  </si>
  <si>
    <t>SIMULINK</t>
  </si>
  <si>
    <t>Simscape</t>
  </si>
  <si>
    <t>Power_System_Blocks</t>
  </si>
  <si>
    <t>Signal_Blocks</t>
  </si>
  <si>
    <t>Stateflow</t>
  </si>
  <si>
    <t>Control_Toolbox</t>
  </si>
  <si>
    <t>Fixed_Point_Toolbox</t>
  </si>
  <si>
    <t>RF_Blockset</t>
  </si>
  <si>
    <t>RF_Toolbox</t>
  </si>
  <si>
    <t>SimDriveline</t>
  </si>
  <si>
    <t>System_Composer</t>
  </si>
  <si>
    <t>AUTOSAR_Blockset</t>
  </si>
  <si>
    <t>Cert_Kit_IEC</t>
  </si>
  <si>
    <t>Identification_Toolbox</t>
  </si>
  <si>
    <t>MATLAB_Coder</t>
  </si>
  <si>
    <t>MATLAB_Report_Gen</t>
  </si>
  <si>
    <t>Motor_Control_Blockset</t>
  </si>
  <si>
    <t>Qual_Kit_DO</t>
  </si>
  <si>
    <t>Real-Time_Workshop</t>
  </si>
  <si>
    <t>RTW_Embedded_Coder</t>
  </si>
  <si>
    <t>SimMechanics</t>
  </si>
  <si>
    <t>Simscape_Battery</t>
  </si>
  <si>
    <t>Simulink_Control_Design</t>
  </si>
  <si>
    <t>Simulink_Coverage</t>
  </si>
  <si>
    <t>Simulink_Design_Verifier</t>
  </si>
  <si>
    <t>Simulink_HDL_Coder</t>
  </si>
  <si>
    <t>Simulink_PLC_Coder</t>
  </si>
  <si>
    <t>Simulink_Requirements</t>
  </si>
  <si>
    <t>Simulink_Test</t>
  </si>
  <si>
    <t>SL_Verification_Validation</t>
  </si>
  <si>
    <t>Statistics_Toolbox</t>
  </si>
  <si>
    <t>Vehicle_Network_Toolbox</t>
  </si>
  <si>
    <t>XPC_Target</t>
  </si>
  <si>
    <t>Stages Server License</t>
  </si>
  <si>
    <t>server</t>
  </si>
  <si>
    <t>Stages active users</t>
  </si>
  <si>
    <t xml:space="preserve">Process Modeler (MODEL): </t>
  </si>
  <si>
    <t xml:space="preserve">Process Contributor </t>
  </si>
  <si>
    <t>SQL Server Standard</t>
  </si>
  <si>
    <t>5 servers x 4 cores</t>
  </si>
  <si>
    <t>core</t>
  </si>
  <si>
    <t>in clarification, final quantity</t>
  </si>
  <si>
    <t>Microsoft Defender Suite (Defender Suite Sub Per User)</t>
  </si>
  <si>
    <t>required for M365 migration  - 1 month before network cut</t>
  </si>
  <si>
    <t>Standard IT-User, M365 E3</t>
  </si>
  <si>
    <t>required for M365 migration - 1 month before network cut</t>
  </si>
  <si>
    <t>Microsoft VisioPro 64-Bit Edition for Office 365 (Visio Professional ALng  with SA)</t>
  </si>
  <si>
    <t>Visual Studio Professional w. GitHub Enterprise (Visual Studio Pro with GitHub ALng ; only available in EA/EAS 
alternatively Visual Studio Pro and GitHub Enterprise as stand-alone license)</t>
  </si>
  <si>
    <t>Microsoft SQL Server 2022 Express</t>
  </si>
  <si>
    <t>Windows Server 2025 Standard (Win Server Standard Core ALng 2CoreLic) =&gt; 28 Packs</t>
  </si>
  <si>
    <t>Exchange Server on Premise (Enterprise) Exchange Server Enterprise ALng LSA</t>
  </si>
  <si>
    <t>Microsoft Copilot Studio User License</t>
  </si>
  <si>
    <t>Microsoft 365 Audio Conferencing Pay-Per-Minute (Audio Conferencing Pay Per Min Sub Per User)</t>
  </si>
  <si>
    <t>Microsoft System Center Configuration Manager 2022 Client Management License OSE (unknown language) (Microsoft Endpoint Configuration Manager Client Management License per OSE)</t>
  </si>
  <si>
    <t>Microsoft Teams Phone Standard User (Teams Phone Standard Sub Per User)</t>
  </si>
  <si>
    <t>Microsoft Windows Professional</t>
  </si>
  <si>
    <t>device</t>
  </si>
  <si>
    <t>Microsoft Exchange Online Plan 2 User (Exchange Online P2 Sub Per User)</t>
  </si>
  <si>
    <t>Microsoft Visio Plan 2 (Visio P2 Sub Per User)</t>
  </si>
  <si>
    <t>Microsoft Windows 11 Professional (unknown language) (Windows 11 Pro (Per Device))</t>
  </si>
  <si>
    <t>Microsoft Project Plan 3 User (Planner &amp; Project P3 Sub Per User)</t>
  </si>
  <si>
    <t>Microsoft Project Professional for Office 365 Client User Application (Project Professional Alng with SA)</t>
  </si>
  <si>
    <t>Microsoft Visual Studio Professional (Visual Studio Professional Subscription)</t>
  </si>
  <si>
    <t>Windows Server 2025 Data Center Edition (Win Server Datacenter Core ALng 2CoreLic) =&gt; 192 packs</t>
  </si>
  <si>
    <t>Microsoft Power BI Professional User (Power BI Pro Sub Per User)</t>
  </si>
  <si>
    <t xml:space="preserve"> Planner Plan 1 (Web-Version) oder Planner &amp; Project P3</t>
  </si>
  <si>
    <t xml:space="preserve"> buyer can decide on the option </t>
  </si>
  <si>
    <t>Microsoft Visual Studio 2022 Enterprise (Visual Studio Ent MSDN 2026 Alng)</t>
  </si>
  <si>
    <t>RDS CALs with Software Assurance</t>
  </si>
  <si>
    <t xml:space="preserve">Minitab Statistical 22 </t>
  </si>
  <si>
    <t xml:space="preserve">MobaXterm Professional </t>
  </si>
  <si>
    <t>Opentext Imaging Windows Viewer</t>
  </si>
  <si>
    <t>OpenText Enterprise Scan 22</t>
  </si>
  <si>
    <t>Database Enterprise Edition</t>
  </si>
  <si>
    <t>named user</t>
  </si>
  <si>
    <t>perpetual</t>
  </si>
  <si>
    <t>12 months TSA option</t>
  </si>
  <si>
    <t>Tuning Pack</t>
  </si>
  <si>
    <t>Partinioning</t>
  </si>
  <si>
    <t>Advanced Compression</t>
  </si>
  <si>
    <t>Diagnostics Pack</t>
  </si>
  <si>
    <t>Database-In-Memory (auf PFK und PF5)</t>
  </si>
  <si>
    <t>Oracle Database Server</t>
  </si>
  <si>
    <t>Creo (Advanced T2)</t>
  </si>
  <si>
    <t>floating</t>
  </si>
  <si>
    <t>PTC-WindchillPDMLink-Creo (•	Windchill Base
•	Windchill Creo Data Management &amp; Visualization
)</t>
  </si>
  <si>
    <t>User</t>
  </si>
  <si>
    <t>PTC Creo Standalone (•	Creo Advanced Assembly Extension - Global License
•	Creo Design Essentials Global (no PLM included)
)</t>
  </si>
  <si>
    <t>PTC-WindchillPDMLink-eBOM-Creo</t>
  </si>
  <si>
    <t>PTC-WindchillPDMLink-Contributor (Contributor License)</t>
  </si>
  <si>
    <t>MathCAD Prime</t>
  </si>
  <si>
    <t xml:space="preserve">Remote Desktop 2024 </t>
  </si>
  <si>
    <t>Professional User</t>
  </si>
  <si>
    <t>waiting for final offer from SAP, based on Bosch conditions</t>
  </si>
  <si>
    <t>7017272 SAP S/4HANA Cloud Private Edition, product lifecycle management</t>
  </si>
  <si>
    <t>Logistic User</t>
  </si>
  <si>
    <t>Worker User</t>
  </si>
  <si>
    <t>7018211 SAP Enterprise Product Engineering</t>
  </si>
  <si>
    <t>Development User</t>
  </si>
  <si>
    <t>7017375 SAP Shared Service Framework, Human Resources</t>
  </si>
  <si>
    <t>7017523 SAP Just-in-time Inbound Process for Auto</t>
  </si>
  <si>
    <t>calls</t>
  </si>
  <si>
    <t>TC Visualization Pro Plus</t>
  </si>
  <si>
    <t>JT Bi-Directional Translator for STEP</t>
  </si>
  <si>
    <t>DXF File Open for TC Vis</t>
  </si>
  <si>
    <t xml:space="preserve">	IGES File Open for TC Vis</t>
  </si>
  <si>
    <t>Teamcenter Author</t>
  </si>
  <si>
    <t>NX Gateway</t>
  </si>
  <si>
    <t>NX Assembly</t>
  </si>
  <si>
    <t>NX Drafting</t>
  </si>
  <si>
    <t>NX Solid Modeling</t>
  </si>
  <si>
    <t>NX Features Modeling</t>
  </si>
  <si>
    <t>NX DXFDWG Translator</t>
  </si>
  <si>
    <t>NX STEP AP214 Translator</t>
  </si>
  <si>
    <t>NX Render</t>
  </si>
  <si>
    <t>NX Visualize Shape</t>
  </si>
  <si>
    <t>JT Bi-Directional Translator for CATIA V</t>
  </si>
  <si>
    <t>Enterprise Architect Corporate</t>
  </si>
  <si>
    <t xml:space="preserve">Floating </t>
  </si>
  <si>
    <t>maintanance can be added</t>
  </si>
  <si>
    <t>Quick Access Enhanced with Recording (TTSPS)</t>
  </si>
  <si>
    <t>CANape</t>
  </si>
  <si>
    <t xml:space="preserve">named user, named user devise </t>
  </si>
  <si>
    <t xml:space="preserve">CANdb++ </t>
  </si>
  <si>
    <t xml:space="preserve">vTESTstudio </t>
  </si>
  <si>
    <t>vFlash 7 Standard Win</t>
  </si>
  <si>
    <t>CANoe PRO</t>
  </si>
  <si>
    <t>IMC Famos Professional</t>
  </si>
  <si>
    <t>IMC Studio Professional</t>
  </si>
  <si>
    <t>Insider Risk Management</t>
  </si>
  <si>
    <t>VersionDog</t>
  </si>
  <si>
    <t>6 computers, 1500 components</t>
  </si>
  <si>
    <t>ACS 109 - Streckenabwicklung SD</t>
  </si>
  <si>
    <t>corporate license</t>
  </si>
  <si>
    <t>puchase complete</t>
  </si>
  <si>
    <t>ACS 109_3  -  Streckenabwicklung JIT</t>
  </si>
  <si>
    <t>ACS 39 - EDI Monitor Lieferavise</t>
  </si>
  <si>
    <t>ACS 216 - VDA Formular 4939</t>
  </si>
  <si>
    <t>ACS 132  - QM Cockpit</t>
  </si>
  <si>
    <t>ACS 133 - QM Customer 8D</t>
  </si>
  <si>
    <t>ACS 134  - QM Supplier 8D</t>
  </si>
  <si>
    <t>ACS 138  - QM DMS</t>
  </si>
  <si>
    <t>Microsoft SQL Server 2019 Express</t>
  </si>
  <si>
    <t xml:space="preserve">License for Mandant  SAP system  </t>
  </si>
  <si>
    <t>system</t>
  </si>
  <si>
    <t>quote available</t>
  </si>
  <si>
    <t xml:space="preserve">Iceberg benchmark portal </t>
  </si>
  <si>
    <t>IAM tool</t>
  </si>
  <si>
    <t>purchase complete</t>
  </si>
  <si>
    <t>Encryption Software</t>
  </si>
  <si>
    <t xml:space="preserve">Microsoft Office 2016 Professional Plus </t>
  </si>
  <si>
    <t>License inventory for freeware and open source</t>
  </si>
  <si>
    <t>Proprietary software must be verified with the vendor prior to final installation.</t>
  </si>
  <si>
    <t>Free or OSS</t>
  </si>
  <si>
    <t>Acrobat Reader DC</t>
  </si>
  <si>
    <t>freeware</t>
  </si>
  <si>
    <t>proprietory SW - needs to checked with vendor before final installation</t>
  </si>
  <si>
    <t>Hotfix Installation Package for Adobe Reader DC and Acrobat</t>
  </si>
  <si>
    <t>ALM Toolkit for Power BI</t>
  </si>
  <si>
    <t>Open Source Software (OSS)</t>
  </si>
  <si>
    <t>OpenJDK 8 - Corretto for Creo</t>
  </si>
  <si>
    <t>Anaconda Python 2020.07</t>
  </si>
  <si>
    <t>PDF Split and Merge</t>
  </si>
  <si>
    <t>HeidiSQL 11.x</t>
  </si>
  <si>
    <t>Antoine Potten Ant Renamer 2.x</t>
  </si>
  <si>
    <t>Apple iTunes</t>
  </si>
  <si>
    <t>Arduino Labs</t>
  </si>
  <si>
    <t>Graphviz 12.x</t>
  </si>
  <si>
    <t>SourceTree</t>
  </si>
  <si>
    <t>Autodesk Licensing Service 2020</t>
  </si>
  <si>
    <t>DWG TrueView 2023</t>
  </si>
  <si>
    <t xml:space="preserve">Design Review </t>
  </si>
  <si>
    <t>AutoHotkey Foundation AutoHotkey 2.x</t>
  </si>
  <si>
    <t>Bambu Studio</t>
  </si>
  <si>
    <t>Benito van der Zander TeXstudio 2.x</t>
  </si>
  <si>
    <t>USB Docker</t>
  </si>
  <si>
    <t>VMware Workstation 16</t>
  </si>
  <si>
    <t>VMware Workstation Player 17</t>
  </si>
  <si>
    <t>InkScape</t>
  </si>
  <si>
    <t>Path Copy Copy</t>
  </si>
  <si>
    <t>MiKTeX 2.x</t>
  </si>
  <si>
    <t>WinAuth</t>
  </si>
  <si>
    <t>Freeplane 1.x</t>
  </si>
  <si>
    <t xml:space="preserve">KeePass </t>
  </si>
  <si>
    <t>Notepad++ 64-bit</t>
  </si>
  <si>
    <t>Eclipse Foundation Temurin 8.x</t>
  </si>
  <si>
    <t>EWSoftware Sandcastle 24.x</t>
  </si>
  <si>
    <t>Px for Windows</t>
  </si>
  <si>
    <t>Ghostgum Software RedMon 1.x</t>
  </si>
  <si>
    <t>Git for Windows</t>
  </si>
  <si>
    <t>TightVNC 2.x</t>
  </si>
  <si>
    <t>Google Chrome</t>
  </si>
  <si>
    <t xml:space="preserve"> Npcap </t>
  </si>
  <si>
    <t>GoTo Opener 1.x</t>
  </si>
  <si>
    <t>OSI Font</t>
  </si>
  <si>
    <t>7-Zip</t>
  </si>
  <si>
    <t>ImageWriter Developers Win32 Disk Imager 1.x</t>
  </si>
  <si>
    <t>Inkscape</t>
  </si>
  <si>
    <t>item Industrietechnik item MotionSoft 2 Win</t>
  </si>
  <si>
    <t>Jabra Xpress 6.x</t>
  </si>
  <si>
    <t>Jabra Direct X20</t>
  </si>
  <si>
    <t>Kaltura Webcast Studio 4.x</t>
  </si>
  <si>
    <t>Kapacity Tabular Editor 2.x</t>
  </si>
  <si>
    <t>SumatraPDF 3.x</t>
  </si>
  <si>
    <t>FreeCommander XE</t>
  </si>
  <si>
    <t>WinSCP FTP Client</t>
  </si>
  <si>
    <t>The MathWorks MATLAB R2023b</t>
  </si>
  <si>
    <t>MATLAB Runtime R2023b</t>
  </si>
  <si>
    <t>Meltytech Shotcut 23.x</t>
  </si>
  <si>
    <t>Visio Studio Code</t>
  </si>
  <si>
    <t>Microsoft Visual C++ Runtime Redistributables</t>
  </si>
  <si>
    <t>.NET Core Desktop Runtime 8.0</t>
  </si>
  <si>
    <t>Microsoft Edge WebView2</t>
  </si>
  <si>
    <t>Microsoft Edge - Chromium</t>
  </si>
  <si>
    <t>.NET Framework 4.8 KB5023322</t>
  </si>
  <si>
    <t>Microsoft Power BI Desktop - Cloud</t>
  </si>
  <si>
    <t>.NET Core Desktop Runtime 6.0</t>
  </si>
  <si>
    <t>NET Core SDK 8.0</t>
  </si>
  <si>
    <t>Microsoft Power BI - SAP BW drivers</t>
  </si>
  <si>
    <t>Microsoft Fabric (Free)</t>
  </si>
  <si>
    <t>Microsoft Internet Explorer 11</t>
  </si>
  <si>
    <t>Microsoft SQL Server Management Studio (SSMS) V.19.x</t>
  </si>
  <si>
    <t>Remote Server Administration Tools</t>
  </si>
  <si>
    <t>Reportviewer 2012</t>
  </si>
  <si>
    <t>Wireless Display Adapter</t>
  </si>
  <si>
    <t>Microsoft Power BI Desktop</t>
  </si>
  <si>
    <t>Microsoft Power BI Report Builder</t>
  </si>
  <si>
    <t>Microsoft SOAP Toolkit 3.x</t>
  </si>
  <si>
    <t>Microsoft OpenJDK 11.x (NLRQ)</t>
  </si>
  <si>
    <t>Microsoft Azure Data Factory 2015 Tools for Visual Studio</t>
  </si>
  <si>
    <t>Microsoft Sysinternals Suite</t>
  </si>
  <si>
    <t>Desktop Save &amp; Restore</t>
  </si>
  <si>
    <t>Firefox 128 ESR</t>
  </si>
  <si>
    <t>Multimedia Package NextGen</t>
  </si>
  <si>
    <t>Node.js Foundation Node.js 20.x</t>
  </si>
  <si>
    <t>Obs Studio 29.x</t>
  </si>
  <si>
    <t>NDI-Streaming-Tools</t>
  </si>
  <si>
    <t>Client 19c 32Bits</t>
  </si>
  <si>
    <t>Hotfix Package for Oracle Client 19c 32Bits</t>
  </si>
  <si>
    <t>Client 19c 64Bits</t>
  </si>
  <si>
    <t>Oracle MySQL 8.x Router</t>
  </si>
  <si>
    <t>Oracle MySQL 8.x Workbench CE</t>
  </si>
  <si>
    <t>Hotfix Package for Oracle Client 19c 64Bits</t>
  </si>
  <si>
    <t>Pilz PNOZmulti Configurator 10</t>
  </si>
  <si>
    <t>Plantronics HUB</t>
  </si>
  <si>
    <t>PostgreSQL Global Development Group PostgreSQL 9.x</t>
  </si>
  <si>
    <t>PostgreSQL 9.4</t>
  </si>
  <si>
    <t>PuTTY</t>
  </si>
  <si>
    <t>Power BI Helper</t>
  </si>
  <si>
    <t>Realtek USB FE Family Controller</t>
  </si>
  <si>
    <t>OpenJDK 8 Redhat</t>
  </si>
  <si>
    <t>OpenJDK JRE 11.0.9-3-redhat</t>
  </si>
  <si>
    <t>OpenJDK 11 Red Hat</t>
  </si>
  <si>
    <t>OpenJDK 17 RedHat</t>
  </si>
  <si>
    <t>Riverbed Technology WinPcap 4.x</t>
  </si>
  <si>
    <t>SAP GUI 8.00 (32-bit)</t>
  </si>
  <si>
    <t>Engineering Client Viewer 10 for SAP GUI</t>
  </si>
  <si>
    <t>SAP GUI 8.00 (64-bit)</t>
  </si>
  <si>
    <t>Business Explorer BW - for SAP GUI 8.00</t>
  </si>
  <si>
    <t>Freemind 1.0.1</t>
  </si>
  <si>
    <t>SQLBI Bravo for Power BI</t>
  </si>
  <si>
    <t>Testo ComSoft Basic 5.x</t>
  </si>
  <si>
    <t xml:space="preserve">GIMP </t>
  </si>
  <si>
    <t>MATLAB Runtime Compiler R2019b</t>
  </si>
  <si>
    <t>MATLAB Runtime R2020b</t>
  </si>
  <si>
    <t>MATLAB Runtime R2022b</t>
  </si>
  <si>
    <t>The R Foundation for Statistical Computing R (programming language) 3.x</t>
  </si>
  <si>
    <t>UltraVNC 1.x</t>
  </si>
  <si>
    <t>Vector Driver Setup</t>
  </si>
  <si>
    <t>VideoLAN VLC Media Player 3.x</t>
  </si>
  <si>
    <t>VMware Tools</t>
  </si>
  <si>
    <t>Wireshark for SAW</t>
  </si>
  <si>
    <t>Wireshark Analyzer Tool</t>
  </si>
  <si>
    <t>Setup Utilities 1.x</t>
  </si>
  <si>
    <t>ZebraDesigner Essensials</t>
  </si>
  <si>
    <t>Communication Credits</t>
  </si>
  <si>
    <t>Product</t>
  </si>
  <si>
    <t>Number ofs Users</t>
  </si>
  <si>
    <t>License model</t>
  </si>
  <si>
    <t>OTC Perpetual License</t>
  </si>
  <si>
    <t>Annual Maintenance</t>
  </si>
  <si>
    <t>Total OTC</t>
  </si>
  <si>
    <t>Total Annual Maintenance</t>
  </si>
  <si>
    <t>1.</t>
  </si>
  <si>
    <t>2.</t>
  </si>
  <si>
    <t>3.</t>
  </si>
  <si>
    <t>4.</t>
  </si>
  <si>
    <t>5.</t>
  </si>
  <si>
    <t>6.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</si>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</sst>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1"/>
      <color theme="1"/>
      <name val="Aptos Narrow"/>
      <family val="2"/>
      <scheme val="minor"/>
    </font>
    <font>
      <sz val="14"/>
      <color rgb="FF000000"/>
      <name val="Bosch Sans"/>
      <family val="2"/>
    </font>
    <font>
      <sz val="1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sz val="11"/>
      <color rgb="FF000000"/>
      <name val="Aptos Narrow"/>
      <family val="2"/>
    </font>
    <font>
      <sz val="11"/>
      <color rgb="FF000000"/>
      <name val="Aptos Narrow"/>
    </font>
    <font>
      <sz val="10"/>
      <color rgb="FF000000"/>
      <name val="Arial"/>
      <family val="2"/>
      <charset val="1"/>
    </font>
    <font>
      <b/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E6F5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medium">
        <color theme="4"/>
      </bottom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63">
    <xf numFmtId="0" fontId="0" fillId="0" borderId="0" xfId="0"/>
    <xf numFmtId="0" fontId="2" fillId="0" borderId="0" xfId="0" applyFont="1"/>
    <xf numFmtId="0" fontId="2" fillId="0" borderId="0" xfId="1" applyAlignment="1" applyProtection="1">
      <alignment horizontal="left" wrapText="1"/>
      <protection locked="0"/>
    </xf>
    <xf numFmtId="0" fontId="3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8" fillId="0" borderId="0" xfId="0" applyFont="1"/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11" fillId="0" borderId="1" xfId="0" applyFont="1" applyBorder="1" applyAlignment="1">
      <alignment horizontal="right" vertical="center"/>
    </xf>
    <xf numFmtId="3" fontId="11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12" fillId="0" borderId="1" xfId="0" applyFont="1" applyBorder="1" applyAlignment="1">
      <alignment horizontal="right" vertical="center"/>
    </xf>
    <xf numFmtId="3" fontId="12" fillId="0" borderId="1" xfId="0" applyNumberFormat="1" applyFont="1" applyBorder="1" applyAlignment="1">
      <alignment horizontal="right" vertical="center"/>
    </xf>
    <xf numFmtId="3" fontId="4" fillId="2" borderId="1" xfId="0" applyNumberFormat="1" applyFont="1" applyFill="1" applyBorder="1" applyAlignment="1">
      <alignment vertical="center"/>
    </xf>
    <xf numFmtId="0" fontId="0" fillId="3" borderId="1" xfId="0" applyFill="1" applyBorder="1"/>
    <xf numFmtId="0" fontId="12" fillId="3" borderId="1" xfId="0" applyFont="1" applyFill="1" applyBorder="1" applyAlignment="1">
      <alignment vertical="center"/>
    </xf>
    <xf numFmtId="3" fontId="0" fillId="0" borderId="0" xfId="0" applyNumberFormat="1"/>
    <xf numFmtId="3" fontId="8" fillId="0" borderId="0" xfId="0" applyNumberFormat="1" applyFont="1"/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right" vertical="center"/>
    </xf>
    <xf numFmtId="3" fontId="4" fillId="2" borderId="2" xfId="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/>
    </xf>
    <xf numFmtId="0" fontId="8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4" xfId="0" applyBorder="1" applyAlignment="1">
      <alignment horizontal="left"/>
    </xf>
    <xf numFmtId="0" fontId="8" fillId="0" borderId="0" xfId="0" applyFont="1" applyAlignment="1">
      <alignment horizontal="left" wrapText="1"/>
    </xf>
    <xf numFmtId="14" fontId="0" fillId="0" borderId="0" xfId="0" applyNumberFormat="1" applyAlignment="1">
      <alignment horizontal="left" wrapText="1"/>
    </xf>
    <xf numFmtId="14" fontId="2" fillId="0" borderId="0" xfId="1" applyNumberFormat="1" applyAlignment="1" applyProtection="1">
      <alignment horizontal="left" wrapText="1"/>
      <protection locked="0"/>
    </xf>
    <xf numFmtId="0" fontId="0" fillId="0" borderId="0" xfId="1" applyFont="1" applyAlignment="1" applyProtection="1">
      <alignment horizontal="left" wrapText="1"/>
      <protection locked="0"/>
    </xf>
    <xf numFmtId="0" fontId="7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16" fontId="2" fillId="0" borderId="0" xfId="1" applyNumberFormat="1" applyAlignment="1" applyProtection="1">
      <alignment horizontal="left" wrapText="1"/>
      <protection locked="0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2" fillId="0" borderId="0" xfId="1" applyAlignment="1" applyProtection="1">
      <alignment horizontal="left" vertical="center" wrapText="1"/>
      <protection locked="0"/>
    </xf>
    <xf numFmtId="0" fontId="2" fillId="0" borderId="0" xfId="1" applyAlignment="1" applyProtection="1">
      <alignment horizontal="left" vertical="center"/>
      <protection locked="0"/>
    </xf>
    <xf numFmtId="0" fontId="5" fillId="0" borderId="0" xfId="2" applyAlignment="1">
      <alignment horizontal="left" vertical="center"/>
    </xf>
    <xf numFmtId="0" fontId="1" fillId="0" borderId="0" xfId="1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3">
    <cellStyle name="Normal" xfId="0" builtinId="0"/>
    <cellStyle name="Normal 2" xfId="2" xr:uid="{5E7DE406-C207-4A69-A9E8-0C6BC1BE44BF}"/>
    <cellStyle name="Standard 2" xfId="1" xr:uid="{A957C21D-419E-453B-A8AE-2AA9ACE1EC17}"/>
  </cellStyles>
  <dxfs count="17"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  <protection locked="0" hidden="0"/>
    </dxf>
    <dxf>
      <alignment horizontal="left" vertical="bottom" textRotation="0" wrapText="1" indent="0" justifyLastLine="0" shrinkToFit="0" readingOrder="0"/>
      <protection locked="0" hidden="0"/>
    </dxf>
    <dxf>
      <alignment vertical="bottom" textRotation="0" wrapText="1" indent="0" justifyLastLine="0" shrinkToFit="0" readingOrder="0"/>
    </dxf>
    <dxf>
      <font>
        <b/>
      </font>
      <alignment horizontal="left"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indent="0" justifyLastLine="0" shrinkToFit="0" readingOrder="0"/>
      <protection locked="0" hidden="0"/>
    </dxf>
    <dxf>
      <alignment horizontal="left" vertical="center" textRotation="0" wrapText="0" indent="0" justifyLastLine="0" shrinkToFit="0" readingOrder="0"/>
      <protection locked="0" hidden="0"/>
    </dxf>
    <dxf>
      <alignment horizontal="left" vertical="center" textRotation="0" wrapText="0" indent="0" justifyLastLine="0" shrinkToFit="0" readingOrder="0"/>
      <protection locked="0" hidden="0"/>
    </dxf>
    <dxf>
      <alignment horizontal="left" vertical="center" textRotation="0" wrapText="1" indent="0" justifyLastLine="0" shrinkToFit="0" readingOrder="0"/>
      <protection locked="0" hidden="0"/>
    </dxf>
    <dxf>
      <alignment horizontal="left" vertical="center" textRotation="0" indent="0" justifyLastLine="0" shrinkToFit="0" readingOrder="0"/>
    </dxf>
    <dxf>
      <font>
        <b/>
      </font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sova Anastasiya (IOB/CSM3)" refreshedDate="46063.762541203701" createdVersion="8" refreshedVersion="8" minRefreshableVersion="3" recordCount="567" xr:uid="{C63FC9EB-4732-47D5-92E8-8D81A4823D7D}">
  <cacheSource type="worksheet">
    <worksheetSource ref="B1:G1048576" sheet="License inventory for FOSS"/>
  </cacheSource>
  <cacheFields count="6">
    <cacheField name="Count" numFmtId="0">
      <sharedItems containsString="0" containsBlank="1" containsNumber="1" containsInteger="1" minValue="1" maxValue="122"/>
    </cacheField>
    <cacheField name="Vendor" numFmtId="0">
      <sharedItems containsBlank="1" count="80">
        <s v="Adobe"/>
        <s v="ALM Toolkit"/>
        <s v="Amazon"/>
        <s v="Anaconda"/>
        <s v="Andrea Vacondio"/>
        <s v="Ansgar Becker"/>
        <s v="Antoine Potten"/>
        <s v="Apple"/>
        <s v="Arduino DE"/>
        <s v="AT&amp;T"/>
        <s v="Atlassian"/>
        <s v="Autodesk"/>
        <s v="AutoHotkey Foundation LLC"/>
        <s v="Bambu Lab"/>
        <s v="Benito van der Zander "/>
        <s v="Synaptics"/>
        <s v="Broadcom "/>
        <s v="Bryce Harrington"/>
        <s v="Charles Lechasseur"/>
        <s v="Christian Schenk"/>
        <s v="Colin Mackie"/>
        <s v="DAX Studio"/>
        <s v="Dimitry Polivaev"/>
        <s v="Dominik Reichl"/>
        <s v="Don Ho"/>
        <s v="Eclipse Foundation"/>
        <s v="EWSoftware"/>
        <s v="Genotrance-Ganesh Viswanathan"/>
        <s v="Ghostgum Software"/>
        <s v="Git-Team"/>
        <s v="GlavSoft"/>
        <s v="Google"/>
        <s v="Gordon Lyon"/>
        <s v="GoTo"/>
        <s v="hikikomori82"/>
        <s v="Igor Pavlov"/>
        <s v="ImageWriter Developers"/>
        <s v="Inkscape/Bryce Harrington"/>
        <s v="item Industrietechnik"/>
        <s v="Jabra/GN Audio"/>
        <s v="Kaltura"/>
        <s v="Kapacity"/>
        <s v="Krzysztof Kowalczyk"/>
        <s v="Marek Jasinski"/>
        <s v="Martin Prikryl"/>
        <s v="MathWorks"/>
        <s v="Meltytech"/>
        <s v="Microsoft"/>
        <s v="Microsoft Sysinternals"/>
        <s v="Midox/Jamie O Connell"/>
        <s v="Mozilla"/>
        <s v="Multimedia"/>
        <s v="Node.js Foundation"/>
        <s v="OBS Studio Contributors"/>
        <s v="OBS Studio Contributors-TriCaster"/>
        <s v="Oracle"/>
        <s v="Pilz"/>
        <s v="Plantronics"/>
        <s v="PostgreSQL Global Development Group"/>
        <s v="PuTTY/Simon Tatham"/>
        <s v="RADACAD"/>
        <s v="Realtek"/>
        <s v="Red Hat"/>
        <s v="Riverbed Technology"/>
        <s v="SAP"/>
        <s v="SourceForge"/>
        <s v="SQLBI"/>
        <s v="Tabular Editor"/>
        <s v="Testo"/>
        <s v="The GIMP Team"/>
        <s v="The MathWorks"/>
        <s v="The R Foundation for Statistical Computing"/>
        <s v="UltraVNC"/>
        <s v="Vector Informatik"/>
        <s v="VideoLAN"/>
        <s v="VMware"/>
        <s v="Wireshark Development Team"/>
        <s v="Wireshark Foundation"/>
        <s v="Zebra Technologies"/>
        <m/>
      </sharedItems>
    </cacheField>
    <cacheField name="Product name" numFmtId="0">
      <sharedItems containsBlank="1"/>
    </cacheField>
    <cacheField name="Quantity" numFmtId="0">
      <sharedItems containsString="0" containsBlank="1" containsNumber="1" containsInteger="1" minValue="1" maxValue="448"/>
    </cacheField>
    <cacheField name="Free or OSS" numFmtId="0">
      <sharedItems containsBlank="1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sova Anastasiya (IOB/CSM3)" refreshedDate="46071.445296527774" createdVersion="8" refreshedVersion="8" minRefreshableVersion="3" recordCount="151" xr:uid="{88216EA1-56D8-43C9-BA4C-E95CC82979D5}">
  <cacheSource type="worksheet">
    <worksheetSource ref="A1:G1048576" sheet="Shopping List Astra 10.02.2026"/>
  </cacheSource>
  <cacheFields count="7">
    <cacheField name="Count" numFmtId="0">
      <sharedItems containsString="0" containsBlank="1" containsNumber="1" containsInteger="1" minValue="1" maxValue="150"/>
    </cacheField>
    <cacheField name="Vendor" numFmtId="0">
      <sharedItems containsBlank="1" count="33">
        <s v="Adobe"/>
        <s v="Altair"/>
        <s v="Anaconda"/>
        <s v="APIS Infromationstechnologie"/>
        <s v="Autodesk"/>
        <s v="Corel/Alludo "/>
        <s v="Dassault Systèmes"/>
        <s v="Hexagon"/>
        <s v="IBM"/>
        <s v="Irfan Skiljan"/>
        <s v="Learnpulse"/>
        <s v="MathWorks"/>
        <s v="Methodpark"/>
        <s v="Microsoft"/>
        <s v="Minitab"/>
        <s v="Mobatek"/>
        <s v="Open Text"/>
        <s v="Oracle (SAP)"/>
        <s v="PTC"/>
        <s v="Rocket Software"/>
        <s v="SAP"/>
        <s v="Siemens"/>
        <s v="Sparx Systems"/>
        <s v="TTS"/>
        <s v="Vector Informatik"/>
        <s v="Famos"/>
        <s v="Octoplant"/>
        <s v="Bensberg"/>
        <s v="Caresoft Global"/>
        <s v="Tenfold Securities"/>
        <s v="Digicert"/>
        <s v="Microsoft "/>
        <m/>
      </sharedItems>
    </cacheField>
    <cacheField name="Product name" numFmtId="0">
      <sharedItems containsBlank="1"/>
    </cacheField>
    <cacheField name="Quantity" numFmtId="0">
      <sharedItems containsBlank="1" containsMixedTypes="1" containsNumber="1" containsInteger="1" minValue="1" maxValue="600"/>
    </cacheField>
    <cacheField name="Metric " numFmtId="0">
      <sharedItems containsBlank="1"/>
    </cacheField>
    <cacheField name="Type of Payment" numFmtId="0">
      <sharedItems containsBlank="1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7">
  <r>
    <n v="1"/>
    <x v="0"/>
    <s v="Acrobat Reader DC"/>
    <n v="444"/>
    <s v="freeware"/>
    <s v="proprietory SW"/>
  </r>
  <r>
    <n v="2"/>
    <x v="0"/>
    <s v="Hotfix Installation Package for Adobe Reader DC and Acrobat"/>
    <n v="429"/>
    <s v="freeware"/>
    <s v="proprietory SW"/>
  </r>
  <r>
    <n v="3"/>
    <x v="1"/>
    <s v="ALM Toolkit for Power BI"/>
    <n v="36"/>
    <s v="Open Source Software (OSS)"/>
    <m/>
  </r>
  <r>
    <n v="4"/>
    <x v="2"/>
    <s v="OpenJDK 8 - Corretto for Creo"/>
    <n v="37"/>
    <s v="Open Source Software (OSS)"/>
    <m/>
  </r>
  <r>
    <n v="5"/>
    <x v="3"/>
    <s v="Anaconda Python 2020.07"/>
    <n v="2"/>
    <s v="Open Source Software (OSS)"/>
    <m/>
  </r>
  <r>
    <n v="6"/>
    <x v="4"/>
    <s v="PDF Split and Merge"/>
    <n v="256"/>
    <s v="Open Source Software (OSS)"/>
    <m/>
  </r>
  <r>
    <n v="7"/>
    <x v="5"/>
    <s v="HeidiSQL 11.x"/>
    <n v="1"/>
    <s v="Open Source Software (OSS)"/>
    <m/>
  </r>
  <r>
    <n v="8"/>
    <x v="6"/>
    <s v="Antoine Potten Ant Renamer 2.x"/>
    <n v="1"/>
    <s v="freeware"/>
    <m/>
  </r>
  <r>
    <n v="9"/>
    <x v="7"/>
    <s v="Apple iTunes"/>
    <n v="71"/>
    <s v="freeware"/>
    <s v="proprietory SW"/>
  </r>
  <r>
    <n v="10"/>
    <x v="8"/>
    <s v="Arduino Labs"/>
    <n v="1"/>
    <s v="Open Source Software (OSS)"/>
    <m/>
  </r>
  <r>
    <n v="11"/>
    <x v="9"/>
    <s v="Graphviz 12.x"/>
    <n v="1"/>
    <s v="Open Source Software (OSS)"/>
    <m/>
  </r>
  <r>
    <n v="12"/>
    <x v="10"/>
    <s v="SourceTree"/>
    <n v="5"/>
    <s v="freeware"/>
    <s v="proprietory SW"/>
  </r>
  <r>
    <n v="13"/>
    <x v="11"/>
    <s v="Autodesk Licensing Service 2020"/>
    <n v="27"/>
    <s v="freeware"/>
    <m/>
  </r>
  <r>
    <n v="14"/>
    <x v="11"/>
    <s v="DWG TrueView 2023"/>
    <n v="25"/>
    <s v="freeware"/>
    <s v="proprietory SW"/>
  </r>
  <r>
    <n v="15"/>
    <x v="11"/>
    <s v="Design Review "/>
    <n v="9"/>
    <s v="freeware"/>
    <s v="proprietory SW"/>
  </r>
  <r>
    <n v="16"/>
    <x v="12"/>
    <s v="AutoHotkey Foundation AutoHotkey 2.x"/>
    <n v="1"/>
    <s v="Open Source Software (OSS)"/>
    <m/>
  </r>
  <r>
    <n v="17"/>
    <x v="13"/>
    <s v="Bambu Studio"/>
    <n v="1"/>
    <s v="Open Source Software (OSS)"/>
    <m/>
  </r>
  <r>
    <n v="18"/>
    <x v="14"/>
    <s v="Benito van der Zander TeXstudio 2.x"/>
    <n v="3"/>
    <s v="Open Source Software (OSS)"/>
    <m/>
  </r>
  <r>
    <n v="19"/>
    <x v="15"/>
    <s v="USB Docker"/>
    <n v="335"/>
    <s v="freeware"/>
    <m/>
  </r>
  <r>
    <n v="20"/>
    <x v="16"/>
    <s v="VMware Workstation 16"/>
    <n v="1"/>
    <s v="freeware"/>
    <s v="proprietory SW"/>
  </r>
  <r>
    <n v="21"/>
    <x v="16"/>
    <s v="VMware Workstation Player 17"/>
    <n v="1"/>
    <s v="freeware"/>
    <s v="proprietory SW"/>
  </r>
  <r>
    <n v="22"/>
    <x v="17"/>
    <s v="InkScape"/>
    <n v="6"/>
    <s v="Open Source Software (OSS)"/>
    <m/>
  </r>
  <r>
    <n v="23"/>
    <x v="18"/>
    <s v="Path Copy Copy"/>
    <n v="444"/>
    <s v="Open Source Software (OSS)"/>
    <m/>
  </r>
  <r>
    <n v="24"/>
    <x v="19"/>
    <s v="MiKTeX 2.x"/>
    <n v="3"/>
    <s v="Open Source Software (OSS)"/>
    <m/>
  </r>
  <r>
    <n v="25"/>
    <x v="20"/>
    <s v="WinAuth"/>
    <n v="9"/>
    <s v="Open Source Software (OSS)"/>
    <m/>
  </r>
  <r>
    <n v="26"/>
    <x v="21"/>
    <s v="DAX Studio"/>
    <n v="36"/>
    <s v="Open Source Software (OSS)"/>
    <m/>
  </r>
  <r>
    <n v="27"/>
    <x v="22"/>
    <s v="Freeplane 1.x"/>
    <n v="1"/>
    <s v="freeware"/>
    <m/>
  </r>
  <r>
    <n v="28"/>
    <x v="23"/>
    <s v="KeePass "/>
    <n v="249"/>
    <s v="Open Source Software (OSS)"/>
    <m/>
  </r>
  <r>
    <n v="29"/>
    <x v="24"/>
    <s v="Notepad++ 64-bit"/>
    <n v="190"/>
    <s v="Open Source Software (OSS)"/>
    <m/>
  </r>
  <r>
    <n v="30"/>
    <x v="25"/>
    <s v="Eclipse Foundation Temurin 8.x"/>
    <n v="1"/>
    <s v="Open Source Software (OSS)"/>
    <m/>
  </r>
  <r>
    <n v="31"/>
    <x v="26"/>
    <s v="EWSoftware Sandcastle 24.x"/>
    <n v="1"/>
    <s v="Open Source Software (OSS)"/>
    <m/>
  </r>
  <r>
    <n v="32"/>
    <x v="27"/>
    <s v="Px for Windows"/>
    <n v="12"/>
    <s v="Open Source Software (OSS)"/>
    <m/>
  </r>
  <r>
    <n v="33"/>
    <x v="28"/>
    <s v="Ghostgum Software RedMon 1.x"/>
    <n v="41"/>
    <s v="freeware"/>
    <m/>
  </r>
  <r>
    <n v="34"/>
    <x v="29"/>
    <s v="Git for Windows"/>
    <n v="6"/>
    <s v="freeware"/>
    <m/>
  </r>
  <r>
    <n v="35"/>
    <x v="30"/>
    <s v="TightVNC 2.x"/>
    <n v="11"/>
    <s v="Open Source Software (OSS)"/>
    <m/>
  </r>
  <r>
    <n v="36"/>
    <x v="31"/>
    <s v="Google Chrome"/>
    <n v="229"/>
    <s v="freeware"/>
    <s v="proprietory SW"/>
  </r>
  <r>
    <n v="37"/>
    <x v="32"/>
    <s v=" Npcap "/>
    <n v="4"/>
    <s v="freeware"/>
    <m/>
  </r>
  <r>
    <n v="38"/>
    <x v="33"/>
    <s v="GoTo Opener 1.x"/>
    <n v="2"/>
    <s v="freeware"/>
    <m/>
  </r>
  <r>
    <n v="39"/>
    <x v="34"/>
    <s v="OSI Font"/>
    <n v="441"/>
    <s v="Open Source Software (OSS)"/>
    <m/>
  </r>
  <r>
    <n v="40"/>
    <x v="35"/>
    <s v="7-Zip"/>
    <n v="422"/>
    <s v="freeware"/>
    <m/>
  </r>
  <r>
    <n v="41"/>
    <x v="36"/>
    <s v="ImageWriter Developers Win32 Disk Imager 1.x"/>
    <n v="2"/>
    <s v="Open Source Software (OSS)"/>
    <m/>
  </r>
  <r>
    <n v="42"/>
    <x v="37"/>
    <s v="Inkscape"/>
    <n v="5"/>
    <s v="Open Source Software (OSS)"/>
    <m/>
  </r>
  <r>
    <n v="43"/>
    <x v="38"/>
    <s v="item Industrietechnik item MotionSoft 2 Win"/>
    <n v="1"/>
    <s v="freeware"/>
    <m/>
  </r>
  <r>
    <n v="44"/>
    <x v="39"/>
    <s v="Jabra Xpress 6.x"/>
    <n v="49"/>
    <s v="freeware"/>
    <s v="proprietory SW"/>
  </r>
  <r>
    <n v="45"/>
    <x v="39"/>
    <s v="Jabra Direct X20"/>
    <n v="42"/>
    <s v="freeware"/>
    <s v="proprietory SW"/>
  </r>
  <r>
    <n v="46"/>
    <x v="40"/>
    <s v="Kaltura Webcast Studio 4.x"/>
    <n v="1"/>
    <s v="Open Source Software (OSS)"/>
    <m/>
  </r>
  <r>
    <n v="47"/>
    <x v="41"/>
    <s v="Kapacity Tabular Editor 2.x"/>
    <n v="26"/>
    <s v="Open Source Software (OSS)"/>
    <m/>
  </r>
  <r>
    <n v="48"/>
    <x v="42"/>
    <s v="SumatraPDF 3.x"/>
    <n v="3"/>
    <s v="Open Source Software (OSS)"/>
    <m/>
  </r>
  <r>
    <n v="49"/>
    <x v="43"/>
    <s v="FreeCommander XE"/>
    <n v="216"/>
    <s v="freeware"/>
    <s v="proprietory SW"/>
  </r>
  <r>
    <n v="50"/>
    <x v="44"/>
    <s v="WinSCP FTP Client"/>
    <n v="7"/>
    <s v="Open Source Software (OSS)"/>
    <m/>
  </r>
  <r>
    <n v="51"/>
    <x v="45"/>
    <s v="The MathWorks MATLAB R2023b"/>
    <n v="23"/>
    <s v="freeware"/>
    <m/>
  </r>
  <r>
    <n v="52"/>
    <x v="45"/>
    <s v="MATLAB Runtime R2023b"/>
    <n v="1"/>
    <s v="freeware"/>
    <m/>
  </r>
  <r>
    <n v="53"/>
    <x v="46"/>
    <s v="Meltytech Shotcut 23.x"/>
    <n v="1"/>
    <s v="Open Source Software (OSS)"/>
    <m/>
  </r>
  <r>
    <n v="54"/>
    <x v="47"/>
    <s v="Visio Studio Code"/>
    <n v="17"/>
    <s v="freeware"/>
    <m/>
  </r>
  <r>
    <n v="55"/>
    <x v="47"/>
    <s v="Microsoft Visual C++ Runtime Redistributables"/>
    <n v="448"/>
    <s v="freeware"/>
    <s v="proprietory SW"/>
  </r>
  <r>
    <n v="56"/>
    <x v="47"/>
    <s v=".NET Core Desktop Runtime 8.0"/>
    <n v="441"/>
    <s v="Open Source Software (OSS)"/>
    <m/>
  </r>
  <r>
    <n v="57"/>
    <x v="47"/>
    <s v="Microsoft Edge WebView2"/>
    <n v="440"/>
    <s v="freeware"/>
    <m/>
  </r>
  <r>
    <n v="58"/>
    <x v="47"/>
    <s v="Microsoft Edge - Chromium"/>
    <n v="401"/>
    <s v="freeware"/>
    <m/>
  </r>
  <r>
    <n v="59"/>
    <x v="47"/>
    <s v=".NET Framework 4.8 KB5023322"/>
    <n v="44"/>
    <s v="Open Source Software (OSS)"/>
    <m/>
  </r>
  <r>
    <n v="60"/>
    <x v="47"/>
    <s v="Microsoft Power BI Desktop - Cloud"/>
    <n v="33"/>
    <s v="freeware"/>
    <m/>
  </r>
  <r>
    <n v="61"/>
    <x v="47"/>
    <s v=".NET Core Desktop Runtime 6.0"/>
    <n v="20"/>
    <s v="Open Source Software (OSS)"/>
    <m/>
  </r>
  <r>
    <n v="62"/>
    <x v="47"/>
    <s v="NET Core SDK 8.0"/>
    <n v="18"/>
    <s v="Open Source Software (OSS)"/>
    <m/>
  </r>
  <r>
    <n v="63"/>
    <x v="47"/>
    <s v="Microsoft Power BI - SAP BW drivers"/>
    <n v="13"/>
    <s v="freeware"/>
    <s v="proprietory SW"/>
  </r>
  <r>
    <n v="64"/>
    <x v="47"/>
    <s v="Microsoft Fabric (Free)"/>
    <n v="419"/>
    <s v="freeware"/>
    <m/>
  </r>
  <r>
    <n v="65"/>
    <x v="47"/>
    <s v="Microsoft Internet Explorer 11"/>
    <n v="444"/>
    <s v="freeware"/>
    <m/>
  </r>
  <r>
    <n v="66"/>
    <x v="47"/>
    <s v="Microsoft SQL Server 2019 Express"/>
    <n v="3"/>
    <s v="freeware"/>
    <m/>
  </r>
  <r>
    <n v="67"/>
    <x v="47"/>
    <s v="Microsoft SQL Server Management Studio (SSMS) V.19.x"/>
    <n v="1"/>
    <s v="freeware"/>
    <s v="proprietory SW"/>
  </r>
  <r>
    <n v="68"/>
    <x v="47"/>
    <s v="Remote Server Administration Tools"/>
    <n v="15"/>
    <s v="freeware"/>
    <m/>
  </r>
  <r>
    <n v="69"/>
    <x v="47"/>
    <s v="Reportviewer 2012"/>
    <n v="4"/>
    <s v="freeware"/>
    <m/>
  </r>
  <r>
    <n v="70"/>
    <x v="47"/>
    <s v="Wireless Display Adapter"/>
    <n v="7"/>
    <s v="freeware"/>
    <m/>
  </r>
  <r>
    <n v="71"/>
    <x v="47"/>
    <s v="Microsoft Power BI Desktop"/>
    <n v="42"/>
    <s v="freeware"/>
    <m/>
  </r>
  <r>
    <n v="72"/>
    <x v="47"/>
    <s v="Microsoft Power BI Report Builder"/>
    <n v="5"/>
    <s v="freeware"/>
    <m/>
  </r>
  <r>
    <n v="73"/>
    <x v="47"/>
    <s v="Microsoft SOAP Toolkit 3.x"/>
    <n v="2"/>
    <s v="freeware"/>
    <m/>
  </r>
  <r>
    <n v="74"/>
    <x v="47"/>
    <s v="Microsoft OpenJDK 11.x (NLRQ)"/>
    <n v="1"/>
    <s v="Open Source Software (OSS)"/>
    <m/>
  </r>
  <r>
    <n v="75"/>
    <x v="47"/>
    <s v="Microsoft Azure Data Factory 2015 Tools for Visual Studio"/>
    <n v="1"/>
    <s v="freeware"/>
    <m/>
  </r>
  <r>
    <n v="76"/>
    <x v="48"/>
    <s v="Microsoft Sysinternals Suite"/>
    <n v="1"/>
    <s v="freeware"/>
    <m/>
  </r>
  <r>
    <n v="77"/>
    <x v="49"/>
    <s v="Desktop Save &amp; Restore"/>
    <n v="223"/>
    <s v="Open Source Software (OSS)"/>
    <m/>
  </r>
  <r>
    <n v="78"/>
    <x v="50"/>
    <s v="Firefox 128 ESR"/>
    <n v="369"/>
    <s v="Open Source Software (OSS)"/>
    <m/>
  </r>
  <r>
    <n v="79"/>
    <x v="51"/>
    <s v="Multimedia Package NextGen"/>
    <n v="75"/>
    <s v="freeware"/>
    <m/>
  </r>
  <r>
    <n v="80"/>
    <x v="52"/>
    <s v="Node.js Foundation Node.js 20.x"/>
    <n v="1"/>
    <s v="Open Source Software (OSS)"/>
    <m/>
  </r>
  <r>
    <n v="81"/>
    <x v="53"/>
    <s v="Obs Studio 29.x"/>
    <n v="52"/>
    <s v="Open Source Software (OSS)"/>
    <m/>
  </r>
  <r>
    <n v="82"/>
    <x v="54"/>
    <s v="NDI-Streaming-Tools"/>
    <n v="51"/>
    <s v="freeware"/>
    <m/>
  </r>
  <r>
    <n v="83"/>
    <x v="55"/>
    <s v="Client 19c 32Bits"/>
    <n v="145"/>
    <s v="freeware"/>
    <s v="proprietory SW"/>
  </r>
  <r>
    <n v="84"/>
    <x v="55"/>
    <s v="Hotfix Package for Oracle Client 19c 32Bits"/>
    <n v="143"/>
    <s v="freeware"/>
    <s v="proprietory SW"/>
  </r>
  <r>
    <n v="85"/>
    <x v="55"/>
    <s v="Client 19c 64Bits"/>
    <n v="1"/>
    <s v="freeware"/>
    <s v="proprietory SW"/>
  </r>
  <r>
    <n v="86"/>
    <x v="55"/>
    <s v="Oracle MySQL 8.x Router"/>
    <n v="1"/>
    <s v="Open Source Software (OSS)"/>
    <m/>
  </r>
  <r>
    <n v="87"/>
    <x v="55"/>
    <s v="Oracle MySQL 8.x Workbench CE"/>
    <n v="1"/>
    <s v="Open Source Software (OSS)"/>
    <m/>
  </r>
  <r>
    <n v="88"/>
    <x v="55"/>
    <s v="Hotfix Package for Oracle Client 19c 64Bits"/>
    <n v="1"/>
    <s v="freeware"/>
    <s v="proprietory SW"/>
  </r>
  <r>
    <n v="89"/>
    <x v="56"/>
    <s v="Pilz PNOZmulti Configurator 10"/>
    <n v="2"/>
    <s v="freeware"/>
    <m/>
  </r>
  <r>
    <n v="90"/>
    <x v="57"/>
    <s v="Plantronics HUB"/>
    <n v="207"/>
    <s v="freeware"/>
    <s v="proprietory SW"/>
  </r>
  <r>
    <n v="91"/>
    <x v="58"/>
    <s v="PostgreSQL Global Development Group PostgreSQL 9.x"/>
    <n v="1"/>
    <s v="Open Source Software (OSS)"/>
    <m/>
  </r>
  <r>
    <n v="92"/>
    <x v="58"/>
    <s v="PostgreSQL 9.4"/>
    <n v="1"/>
    <s v="Open Source Software (OSS)"/>
    <m/>
  </r>
  <r>
    <n v="93"/>
    <x v="59"/>
    <s v="PuTTY"/>
    <n v="9"/>
    <s v="Open Source Software (OSS)"/>
    <m/>
  </r>
  <r>
    <n v="94"/>
    <x v="60"/>
    <s v="Power BI Helper"/>
    <n v="1"/>
    <s v="freeware"/>
    <m/>
  </r>
  <r>
    <n v="95"/>
    <x v="61"/>
    <s v="Realtek USB FE Family Controller"/>
    <n v="371"/>
    <s v="freeware"/>
    <s v="proprietory SW"/>
  </r>
  <r>
    <n v="96"/>
    <x v="62"/>
    <s v="OpenJDK 8 Redhat"/>
    <n v="401"/>
    <s v="Open Source Software (OSS)"/>
    <m/>
  </r>
  <r>
    <n v="97"/>
    <x v="62"/>
    <s v="OpenJDK JRE 11.0.9-3-redhat"/>
    <n v="1"/>
    <s v="Open Source Software (OSS)"/>
    <m/>
  </r>
  <r>
    <n v="98"/>
    <x v="62"/>
    <s v="OpenJDK 11 Red Hat"/>
    <n v="1"/>
    <s v="Open Source Software (OSS)"/>
    <m/>
  </r>
  <r>
    <n v="99"/>
    <x v="62"/>
    <s v="OpenJDK 17 RedHat"/>
    <n v="1"/>
    <s v="Open Source Software (OSS)"/>
    <m/>
  </r>
  <r>
    <n v="100"/>
    <x v="63"/>
    <s v="Riverbed Technology WinPcap 4.x"/>
    <n v="1"/>
    <s v="Open Source Software (OSS)"/>
    <m/>
  </r>
  <r>
    <n v="101"/>
    <x v="64"/>
    <s v="SAP GUI 8.00 (32-bit)"/>
    <n v="335"/>
    <s v="freeware"/>
    <m/>
  </r>
  <r>
    <n v="102"/>
    <x v="64"/>
    <s v="Engineering Client Viewer 10 for SAP GUI"/>
    <n v="242"/>
    <s v="freeware"/>
    <m/>
  </r>
  <r>
    <n v="103"/>
    <x v="64"/>
    <s v="SAP GUI 8.00 (64-bit)"/>
    <n v="92"/>
    <s v="freeware"/>
    <m/>
  </r>
  <r>
    <n v="104"/>
    <x v="64"/>
    <s v="Business Explorer BW - for SAP GUI 8.00"/>
    <n v="31"/>
    <s v="freeware"/>
    <m/>
  </r>
  <r>
    <n v="105"/>
    <x v="64"/>
    <s v="Microsoft Power BI - SAP BW drivers"/>
    <n v="13"/>
    <s v="freeware"/>
    <m/>
  </r>
  <r>
    <n v="106"/>
    <x v="65"/>
    <s v="Freemind 1.0.1"/>
    <n v="35"/>
    <s v="Open Source Software (OSS)"/>
    <m/>
  </r>
  <r>
    <n v="107"/>
    <x v="66"/>
    <s v="SQLBI Bravo for Power BI"/>
    <n v="1"/>
    <s v="Open Source Software (OSS)"/>
    <m/>
  </r>
  <r>
    <n v="108"/>
    <x v="67"/>
    <s v="Tabular Editor"/>
    <n v="2"/>
    <s v="Open Source Software (OSS)"/>
    <m/>
  </r>
  <r>
    <n v="109"/>
    <x v="68"/>
    <s v="Testo ComSoft Basic 5.x"/>
    <n v="1"/>
    <s v="freeware"/>
    <m/>
  </r>
  <r>
    <n v="110"/>
    <x v="69"/>
    <s v="GIMP "/>
    <n v="10"/>
    <s v="Open Source Software (OSS)"/>
    <m/>
  </r>
  <r>
    <n v="111"/>
    <x v="70"/>
    <s v="MATLAB Runtime Compiler R2019b"/>
    <n v="2"/>
    <s v="freeware"/>
    <m/>
  </r>
  <r>
    <n v="112"/>
    <x v="70"/>
    <s v="MATLAB Runtime R2020b"/>
    <n v="3"/>
    <s v="freeware"/>
    <m/>
  </r>
  <r>
    <n v="113"/>
    <x v="70"/>
    <s v="MATLAB Runtime R2022b"/>
    <n v="3"/>
    <s v="freeware"/>
    <m/>
  </r>
  <r>
    <n v="114"/>
    <x v="71"/>
    <s v="The R Foundation for Statistical Computing R (programming language) 3.x"/>
    <n v="5"/>
    <s v="Open Source Software (OSS)"/>
    <m/>
  </r>
  <r>
    <n v="115"/>
    <x v="72"/>
    <s v="UltraVNC 1.x"/>
    <n v="4"/>
    <s v="Open Source Software (OSS)"/>
    <m/>
  </r>
  <r>
    <n v="116"/>
    <x v="73"/>
    <s v="Vector Driver Setup"/>
    <n v="8"/>
    <s v="freeware"/>
    <m/>
  </r>
  <r>
    <n v="117"/>
    <x v="74"/>
    <s v="VideoLAN VLC Media Player 3.x"/>
    <n v="4"/>
    <s v="freeware"/>
    <m/>
  </r>
  <r>
    <n v="118"/>
    <x v="75"/>
    <s v="VMware Tools"/>
    <n v="9"/>
    <s v="freeware"/>
    <m/>
  </r>
  <r>
    <n v="119"/>
    <x v="76"/>
    <s v="Wireshark for SAW"/>
    <m/>
    <s v="Open Source Software (OSS)"/>
    <m/>
  </r>
  <r>
    <n v="120"/>
    <x v="77"/>
    <s v="Wireshark Analyzer Tool"/>
    <n v="1"/>
    <s v="Open Source Software (OSS)"/>
    <m/>
  </r>
  <r>
    <n v="121"/>
    <x v="78"/>
    <s v="Setup Utilities 1.x"/>
    <n v="10"/>
    <s v="freeware"/>
    <s v="proprietory SW"/>
  </r>
  <r>
    <n v="122"/>
    <x v="78"/>
    <s v="ZebraDesigner Essensials"/>
    <n v="1"/>
    <s v="freeware"/>
    <s v="proprietory SW"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  <r>
    <m/>
    <x v="79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">
  <r>
    <n v="1"/>
    <x v="0"/>
    <s v="Acrobat Standard DC"/>
    <n v="12"/>
    <s v="User"/>
    <s v="subscription"/>
    <m/>
  </r>
  <r>
    <n v="2"/>
    <x v="0"/>
    <s v="Acrobat Professional DC "/>
    <n v="4"/>
    <s v="User"/>
    <s v="subscription"/>
    <m/>
  </r>
  <r>
    <n v="3"/>
    <x v="0"/>
    <s v="Illustrator CC"/>
    <n v="4"/>
    <s v="User"/>
    <s v="subscription"/>
    <m/>
  </r>
  <r>
    <n v="4"/>
    <x v="1"/>
    <s v="Altair Token"/>
    <s v="1 license +30 tokens"/>
    <s v=" token floating"/>
    <s v="subscription"/>
    <m/>
  </r>
  <r>
    <n v="5"/>
    <x v="1"/>
    <s v="Hyperworks"/>
    <s v="1 license +30 tokens"/>
    <s v="token floating"/>
    <s v="subscription"/>
    <m/>
  </r>
  <r>
    <n v="6"/>
    <x v="2"/>
    <s v="Python Enterprice"/>
    <n v="16"/>
    <s v="User"/>
    <m/>
    <m/>
  </r>
  <r>
    <n v="7"/>
    <x v="3"/>
    <s v="IQ-FMEA-L"/>
    <n v="4"/>
    <s v="floating "/>
    <s v="perpetual "/>
    <m/>
  </r>
  <r>
    <n v="8"/>
    <x v="4"/>
    <s v="AutoCAD "/>
    <n v="8"/>
    <s v="User"/>
    <s v="subscription"/>
    <m/>
  </r>
  <r>
    <n v="9"/>
    <x v="4"/>
    <s v="Inventor Professional "/>
    <n v="10"/>
    <s v="User"/>
    <s v="subscription"/>
    <m/>
  </r>
  <r>
    <n v="10"/>
    <x v="4"/>
    <s v="Vault Professional "/>
    <n v="2"/>
    <s v="User"/>
    <s v="subscription"/>
    <m/>
  </r>
  <r>
    <n v="11"/>
    <x v="5"/>
    <s v="MindManager"/>
    <n v="5"/>
    <s v="User"/>
    <s v="subscription"/>
    <m/>
  </r>
  <r>
    <n v="12"/>
    <x v="6"/>
    <s v="CATIA V5 "/>
    <n v="4"/>
    <s v="concurrent/floating"/>
    <s v="perpetual "/>
    <s v="Modules: MD2 and ST1"/>
  </r>
  <r>
    <n v="13"/>
    <x v="6"/>
    <s v="eDrawings Profesional "/>
    <n v="36"/>
    <s v="User"/>
    <s v="subscription"/>
    <m/>
  </r>
  <r>
    <n v="14"/>
    <x v="6"/>
    <s v="SolidWorks"/>
    <n v="13"/>
    <s v="User"/>
    <s v="subscription"/>
    <m/>
  </r>
  <r>
    <n v="15"/>
    <x v="6"/>
    <s v="Abaqus "/>
    <n v="4"/>
    <s v="concurrent"/>
    <s v="subscription"/>
    <m/>
  </r>
  <r>
    <n v="16"/>
    <x v="7"/>
    <s v="Q-DAS 14 Notebook"/>
    <n v="5"/>
    <m/>
    <m/>
    <m/>
  </r>
  <r>
    <n v="17"/>
    <x v="8"/>
    <s v="IBM Doors (&quot;IBM Engineering Requirements Management DOORS family Authorized User License + SW Subscription &amp; Support 12 Months&quot;)"/>
    <n v="2"/>
    <s v="User"/>
    <m/>
    <m/>
  </r>
  <r>
    <n v="18"/>
    <x v="9"/>
    <s v="IrfanView 4.x 64bit"/>
    <n v="210"/>
    <s v="enterprise/corporate"/>
    <m/>
    <m/>
  </r>
  <r>
    <n v="19"/>
    <x v="10"/>
    <s v="ScreenPresso Pro "/>
    <n v="435"/>
    <s v="enterprise/corporate"/>
    <m/>
    <m/>
  </r>
  <r>
    <n v="20"/>
    <x v="11"/>
    <s v="MATLAB"/>
    <n v="7"/>
    <s v="named/specific user"/>
    <s v="subscription"/>
    <m/>
  </r>
  <r>
    <n v="21"/>
    <x v="11"/>
    <s v="Signal_Toolbox"/>
    <n v="5"/>
    <s v="named/specific user"/>
    <s v="subscription"/>
    <m/>
  </r>
  <r>
    <n v="22"/>
    <x v="11"/>
    <s v="SIMULINK"/>
    <n v="5"/>
    <s v="named/specific user"/>
    <s v="subscription"/>
    <m/>
  </r>
  <r>
    <n v="23"/>
    <x v="11"/>
    <s v="Simscape"/>
    <n v="4"/>
    <s v="named/specific user"/>
    <s v="subscription"/>
    <m/>
  </r>
  <r>
    <n v="24"/>
    <x v="11"/>
    <s v="Power_System_Blocks"/>
    <n v="3"/>
    <s v="named/specific user"/>
    <s v="subscription"/>
    <m/>
  </r>
  <r>
    <n v="25"/>
    <x v="11"/>
    <s v="Signal_Blocks"/>
    <n v="3"/>
    <s v="named/specific user"/>
    <s v="subscription"/>
    <m/>
  </r>
  <r>
    <n v="26"/>
    <x v="11"/>
    <s v="Stateflow"/>
    <n v="3"/>
    <s v="named/specific user"/>
    <s v="subscription"/>
    <m/>
  </r>
  <r>
    <n v="27"/>
    <x v="11"/>
    <s v="Control_Toolbox"/>
    <n v="2"/>
    <s v="named/specific user"/>
    <s v="subscription"/>
    <m/>
  </r>
  <r>
    <n v="28"/>
    <x v="11"/>
    <s v="Fixed_Point_Toolbox"/>
    <n v="2"/>
    <s v="named/specific user"/>
    <s v="subscription"/>
    <m/>
  </r>
  <r>
    <n v="29"/>
    <x v="11"/>
    <s v="RF_Blockset"/>
    <n v="2"/>
    <s v="named/specific user"/>
    <s v="subscription"/>
    <m/>
  </r>
  <r>
    <n v="30"/>
    <x v="11"/>
    <s v="RF_Toolbox"/>
    <n v="2"/>
    <s v="named/specific user"/>
    <s v="subscription"/>
    <m/>
  </r>
  <r>
    <n v="31"/>
    <x v="11"/>
    <s v="SimDriveline"/>
    <n v="2"/>
    <s v="named/specific user"/>
    <s v="subscription"/>
    <m/>
  </r>
  <r>
    <n v="32"/>
    <x v="11"/>
    <s v="System_Composer"/>
    <n v="2"/>
    <s v="named/specific user"/>
    <s v="subscription"/>
    <m/>
  </r>
  <r>
    <n v="33"/>
    <x v="11"/>
    <s v="AUTOSAR_Blockset"/>
    <n v="1"/>
    <s v="named/specific user"/>
    <s v="subscription"/>
    <m/>
  </r>
  <r>
    <n v="34"/>
    <x v="11"/>
    <s v="Cert_Kit_IEC"/>
    <n v="1"/>
    <s v="named/specific user"/>
    <s v="subscription"/>
    <m/>
  </r>
  <r>
    <n v="35"/>
    <x v="11"/>
    <s v="Identification_Toolbox"/>
    <n v="1"/>
    <s v="named/specific user"/>
    <s v="subscription"/>
    <m/>
  </r>
  <r>
    <n v="36"/>
    <x v="11"/>
    <s v="MATLAB_Coder"/>
    <n v="1"/>
    <s v="named/specific user"/>
    <s v="subscription"/>
    <m/>
  </r>
  <r>
    <n v="37"/>
    <x v="11"/>
    <s v="MATLAB_Report_Gen"/>
    <n v="1"/>
    <s v="named/specific user"/>
    <s v="subscription"/>
    <m/>
  </r>
  <r>
    <n v="38"/>
    <x v="11"/>
    <s v="Motor_Control_Blockset"/>
    <n v="1"/>
    <s v="named/specific user"/>
    <s v="subscription"/>
    <m/>
  </r>
  <r>
    <n v="39"/>
    <x v="11"/>
    <s v="Qual_Kit_DO"/>
    <n v="1"/>
    <s v="named/specific user"/>
    <s v="subscription"/>
    <m/>
  </r>
  <r>
    <n v="40"/>
    <x v="11"/>
    <s v="Real-Time_Workshop"/>
    <n v="1"/>
    <s v="named/specific user"/>
    <s v="subscription"/>
    <m/>
  </r>
  <r>
    <n v="41"/>
    <x v="11"/>
    <s v="RTW_Embedded_Coder"/>
    <n v="1"/>
    <s v="named/specific user"/>
    <s v="subscription"/>
    <m/>
  </r>
  <r>
    <n v="42"/>
    <x v="11"/>
    <s v="SimMechanics"/>
    <n v="1"/>
    <s v="named/specific user"/>
    <s v="subscription"/>
    <m/>
  </r>
  <r>
    <n v="43"/>
    <x v="11"/>
    <s v="Simscape_Battery"/>
    <n v="1"/>
    <s v="named/specific user"/>
    <s v="subscription"/>
    <m/>
  </r>
  <r>
    <n v="44"/>
    <x v="11"/>
    <s v="Simulink_Control_Design"/>
    <n v="1"/>
    <s v="named/specific user"/>
    <s v="subscription"/>
    <m/>
  </r>
  <r>
    <n v="45"/>
    <x v="11"/>
    <s v="Simulink_Coverage"/>
    <n v="1"/>
    <s v="named/specific user"/>
    <s v="subscription"/>
    <m/>
  </r>
  <r>
    <n v="46"/>
    <x v="11"/>
    <s v="Simulink_Design_Verifier"/>
    <n v="1"/>
    <s v="named/specific user"/>
    <s v="subscription"/>
    <m/>
  </r>
  <r>
    <n v="47"/>
    <x v="11"/>
    <s v="Simulink_HDL_Coder"/>
    <n v="1"/>
    <s v="named/specific user"/>
    <s v="subscription"/>
    <m/>
  </r>
  <r>
    <n v="48"/>
    <x v="11"/>
    <s v="Simulink_PLC_Coder"/>
    <n v="1"/>
    <s v="named/specific user"/>
    <s v="subscription"/>
    <m/>
  </r>
  <r>
    <n v="49"/>
    <x v="11"/>
    <s v="Simulink_Requirements"/>
    <n v="1"/>
    <s v="named/specific user"/>
    <s v="subscription"/>
    <m/>
  </r>
  <r>
    <n v="50"/>
    <x v="11"/>
    <s v="Simulink_Test"/>
    <n v="1"/>
    <s v="named/specific user"/>
    <s v="subscription"/>
    <m/>
  </r>
  <r>
    <n v="51"/>
    <x v="11"/>
    <s v="SL_Verification_Validation"/>
    <n v="1"/>
    <s v="named/specific user"/>
    <s v="subscription"/>
    <m/>
  </r>
  <r>
    <n v="52"/>
    <x v="11"/>
    <s v="Statistics_Toolbox"/>
    <n v="1"/>
    <s v="named/specific user"/>
    <s v="subscription"/>
    <m/>
  </r>
  <r>
    <n v="53"/>
    <x v="11"/>
    <s v="Vehicle_Network_Toolbox"/>
    <n v="1"/>
    <s v="named/specific user"/>
    <s v="subscription"/>
    <m/>
  </r>
  <r>
    <n v="54"/>
    <x v="11"/>
    <s v="XPC_Target"/>
    <n v="1"/>
    <s v="named/specific user"/>
    <s v="subscription"/>
    <m/>
  </r>
  <r>
    <n v="55"/>
    <x v="12"/>
    <s v="Stages Server License"/>
    <n v="1"/>
    <s v="server"/>
    <m/>
    <m/>
  </r>
  <r>
    <n v="56"/>
    <x v="12"/>
    <s v="Stages active users"/>
    <n v="10"/>
    <s v="User"/>
    <m/>
    <m/>
  </r>
  <r>
    <n v="57"/>
    <x v="12"/>
    <s v="Process Modeler (MODEL): "/>
    <n v="1"/>
    <s v="concurrent/floating"/>
    <m/>
    <m/>
  </r>
  <r>
    <n v="58"/>
    <x v="12"/>
    <s v="Process Contributor "/>
    <n v="1"/>
    <s v="concurrent/floating"/>
    <m/>
    <m/>
  </r>
  <r>
    <n v="59"/>
    <x v="13"/>
    <s v="SQL Server Standard"/>
    <s v="5 servers x 4 cores"/>
    <s v="core"/>
    <m/>
    <s v="in clarification"/>
  </r>
  <r>
    <n v="60"/>
    <x v="13"/>
    <s v="Microsoft Defender Suite (Defender Suite Sub Per User)"/>
    <n v="500"/>
    <s v="User"/>
    <s v="subscription"/>
    <s v="required for M365 migration"/>
  </r>
  <r>
    <n v="61"/>
    <x v="13"/>
    <s v="Windows 11 Multilingual Userinterface"/>
    <n v="363"/>
    <m/>
    <m/>
    <s v="in clarification"/>
  </r>
  <r>
    <n v="62"/>
    <x v="13"/>
    <s v="Standard IT-User, M365 E3"/>
    <n v="500"/>
    <s v="User"/>
    <s v="subscription"/>
    <s v="required for M365 migration"/>
  </r>
  <r>
    <n v="63"/>
    <x v="13"/>
    <s v="Microsoft VisioPro 64-Bit Edition for Office 365 (Visio Professional ALng  with SA)"/>
    <n v="61"/>
    <s v="User"/>
    <s v="perpetual "/>
    <m/>
  </r>
  <r>
    <n v="64"/>
    <x v="13"/>
    <s v="Visual Studio Professional w. GitHub Enterprise (Visual Studio Pro with GitHub ALng ; only available in EA/EAS _x000a_alternatively Visual Studio Pro and GitHub Enterprise as stand-alone license)"/>
    <n v="12"/>
    <s v="User"/>
    <s v="perpetual "/>
    <m/>
  </r>
  <r>
    <n v="65"/>
    <x v="13"/>
    <s v="Microsoft SQL Server 2022 Express"/>
    <n v="6"/>
    <m/>
    <m/>
    <s v="in clarification"/>
  </r>
  <r>
    <n v="66"/>
    <x v="13"/>
    <s v="Windows Server 2025 Standard (Win Server Standard Core ALng 2CoreLic) =&gt; 28 Packs"/>
    <n v="56"/>
    <s v="core"/>
    <m/>
    <m/>
  </r>
  <r>
    <n v="67"/>
    <x v="13"/>
    <s v="Exchange Server on Premise (Enterprise) Exchange Server Enterprise ALng LSA"/>
    <n v="1"/>
    <m/>
    <m/>
    <m/>
  </r>
  <r>
    <n v="68"/>
    <x v="13"/>
    <s v="Microsoft Copilot Studio User License"/>
    <n v="2"/>
    <s v="User"/>
    <s v="subscription"/>
    <m/>
  </r>
  <r>
    <n v="69"/>
    <x v="13"/>
    <s v="Communication Credits"/>
    <n v="419"/>
    <s v="User"/>
    <s v="free of payment"/>
    <m/>
  </r>
  <r>
    <n v="70"/>
    <x v="13"/>
    <s v="Microsoft 365 Audio Conferencing Pay-Per-Minute (Audio Conferencing Pay Per Min Sub Per User)"/>
    <n v="377"/>
    <s v="User"/>
    <s v="subscription"/>
    <m/>
  </r>
  <r>
    <n v="71"/>
    <x v="13"/>
    <s v="Microsoft System Center Configuration Manager 2022 Client Management License OSE (unknown language) (Microsoft Endpoint Configuration Manager Client Management License per OSE)"/>
    <n v="600"/>
    <m/>
    <m/>
    <m/>
  </r>
  <r>
    <n v="72"/>
    <x v="13"/>
    <s v="Microsoft Teams Phone Standard User (Teams Phone Standard Sub Per User)"/>
    <n v="70"/>
    <s v="User"/>
    <s v="subscription"/>
    <m/>
  </r>
  <r>
    <n v="73"/>
    <x v="13"/>
    <s v="Microsoft Windows Professional"/>
    <n v="92"/>
    <s v="device"/>
    <s v="perpetual "/>
    <m/>
  </r>
  <r>
    <n v="74"/>
    <x v="13"/>
    <s v="Microsoft Exchange Online Plan 2 User (Exchange Online P2 Sub Per User)"/>
    <n v="37"/>
    <s v="User"/>
    <s v="subscription"/>
    <m/>
  </r>
  <r>
    <n v="75"/>
    <x v="13"/>
    <s v="Microsoft Visio Plan 2 (Visio P2 Sub Per User)"/>
    <n v="23"/>
    <s v="User"/>
    <s v="subscription"/>
    <m/>
  </r>
  <r>
    <n v="76"/>
    <x v="13"/>
    <s v="Microsoft Windows 11 Professional (unknown language) (Windows 11 Pro (Per Device))"/>
    <n v="22"/>
    <s v="device"/>
    <s v="subscription"/>
    <m/>
  </r>
  <r>
    <n v="77"/>
    <x v="13"/>
    <s v="Microsoft Project Plan 3 User (Planner &amp; Project P3 Sub Per User)"/>
    <n v="18"/>
    <s v="User"/>
    <s v="subscription"/>
    <m/>
  </r>
  <r>
    <n v="78"/>
    <x v="13"/>
    <s v="Microsoft Project Professional for Office 365 Client User Application (Project Professional Alng with SA)"/>
    <n v="20"/>
    <s v="User"/>
    <s v="perpetual "/>
    <m/>
  </r>
  <r>
    <n v="79"/>
    <x v="13"/>
    <s v="Microsoft Visual Studio Professional (Visual Studio Professional Subscription)"/>
    <n v="15"/>
    <s v="User"/>
    <s v="subscription"/>
    <m/>
  </r>
  <r>
    <n v="80"/>
    <x v="13"/>
    <s v="Windows Server 2025 Data Center Edition (Win Server Datacenter Core ALng 2CoreLic) =&gt; 192 packs"/>
    <n v="384"/>
    <s v="core"/>
    <m/>
    <m/>
  </r>
  <r>
    <n v="81"/>
    <x v="13"/>
    <s v="Microsoft Power BI Professional User (Power BI Pro Sub Per User)"/>
    <s v="4"/>
    <s v="User"/>
    <s v="subscription"/>
    <m/>
  </r>
  <r>
    <n v="82"/>
    <x v="13"/>
    <s v=" Planner Plan 1 (Web-Version) oder Planner &amp; Project P3"/>
    <n v="9"/>
    <s v="User"/>
    <s v="subscription"/>
    <s v="in clarification"/>
  </r>
  <r>
    <n v="83"/>
    <x v="13"/>
    <s v="Microsoft Visual Studio 2022 Enterprise (Visual Studio Ent MSDN 2026 Alng)"/>
    <n v="1"/>
    <s v="User"/>
    <s v="subscription"/>
    <m/>
  </r>
  <r>
    <n v="84"/>
    <x v="13"/>
    <s v="RDS CALs with Software Assurance"/>
    <n v="40"/>
    <s v="User"/>
    <m/>
    <m/>
  </r>
  <r>
    <n v="85"/>
    <x v="14"/>
    <s v="Minitab Statistical 22 "/>
    <n v="23"/>
    <s v="User"/>
    <s v="subscription"/>
    <m/>
  </r>
  <r>
    <n v="86"/>
    <x v="15"/>
    <s v="MobaXterm Professional "/>
    <n v="2"/>
    <s v="User"/>
    <s v="perpetual "/>
    <m/>
  </r>
  <r>
    <n v="87"/>
    <x v="16"/>
    <s v="Opentext Imaging Windows Viewer"/>
    <n v="439"/>
    <s v="enterprise/corporate"/>
    <m/>
    <m/>
  </r>
  <r>
    <n v="88"/>
    <x v="16"/>
    <s v="OpenText Enterprise Scan 22"/>
    <n v="5"/>
    <s v="enterprise/corporate"/>
    <m/>
    <m/>
  </r>
  <r>
    <n v="89"/>
    <x v="17"/>
    <s v="Database Enterprise Edition"/>
    <n v="375"/>
    <s v="named user"/>
    <s v="Perpetual or Term License"/>
    <s v="TSA"/>
  </r>
  <r>
    <n v="90"/>
    <x v="17"/>
    <s v="Tuning Pack"/>
    <n v="375"/>
    <s v="named user"/>
    <s v="Perpetual or Term License"/>
    <s v="TSA"/>
  </r>
  <r>
    <n v="91"/>
    <x v="17"/>
    <s v="Partinioning"/>
    <n v="375"/>
    <s v="named user"/>
    <s v="Perpetual or Term License"/>
    <s v="TSA"/>
  </r>
  <r>
    <n v="92"/>
    <x v="17"/>
    <s v="Advanced Compression"/>
    <n v="375"/>
    <s v="named user"/>
    <s v="Perpetual or Term License"/>
    <s v="TSA"/>
  </r>
  <r>
    <n v="93"/>
    <x v="17"/>
    <s v="Diagnostics Pack"/>
    <n v="375"/>
    <s v="named user"/>
    <s v="Perpetual or Term License"/>
    <s v="TSA"/>
  </r>
  <r>
    <n v="94"/>
    <x v="17"/>
    <s v="Database-In-Memory (auf PFK und PF5)"/>
    <n v="375"/>
    <s v="named user"/>
    <s v="Perpetual or Term License"/>
    <s v="TSA"/>
  </r>
  <r>
    <n v="95"/>
    <x v="17"/>
    <s v="Oracle Database Server"/>
    <n v="2"/>
    <s v="core"/>
    <m/>
    <s v="TSA"/>
  </r>
  <r>
    <n v="96"/>
    <x v="18"/>
    <s v="Creo (Advanced T2)"/>
    <n v="30"/>
    <s v="floating"/>
    <s v="subscription"/>
    <m/>
  </r>
  <r>
    <n v="97"/>
    <x v="18"/>
    <s v="PTC-WindchillPDMLink-Creo (•_x0009_Windchill Base_x000a_•_x0009_Windchill Creo Data Management &amp; Visualization_x000a_)"/>
    <n v="30"/>
    <s v="User"/>
    <s v="subscription"/>
    <m/>
  </r>
  <r>
    <n v="98"/>
    <x v="18"/>
    <s v="PTC Creo Standalone (•_x0009_Creo Advanced Assembly Extension - Global License_x000a_•_x0009_Creo Design Essentials Global (no PLM included)_x000a_)"/>
    <n v="6"/>
    <s v="User"/>
    <s v="subscription"/>
    <m/>
  </r>
  <r>
    <n v="99"/>
    <x v="18"/>
    <s v="PTC-WindchillPDMLink-eBOM-Creo"/>
    <n v="12"/>
    <s v="User"/>
    <s v="subscription"/>
    <m/>
  </r>
  <r>
    <n v="100"/>
    <x v="18"/>
    <s v="PTC-WindchillPDMLink-Contributor (Contributor License)"/>
    <n v="9"/>
    <s v="User"/>
    <s v="subscription"/>
    <m/>
  </r>
  <r>
    <n v="101"/>
    <x v="18"/>
    <s v="MathCAD Prime"/>
    <n v="3"/>
    <s v="User"/>
    <s v="subscription"/>
    <m/>
  </r>
  <r>
    <n v="102"/>
    <x v="19"/>
    <s v="Remote Desktop 2024 "/>
    <n v="1"/>
    <s v="enterprise/corporate"/>
    <m/>
    <m/>
  </r>
  <r>
    <n v="103"/>
    <x v="20"/>
    <s v="Professional User"/>
    <n v="241"/>
    <s v="User"/>
    <m/>
    <s v="in clarification, BD terms and conditions applicable"/>
  </r>
  <r>
    <n v="104"/>
    <x v="20"/>
    <s v="7017272 SAP S/4HANA Cloud Private Edition, product lifecycle management"/>
    <n v="127"/>
    <s v="User"/>
    <m/>
    <s v="in clarification, BD terms and conditions applicable"/>
  </r>
  <r>
    <n v="105"/>
    <x v="20"/>
    <s v="Logistic User"/>
    <n v="62"/>
    <s v="User"/>
    <m/>
    <s v="in clarification, BD terms and conditions applicable"/>
  </r>
  <r>
    <n v="106"/>
    <x v="20"/>
    <s v="Worker User"/>
    <n v="60"/>
    <s v="User"/>
    <m/>
    <s v="in clarification, BD terms and conditions applicable"/>
  </r>
  <r>
    <n v="107"/>
    <x v="20"/>
    <s v="7018211 SAP Enterprise Product Engineering"/>
    <n v="27"/>
    <s v="User"/>
    <m/>
    <s v="in clarification, BD terms and conditions applicable"/>
  </r>
  <r>
    <n v="108"/>
    <x v="20"/>
    <s v="Development User"/>
    <n v="12"/>
    <s v="User"/>
    <m/>
    <s v="in clarificationin clarification, BD terms and conditions applicable"/>
  </r>
  <r>
    <n v="109"/>
    <x v="20"/>
    <s v="7017375 SAP Shared Service Framework, Human Resources"/>
    <n v="5"/>
    <s v="User"/>
    <m/>
    <s v="in clarification, BD terms and conditions applicable"/>
  </r>
  <r>
    <n v="110"/>
    <x v="20"/>
    <s v="7017523 SAP Just-in-time Inbound Process for Auto"/>
    <n v="1"/>
    <s v="Calls"/>
    <m/>
    <s v="in clarificationin clarification, BD terms and conditions applicable"/>
  </r>
  <r>
    <n v="111"/>
    <x v="21"/>
    <s v="TC Visualization Pro Plus"/>
    <n v="30"/>
    <s v="concurrent/floating"/>
    <s v="subscription"/>
    <m/>
  </r>
  <r>
    <n v="112"/>
    <x v="21"/>
    <s v="JT Bi-Directional Translator for STEP"/>
    <n v="15"/>
    <s v="concurrent/floating"/>
    <s v="subscription"/>
    <m/>
  </r>
  <r>
    <n v="113"/>
    <x v="21"/>
    <s v="DXF File Open for TC Vis"/>
    <n v="2"/>
    <s v="concurrent/floating"/>
    <s v="subscription"/>
    <m/>
  </r>
  <r>
    <n v="114"/>
    <x v="21"/>
    <s v="_x0009_IGES File Open for TC Vis"/>
    <n v="1"/>
    <s v="concurrent"/>
    <s v="subscription"/>
    <m/>
  </r>
  <r>
    <n v="115"/>
    <x v="21"/>
    <s v="Teamcenter Author"/>
    <n v="1"/>
    <s v="User"/>
    <s v="subscription"/>
    <m/>
  </r>
  <r>
    <n v="116"/>
    <x v="21"/>
    <s v="NX Gateway"/>
    <n v="1"/>
    <s v="User"/>
    <s v="subscription"/>
    <m/>
  </r>
  <r>
    <n v="117"/>
    <x v="21"/>
    <s v="NX Assembly"/>
    <n v="1"/>
    <s v="User"/>
    <s v="subscription"/>
    <m/>
  </r>
  <r>
    <n v="118"/>
    <x v="21"/>
    <s v="NX Drafting"/>
    <n v="1"/>
    <s v="User"/>
    <s v="subscription"/>
    <m/>
  </r>
  <r>
    <n v="119"/>
    <x v="21"/>
    <s v="NX Solid Modeling"/>
    <n v="1"/>
    <s v="User"/>
    <s v="subscription"/>
    <m/>
  </r>
  <r>
    <n v="120"/>
    <x v="21"/>
    <s v="NX Features Modeling"/>
    <n v="1"/>
    <s v="User"/>
    <s v="subscription"/>
    <m/>
  </r>
  <r>
    <n v="121"/>
    <x v="21"/>
    <s v="NX DXFDWG Translator"/>
    <n v="1"/>
    <s v="User"/>
    <s v="subscription"/>
    <m/>
  </r>
  <r>
    <n v="122"/>
    <x v="21"/>
    <s v="NX STEP AP214 Translator"/>
    <n v="1"/>
    <s v="User"/>
    <s v="subscription"/>
    <m/>
  </r>
  <r>
    <n v="123"/>
    <x v="21"/>
    <s v="NX Render"/>
    <n v="1"/>
    <s v="User"/>
    <s v="subscription"/>
    <m/>
  </r>
  <r>
    <n v="124"/>
    <x v="21"/>
    <s v="NX Visualize Shape"/>
    <n v="1"/>
    <s v="User"/>
    <s v="subscription"/>
    <m/>
  </r>
  <r>
    <n v="125"/>
    <x v="21"/>
    <s v="JT Bi-Directional Translator for CATIA V"/>
    <n v="1"/>
    <s v="concurrent/floating"/>
    <s v="subscription"/>
    <m/>
  </r>
  <r>
    <n v="126"/>
    <x v="22"/>
    <s v="Enterprise Architect Corporate"/>
    <n v="9"/>
    <s v="floating "/>
    <s v="perpetual +maintanance"/>
    <m/>
  </r>
  <r>
    <n v="127"/>
    <x v="23"/>
    <s v="Quick Access Enhanced with Recording (TTSPS)"/>
    <n v="441"/>
    <s v="device"/>
    <s v="subscription"/>
    <m/>
  </r>
  <r>
    <n v="128"/>
    <x v="24"/>
    <s v="CANape"/>
    <n v="3"/>
    <s v="name user, name user devise "/>
    <s v="perpetual +maintanance"/>
    <m/>
  </r>
  <r>
    <n v="129"/>
    <x v="24"/>
    <s v="CANdb++ "/>
    <n v="11"/>
    <s v="name user, name user devise "/>
    <s v="perpetual +maintanance"/>
    <m/>
  </r>
  <r>
    <n v="130"/>
    <x v="24"/>
    <s v="vTESTstudio "/>
    <n v="11"/>
    <s v="name user, name user devise "/>
    <s v="perpetual +maintanance"/>
    <m/>
  </r>
  <r>
    <n v="131"/>
    <x v="24"/>
    <s v="vFlash 7 Standard Win"/>
    <n v="2"/>
    <s v="name user, name user devise "/>
    <s v="perpetual +maintanance"/>
    <m/>
  </r>
  <r>
    <n v="132"/>
    <x v="24"/>
    <s v="CANoe PRO"/>
    <n v="2"/>
    <s v="name user, name user devise "/>
    <s v="perpetual +maintanance"/>
    <m/>
  </r>
  <r>
    <n v="133"/>
    <x v="25"/>
    <s v="IMC Famos Professional"/>
    <n v="10"/>
    <m/>
    <m/>
    <m/>
  </r>
  <r>
    <n v="134"/>
    <x v="25"/>
    <s v="IMC Studio Professional"/>
    <n v="8"/>
    <m/>
    <m/>
    <m/>
  </r>
  <r>
    <n v="135"/>
    <x v="13"/>
    <s v="Insider Risk Management"/>
    <n v="500"/>
    <s v="User"/>
    <m/>
    <m/>
  </r>
  <r>
    <n v="136"/>
    <x v="26"/>
    <s v="VersionDog"/>
    <s v="6 computers, 1500 components"/>
    <m/>
    <m/>
    <m/>
  </r>
  <r>
    <n v="137"/>
    <x v="20"/>
    <s v="ACS 109 - Streckenabwicklung SD"/>
    <n v="1"/>
    <s v="corporate license"/>
    <m/>
    <s v="quote available"/>
  </r>
  <r>
    <n v="138"/>
    <x v="20"/>
    <s v="ACS 109_3  -  Streckenabwicklung JIT"/>
    <n v="1"/>
    <s v="corporate license"/>
    <m/>
    <s v="quote available"/>
  </r>
  <r>
    <n v="139"/>
    <x v="20"/>
    <s v="ACS 39 - EDI Monitor Lieferavise"/>
    <n v="1"/>
    <s v="corporate license"/>
    <m/>
    <s v="quote available"/>
  </r>
  <r>
    <n v="140"/>
    <x v="20"/>
    <s v="ACS 216 - VDA Formular 4939"/>
    <n v="1"/>
    <s v="corporate license"/>
    <m/>
    <s v="quote available"/>
  </r>
  <r>
    <n v="141"/>
    <x v="20"/>
    <s v="ACS 132  - QM Cockpit"/>
    <n v="1"/>
    <s v="corporate license"/>
    <m/>
    <s v="quote available"/>
  </r>
  <r>
    <n v="142"/>
    <x v="20"/>
    <s v="ACS 133 - QM Customer 8D"/>
    <n v="1"/>
    <s v="corporate license"/>
    <m/>
    <s v="quote available"/>
  </r>
  <r>
    <n v="143"/>
    <x v="20"/>
    <s v="ACS 134  - QM Supplier 8D"/>
    <n v="1"/>
    <s v="corporate license"/>
    <m/>
    <s v="quote available"/>
  </r>
  <r>
    <n v="144"/>
    <x v="20"/>
    <s v="ACS 138  - QM DMS"/>
    <n v="1"/>
    <s v="corporate license"/>
    <m/>
    <s v="quote available"/>
  </r>
  <r>
    <n v="145"/>
    <x v="13"/>
    <s v="Microsoft SQL Server 2019 Express"/>
    <n v="3"/>
    <m/>
    <m/>
    <s v="in clarification"/>
  </r>
  <r>
    <n v="146"/>
    <x v="27"/>
    <s v="Angebot – Mandant P1C (Bosch AS, Vendôme)"/>
    <s v="see quote"/>
    <m/>
    <m/>
    <s v="quote available"/>
  </r>
  <r>
    <n v="147"/>
    <x v="28"/>
    <s v="Iceberg benchmark portal "/>
    <m/>
    <m/>
    <m/>
    <s v="in clarification"/>
  </r>
  <r>
    <n v="148"/>
    <x v="29"/>
    <s v="IAM tool"/>
    <m/>
    <m/>
    <m/>
    <s v="securiry related, no procurement required"/>
  </r>
  <r>
    <n v="149"/>
    <x v="30"/>
    <s v="Encryption Software"/>
    <n v="350"/>
    <m/>
    <m/>
    <s v="security related, already ordered, no procurement required "/>
  </r>
  <r>
    <n v="150"/>
    <x v="31"/>
    <s v="Microsoft Office 2016 Professional Plus (unknown language)"/>
    <n v="17"/>
    <s v="User"/>
    <s v="perpetual "/>
    <m/>
  </r>
  <r>
    <m/>
    <x v="3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2084D1-A5E6-40BD-93D5-5733E9E378E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7" firstHeaderRow="1" firstDataRow="1" firstDataCol="1"/>
  <pivotFields count="7">
    <pivotField showAll="0"/>
    <pivotField axis="axisRow" showAll="0">
      <items count="34">
        <item x="11"/>
        <item x="13"/>
        <item x="20"/>
        <item x="21"/>
        <item x="17"/>
        <item x="18"/>
        <item x="24"/>
        <item x="12"/>
        <item x="6"/>
        <item x="0"/>
        <item x="4"/>
        <item x="1"/>
        <item x="16"/>
        <item x="25"/>
        <item x="7"/>
        <item x="2"/>
        <item x="3"/>
        <item x="5"/>
        <item x="8"/>
        <item x="9"/>
        <item x="10"/>
        <item x="14"/>
        <item x="15"/>
        <item x="26"/>
        <item x="19"/>
        <item x="22"/>
        <item x="23"/>
        <item x="32"/>
        <item x="27"/>
        <item x="28"/>
        <item x="29"/>
        <item x="30"/>
        <item x="31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1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Count of Product 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C9C1DD-2DCC-491E-BCE0-A834B237115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4" firstHeaderRow="1" firstDataRow="1" firstDataCol="1"/>
  <pivotFields count="6">
    <pivotField showAll="0"/>
    <pivotField axis="axisRow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15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dataField="1" showAll="0"/>
    <pivotField showAll="0"/>
    <pivotField showAll="0"/>
    <pivotField showAll="0"/>
  </pivotFields>
  <rowFields count="1">
    <field x="1"/>
  </rowFields>
  <rowItems count="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 t="grand">
      <x/>
    </i>
  </rowItems>
  <colItems count="1">
    <i/>
  </colItems>
  <dataFields count="1">
    <dataField name="Count of Product 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93F598D-5E85-48EA-9025-532AB63CA46D}" name="Tabelle18" displayName="Tabelle18" ref="A9:G157" totalsRowShown="0" headerRowDxfId="16" dataDxfId="15">
  <autoFilter ref="A9:G157" xr:uid="{A2CC1DB8-A044-49D8-AFB9-3634A08A9F63}"/>
  <tableColumns count="7">
    <tableColumn id="15" xr3:uid="{15844B76-BDB4-4FE8-B67F-7EE154925B30}" name="#" dataDxfId="14"/>
    <tableColumn id="2" xr3:uid="{4A928947-9CD2-4083-A130-19D2EBC21405}" name="Vendor" dataDxfId="13"/>
    <tableColumn id="3" xr3:uid="{409009E2-D05F-4DCE-9778-E015F5006F0E}" name="Product name" dataDxfId="12" dataCellStyle="Standard 2"/>
    <tableColumn id="4" xr3:uid="{36CB4EB5-070E-4057-8748-227380D0C8AD}" name="Quantity" dataDxfId="11" dataCellStyle="Standard 2"/>
    <tableColumn id="7" xr3:uid="{F73ECC82-A1C2-49AC-A6BC-283C18AF91C9}" name="Metric " dataDxfId="10" dataCellStyle="Standard 2"/>
    <tableColumn id="11" xr3:uid="{2F08202F-16FD-423D-B59B-A1A9D5356E52}" name="Type of Payment*" dataDxfId="9" dataCellStyle="Standard 2"/>
    <tableColumn id="13" xr3:uid="{B24EDE0B-929A-4E28-A01A-FE037FBD8473}" name="Notes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FB71816-E9DA-410B-9654-2F9624BC0787}" name="Tabelle19" displayName="Tabelle19" ref="B7:G130" totalsRowShown="0" headerRowDxfId="7" dataDxfId="6">
  <autoFilter ref="B7:G130" xr:uid="{A2CC1DB8-A044-49D8-AFB9-3634A08A9F63}"/>
  <tableColumns count="6">
    <tableColumn id="23" xr3:uid="{5BEC1A47-257E-493D-9079-D1B1CD61CE1E}" name="#" dataDxfId="5"/>
    <tableColumn id="2" xr3:uid="{C2362FCF-3B57-44C9-B544-1E3A60FAFD49}" name="Vendor" dataDxfId="4"/>
    <tableColumn id="3" xr3:uid="{0E8DFE48-35A1-4865-99D8-5819FE26C9FC}" name="Product name" dataDxfId="3" dataCellStyle="Standard 2"/>
    <tableColumn id="4" xr3:uid="{3647FC4C-7CFB-4DC2-A118-D92E6785057F}" name="Quantity" dataDxfId="2" dataCellStyle="Standard 2"/>
    <tableColumn id="18" xr3:uid="{429D80BC-DEE1-48BC-BB78-70FA2B7977B1}" name="Free or OSS" dataDxfId="1"/>
    <tableColumn id="15" xr3:uid="{D22D3102-2109-4C15-98E6-8AD64F8C3C49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3554F-13F1-4602-9DAD-A708FC1E83FC}">
  <dimension ref="A1:B37"/>
  <sheetViews>
    <sheetView workbookViewId="0">
      <selection activeCell="B10" sqref="B10"/>
    </sheetView>
  </sheetViews>
  <sheetFormatPr defaultColWidth="8.88671875" defaultRowHeight="13.2" x14ac:dyDescent="0.25"/>
  <cols>
    <col min="1" max="1" width="25.44140625" bestFit="1" customWidth="1"/>
    <col min="2" max="2" width="21.6640625" bestFit="1" customWidth="1"/>
  </cols>
  <sheetData>
    <row r="1" spans="1:2" x14ac:dyDescent="0.25">
      <c r="A1" s="59" t="s">
        <v>0</v>
      </c>
      <c r="B1" s="60"/>
    </row>
    <row r="3" spans="1:2" x14ac:dyDescent="0.25">
      <c r="A3" s="6" t="s">
        <v>1</v>
      </c>
      <c r="B3" t="s">
        <v>2</v>
      </c>
    </row>
    <row r="4" spans="1:2" x14ac:dyDescent="0.25">
      <c r="A4" s="7" t="s">
        <v>3</v>
      </c>
      <c r="B4">
        <v>35</v>
      </c>
    </row>
    <row r="5" spans="1:2" x14ac:dyDescent="0.25">
      <c r="A5" s="7" t="s">
        <v>4</v>
      </c>
      <c r="B5">
        <v>28</v>
      </c>
    </row>
    <row r="6" spans="1:2" x14ac:dyDescent="0.25">
      <c r="A6" s="7" t="s">
        <v>5</v>
      </c>
      <c r="B6">
        <v>16</v>
      </c>
    </row>
    <row r="7" spans="1:2" x14ac:dyDescent="0.25">
      <c r="A7" s="7" t="s">
        <v>6</v>
      </c>
      <c r="B7">
        <v>15</v>
      </c>
    </row>
    <row r="8" spans="1:2" x14ac:dyDescent="0.25">
      <c r="A8" s="7" t="s">
        <v>7</v>
      </c>
      <c r="B8">
        <v>7</v>
      </c>
    </row>
    <row r="9" spans="1:2" x14ac:dyDescent="0.25">
      <c r="A9" s="7" t="s">
        <v>8</v>
      </c>
      <c r="B9">
        <v>6</v>
      </c>
    </row>
    <row r="10" spans="1:2" x14ac:dyDescent="0.25">
      <c r="A10" s="7" t="s">
        <v>9</v>
      </c>
      <c r="B10">
        <v>5</v>
      </c>
    </row>
    <row r="11" spans="1:2" x14ac:dyDescent="0.25">
      <c r="A11" s="7" t="s">
        <v>10</v>
      </c>
      <c r="B11">
        <v>4</v>
      </c>
    </row>
    <row r="12" spans="1:2" x14ac:dyDescent="0.25">
      <c r="A12" s="7" t="s">
        <v>11</v>
      </c>
      <c r="B12">
        <v>4</v>
      </c>
    </row>
    <row r="13" spans="1:2" x14ac:dyDescent="0.25">
      <c r="A13" s="7" t="s">
        <v>12</v>
      </c>
      <c r="B13">
        <v>3</v>
      </c>
    </row>
    <row r="14" spans="1:2" x14ac:dyDescent="0.25">
      <c r="A14" s="7" t="s">
        <v>13</v>
      </c>
      <c r="B14">
        <v>3</v>
      </c>
    </row>
    <row r="15" spans="1:2" x14ac:dyDescent="0.25">
      <c r="A15" s="7" t="s">
        <v>14</v>
      </c>
      <c r="B15">
        <v>2</v>
      </c>
    </row>
    <row r="16" spans="1:2" x14ac:dyDescent="0.25">
      <c r="A16" s="7" t="s">
        <v>15</v>
      </c>
      <c r="B16">
        <v>2</v>
      </c>
    </row>
    <row r="17" spans="1:2" x14ac:dyDescent="0.25">
      <c r="A17" s="7" t="s">
        <v>16</v>
      </c>
      <c r="B17">
        <v>2</v>
      </c>
    </row>
    <row r="18" spans="1:2" x14ac:dyDescent="0.25">
      <c r="A18" s="7" t="s">
        <v>17</v>
      </c>
      <c r="B18">
        <v>1</v>
      </c>
    </row>
    <row r="19" spans="1:2" x14ac:dyDescent="0.25">
      <c r="A19" s="7" t="s">
        <v>18</v>
      </c>
      <c r="B19">
        <v>1</v>
      </c>
    </row>
    <row r="20" spans="1:2" x14ac:dyDescent="0.25">
      <c r="A20" s="7" t="s">
        <v>19</v>
      </c>
      <c r="B20">
        <v>1</v>
      </c>
    </row>
    <row r="21" spans="1:2" x14ac:dyDescent="0.25">
      <c r="A21" s="7" t="s">
        <v>20</v>
      </c>
      <c r="B21">
        <v>1</v>
      </c>
    </row>
    <row r="22" spans="1:2" x14ac:dyDescent="0.25">
      <c r="A22" s="7" t="s">
        <v>21</v>
      </c>
      <c r="B22">
        <v>1</v>
      </c>
    </row>
    <row r="23" spans="1:2" x14ac:dyDescent="0.25">
      <c r="A23" s="7" t="s">
        <v>22</v>
      </c>
      <c r="B23">
        <v>1</v>
      </c>
    </row>
    <row r="24" spans="1:2" x14ac:dyDescent="0.25">
      <c r="A24" s="7" t="s">
        <v>23</v>
      </c>
      <c r="B24">
        <v>1</v>
      </c>
    </row>
    <row r="25" spans="1:2" x14ac:dyDescent="0.25">
      <c r="A25" s="7" t="s">
        <v>24</v>
      </c>
      <c r="B25">
        <v>1</v>
      </c>
    </row>
    <row r="26" spans="1:2" x14ac:dyDescent="0.25">
      <c r="A26" s="7" t="s">
        <v>25</v>
      </c>
      <c r="B26">
        <v>1</v>
      </c>
    </row>
    <row r="27" spans="1:2" x14ac:dyDescent="0.25">
      <c r="A27" s="7" t="s">
        <v>26</v>
      </c>
      <c r="B27">
        <v>1</v>
      </c>
    </row>
    <row r="28" spans="1:2" x14ac:dyDescent="0.25">
      <c r="A28" s="7" t="s">
        <v>27</v>
      </c>
      <c r="B28">
        <v>1</v>
      </c>
    </row>
    <row r="29" spans="1:2" x14ac:dyDescent="0.25">
      <c r="A29" s="7" t="s">
        <v>28</v>
      </c>
      <c r="B29">
        <v>1</v>
      </c>
    </row>
    <row r="30" spans="1:2" x14ac:dyDescent="0.25">
      <c r="A30" s="7" t="s">
        <v>29</v>
      </c>
      <c r="B30">
        <v>1</v>
      </c>
    </row>
    <row r="31" spans="1:2" hidden="1" x14ac:dyDescent="0.25">
      <c r="A31" s="7" t="s">
        <v>30</v>
      </c>
    </row>
    <row r="32" spans="1:2" x14ac:dyDescent="0.25">
      <c r="A32" s="7" t="s">
        <v>31</v>
      </c>
      <c r="B32">
        <v>1</v>
      </c>
    </row>
    <row r="33" spans="1:2" x14ac:dyDescent="0.25">
      <c r="A33" s="7" t="s">
        <v>32</v>
      </c>
      <c r="B33">
        <v>1</v>
      </c>
    </row>
    <row r="34" spans="1:2" x14ac:dyDescent="0.25">
      <c r="A34" s="7" t="s">
        <v>33</v>
      </c>
      <c r="B34">
        <v>1</v>
      </c>
    </row>
    <row r="35" spans="1:2" x14ac:dyDescent="0.25">
      <c r="A35" s="7" t="s">
        <v>34</v>
      </c>
      <c r="B35">
        <v>1</v>
      </c>
    </row>
    <row r="36" spans="1:2" x14ac:dyDescent="0.25">
      <c r="A36" s="7" t="s">
        <v>35</v>
      </c>
      <c r="B36">
        <v>1</v>
      </c>
    </row>
    <row r="37" spans="1:2" x14ac:dyDescent="0.25">
      <c r="A37" s="7" t="s">
        <v>36</v>
      </c>
      <c r="B37">
        <v>150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70A97-479F-4486-BD84-7B534E18BDD7}">
  <dimension ref="A1:B84"/>
  <sheetViews>
    <sheetView workbookViewId="0">
      <selection activeCell="I29" sqref="I29"/>
    </sheetView>
  </sheetViews>
  <sheetFormatPr defaultColWidth="8.88671875" defaultRowHeight="13.2" x14ac:dyDescent="0.25"/>
  <cols>
    <col min="1" max="1" width="36.44140625" bestFit="1" customWidth="1"/>
    <col min="2" max="2" width="21.5546875" bestFit="1" customWidth="1"/>
  </cols>
  <sheetData>
    <row r="1" spans="1:2" x14ac:dyDescent="0.25">
      <c r="A1" s="8" t="s">
        <v>37</v>
      </c>
    </row>
    <row r="3" spans="1:2" x14ac:dyDescent="0.25">
      <c r="A3" s="6" t="s">
        <v>1</v>
      </c>
      <c r="B3" t="s">
        <v>2</v>
      </c>
    </row>
    <row r="4" spans="1:2" x14ac:dyDescent="0.25">
      <c r="A4" s="7" t="s">
        <v>12</v>
      </c>
      <c r="B4">
        <v>2</v>
      </c>
    </row>
    <row r="5" spans="1:2" x14ac:dyDescent="0.25">
      <c r="A5" s="7" t="s">
        <v>38</v>
      </c>
      <c r="B5">
        <v>1</v>
      </c>
    </row>
    <row r="6" spans="1:2" x14ac:dyDescent="0.25">
      <c r="A6" s="7" t="s">
        <v>39</v>
      </c>
      <c r="B6">
        <v>1</v>
      </c>
    </row>
    <row r="7" spans="1:2" x14ac:dyDescent="0.25">
      <c r="A7" s="7" t="s">
        <v>18</v>
      </c>
      <c r="B7">
        <v>1</v>
      </c>
    </row>
    <row r="8" spans="1:2" x14ac:dyDescent="0.25">
      <c r="A8" s="7" t="s">
        <v>40</v>
      </c>
      <c r="B8">
        <v>1</v>
      </c>
    </row>
    <row r="9" spans="1:2" x14ac:dyDescent="0.25">
      <c r="A9" s="7" t="s">
        <v>41</v>
      </c>
      <c r="B9">
        <v>1</v>
      </c>
    </row>
    <row r="10" spans="1:2" x14ac:dyDescent="0.25">
      <c r="A10" s="7" t="s">
        <v>42</v>
      </c>
      <c r="B10">
        <v>1</v>
      </c>
    </row>
    <row r="11" spans="1:2" x14ac:dyDescent="0.25">
      <c r="A11" s="7" t="s">
        <v>43</v>
      </c>
      <c r="B11">
        <v>1</v>
      </c>
    </row>
    <row r="12" spans="1:2" x14ac:dyDescent="0.25">
      <c r="A12" s="7" t="s">
        <v>44</v>
      </c>
      <c r="B12">
        <v>1</v>
      </c>
    </row>
    <row r="13" spans="1:2" x14ac:dyDescent="0.25">
      <c r="A13" s="7" t="s">
        <v>45</v>
      </c>
      <c r="B13">
        <v>1</v>
      </c>
    </row>
    <row r="14" spans="1:2" x14ac:dyDescent="0.25">
      <c r="A14" s="7" t="s">
        <v>46</v>
      </c>
      <c r="B14">
        <v>1</v>
      </c>
    </row>
    <row r="15" spans="1:2" x14ac:dyDescent="0.25">
      <c r="A15" s="7" t="s">
        <v>13</v>
      </c>
      <c r="B15">
        <v>3</v>
      </c>
    </row>
    <row r="16" spans="1:2" x14ac:dyDescent="0.25">
      <c r="A16" s="7" t="s">
        <v>47</v>
      </c>
      <c r="B16">
        <v>1</v>
      </c>
    </row>
    <row r="17" spans="1:2" x14ac:dyDescent="0.25">
      <c r="A17" s="7" t="s">
        <v>48</v>
      </c>
      <c r="B17">
        <v>1</v>
      </c>
    </row>
    <row r="18" spans="1:2" x14ac:dyDescent="0.25">
      <c r="A18" s="7" t="s">
        <v>49</v>
      </c>
      <c r="B18">
        <v>1</v>
      </c>
    </row>
    <row r="19" spans="1:2" x14ac:dyDescent="0.25">
      <c r="A19" s="7" t="s">
        <v>50</v>
      </c>
      <c r="B19">
        <v>2</v>
      </c>
    </row>
    <row r="20" spans="1:2" x14ac:dyDescent="0.25">
      <c r="A20" s="7" t="s">
        <v>51</v>
      </c>
      <c r="B20">
        <v>1</v>
      </c>
    </row>
    <row r="21" spans="1:2" x14ac:dyDescent="0.25">
      <c r="A21" s="7" t="s">
        <v>52</v>
      </c>
      <c r="B21">
        <v>1</v>
      </c>
    </row>
    <row r="22" spans="1:2" x14ac:dyDescent="0.25">
      <c r="A22" s="7" t="s">
        <v>53</v>
      </c>
      <c r="B22">
        <v>1</v>
      </c>
    </row>
    <row r="23" spans="1:2" x14ac:dyDescent="0.25">
      <c r="A23" s="7" t="s">
        <v>54</v>
      </c>
      <c r="B23">
        <v>1</v>
      </c>
    </row>
    <row r="24" spans="1:2" x14ac:dyDescent="0.25">
      <c r="A24" s="7" t="s">
        <v>55</v>
      </c>
      <c r="B24">
        <v>1</v>
      </c>
    </row>
    <row r="25" spans="1:2" x14ac:dyDescent="0.25">
      <c r="A25" s="7" t="s">
        <v>56</v>
      </c>
      <c r="B25">
        <v>1</v>
      </c>
    </row>
    <row r="26" spans="1:2" x14ac:dyDescent="0.25">
      <c r="A26" s="7" t="s">
        <v>57</v>
      </c>
      <c r="B26">
        <v>1</v>
      </c>
    </row>
    <row r="27" spans="1:2" x14ac:dyDescent="0.25">
      <c r="A27" s="7" t="s">
        <v>58</v>
      </c>
      <c r="B27">
        <v>1</v>
      </c>
    </row>
    <row r="28" spans="1:2" x14ac:dyDescent="0.25">
      <c r="A28" s="7" t="s">
        <v>59</v>
      </c>
      <c r="B28">
        <v>1</v>
      </c>
    </row>
    <row r="29" spans="1:2" x14ac:dyDescent="0.25">
      <c r="A29" s="7" t="s">
        <v>60</v>
      </c>
      <c r="B29">
        <v>1</v>
      </c>
    </row>
    <row r="30" spans="1:2" x14ac:dyDescent="0.25">
      <c r="A30" s="7" t="s">
        <v>61</v>
      </c>
      <c r="B30">
        <v>1</v>
      </c>
    </row>
    <row r="31" spans="1:2" x14ac:dyDescent="0.25">
      <c r="A31" s="7" t="s">
        <v>62</v>
      </c>
      <c r="B31">
        <v>1</v>
      </c>
    </row>
    <row r="32" spans="1:2" x14ac:dyDescent="0.25">
      <c r="A32" s="7" t="s">
        <v>63</v>
      </c>
      <c r="B32">
        <v>1</v>
      </c>
    </row>
    <row r="33" spans="1:2" x14ac:dyDescent="0.25">
      <c r="A33" s="7" t="s">
        <v>64</v>
      </c>
      <c r="B33">
        <v>1</v>
      </c>
    </row>
    <row r="34" spans="1:2" x14ac:dyDescent="0.25">
      <c r="A34" s="7" t="s">
        <v>65</v>
      </c>
      <c r="B34">
        <v>1</v>
      </c>
    </row>
    <row r="35" spans="1:2" x14ac:dyDescent="0.25">
      <c r="A35" s="7" t="s">
        <v>66</v>
      </c>
      <c r="B35">
        <v>1</v>
      </c>
    </row>
    <row r="36" spans="1:2" x14ac:dyDescent="0.25">
      <c r="A36" s="7" t="s">
        <v>67</v>
      </c>
      <c r="B36">
        <v>1</v>
      </c>
    </row>
    <row r="37" spans="1:2" x14ac:dyDescent="0.25">
      <c r="A37" s="7" t="s">
        <v>68</v>
      </c>
      <c r="B37">
        <v>1</v>
      </c>
    </row>
    <row r="38" spans="1:2" x14ac:dyDescent="0.25">
      <c r="A38" s="7" t="s">
        <v>69</v>
      </c>
      <c r="B38">
        <v>1</v>
      </c>
    </row>
    <row r="39" spans="1:2" x14ac:dyDescent="0.25">
      <c r="A39" s="7" t="s">
        <v>70</v>
      </c>
      <c r="B39">
        <v>1</v>
      </c>
    </row>
    <row r="40" spans="1:2" x14ac:dyDescent="0.25">
      <c r="A40" s="7" t="s">
        <v>71</v>
      </c>
      <c r="B40">
        <v>1</v>
      </c>
    </row>
    <row r="41" spans="1:2" x14ac:dyDescent="0.25">
      <c r="A41" s="7" t="s">
        <v>72</v>
      </c>
      <c r="B41">
        <v>1</v>
      </c>
    </row>
    <row r="42" spans="1:2" x14ac:dyDescent="0.25">
      <c r="A42" s="7" t="s">
        <v>73</v>
      </c>
      <c r="B42">
        <v>2</v>
      </c>
    </row>
    <row r="43" spans="1:2" x14ac:dyDescent="0.25">
      <c r="A43" s="7" t="s">
        <v>74</v>
      </c>
      <c r="B43">
        <v>1</v>
      </c>
    </row>
    <row r="44" spans="1:2" x14ac:dyDescent="0.25">
      <c r="A44" s="7" t="s">
        <v>75</v>
      </c>
      <c r="B44">
        <v>1</v>
      </c>
    </row>
    <row r="45" spans="1:2" x14ac:dyDescent="0.25">
      <c r="A45" s="7" t="s">
        <v>76</v>
      </c>
      <c r="B45">
        <v>1</v>
      </c>
    </row>
    <row r="46" spans="1:2" x14ac:dyDescent="0.25">
      <c r="A46" s="7" t="s">
        <v>77</v>
      </c>
      <c r="B46">
        <v>1</v>
      </c>
    </row>
    <row r="47" spans="1:2" x14ac:dyDescent="0.25">
      <c r="A47" s="7" t="s">
        <v>78</v>
      </c>
      <c r="B47">
        <v>1</v>
      </c>
    </row>
    <row r="48" spans="1:2" x14ac:dyDescent="0.25">
      <c r="A48" s="7" t="s">
        <v>3</v>
      </c>
      <c r="B48">
        <v>2</v>
      </c>
    </row>
    <row r="49" spans="1:2" x14ac:dyDescent="0.25">
      <c r="A49" s="7" t="s">
        <v>79</v>
      </c>
      <c r="B49">
        <v>1</v>
      </c>
    </row>
    <row r="50" spans="1:2" x14ac:dyDescent="0.25">
      <c r="A50" s="7" t="s">
        <v>4</v>
      </c>
      <c r="B50">
        <v>22</v>
      </c>
    </row>
    <row r="51" spans="1:2" x14ac:dyDescent="0.25">
      <c r="A51" s="7" t="s">
        <v>80</v>
      </c>
      <c r="B51">
        <v>1</v>
      </c>
    </row>
    <row r="52" spans="1:2" x14ac:dyDescent="0.25">
      <c r="A52" s="7" t="s">
        <v>81</v>
      </c>
      <c r="B52">
        <v>1</v>
      </c>
    </row>
    <row r="53" spans="1:2" x14ac:dyDescent="0.25">
      <c r="A53" s="7" t="s">
        <v>82</v>
      </c>
      <c r="B53">
        <v>1</v>
      </c>
    </row>
    <row r="54" spans="1:2" x14ac:dyDescent="0.25">
      <c r="A54" s="7" t="s">
        <v>83</v>
      </c>
      <c r="B54">
        <v>1</v>
      </c>
    </row>
    <row r="55" spans="1:2" x14ac:dyDescent="0.25">
      <c r="A55" s="7" t="s">
        <v>84</v>
      </c>
      <c r="B55">
        <v>1</v>
      </c>
    </row>
    <row r="56" spans="1:2" x14ac:dyDescent="0.25">
      <c r="A56" s="7" t="s">
        <v>85</v>
      </c>
      <c r="B56">
        <v>1</v>
      </c>
    </row>
    <row r="57" spans="1:2" x14ac:dyDescent="0.25">
      <c r="A57" s="7" t="s">
        <v>86</v>
      </c>
      <c r="B57">
        <v>1</v>
      </c>
    </row>
    <row r="58" spans="1:2" x14ac:dyDescent="0.25">
      <c r="A58" s="7" t="s">
        <v>87</v>
      </c>
      <c r="B58">
        <v>6</v>
      </c>
    </row>
    <row r="59" spans="1:2" x14ac:dyDescent="0.25">
      <c r="A59" s="7" t="s">
        <v>88</v>
      </c>
      <c r="B59">
        <v>1</v>
      </c>
    </row>
    <row r="60" spans="1:2" x14ac:dyDescent="0.25">
      <c r="A60" s="7" t="s">
        <v>89</v>
      </c>
      <c r="B60">
        <v>1</v>
      </c>
    </row>
    <row r="61" spans="1:2" x14ac:dyDescent="0.25">
      <c r="A61" s="7" t="s">
        <v>90</v>
      </c>
      <c r="B61">
        <v>2</v>
      </c>
    </row>
    <row r="62" spans="1:2" x14ac:dyDescent="0.25">
      <c r="A62" s="7" t="s">
        <v>91</v>
      </c>
      <c r="B62">
        <v>1</v>
      </c>
    </row>
    <row r="63" spans="1:2" x14ac:dyDescent="0.25">
      <c r="A63" s="7" t="s">
        <v>92</v>
      </c>
      <c r="B63">
        <v>1</v>
      </c>
    </row>
    <row r="64" spans="1:2" x14ac:dyDescent="0.25">
      <c r="A64" s="7" t="s">
        <v>93</v>
      </c>
      <c r="B64">
        <v>1</v>
      </c>
    </row>
    <row r="65" spans="1:2" x14ac:dyDescent="0.25">
      <c r="A65" s="7" t="s">
        <v>94</v>
      </c>
      <c r="B65">
        <v>4</v>
      </c>
    </row>
    <row r="66" spans="1:2" x14ac:dyDescent="0.25">
      <c r="A66" s="7" t="s">
        <v>95</v>
      </c>
      <c r="B66">
        <v>1</v>
      </c>
    </row>
    <row r="67" spans="1:2" x14ac:dyDescent="0.25">
      <c r="A67" s="7" t="s">
        <v>5</v>
      </c>
      <c r="B67">
        <v>5</v>
      </c>
    </row>
    <row r="68" spans="1:2" x14ac:dyDescent="0.25">
      <c r="A68" s="7" t="s">
        <v>96</v>
      </c>
      <c r="B68">
        <v>1</v>
      </c>
    </row>
    <row r="69" spans="1:2" x14ac:dyDescent="0.25">
      <c r="A69" s="7" t="s">
        <v>97</v>
      </c>
      <c r="B69">
        <v>1</v>
      </c>
    </row>
    <row r="70" spans="1:2" x14ac:dyDescent="0.25">
      <c r="A70" s="7" t="s">
        <v>98</v>
      </c>
      <c r="B70">
        <v>1</v>
      </c>
    </row>
    <row r="71" spans="1:2" x14ac:dyDescent="0.25">
      <c r="A71" s="7" t="s">
        <v>99</v>
      </c>
      <c r="B71">
        <v>1</v>
      </c>
    </row>
    <row r="72" spans="1:2" x14ac:dyDescent="0.25">
      <c r="A72" s="7" t="s">
        <v>100</v>
      </c>
      <c r="B72">
        <v>1</v>
      </c>
    </row>
    <row r="73" spans="1:2" x14ac:dyDescent="0.25">
      <c r="A73" s="7" t="s">
        <v>101</v>
      </c>
      <c r="B73">
        <v>1</v>
      </c>
    </row>
    <row r="74" spans="1:2" x14ac:dyDescent="0.25">
      <c r="A74" s="7" t="s">
        <v>102</v>
      </c>
      <c r="B74">
        <v>3</v>
      </c>
    </row>
    <row r="75" spans="1:2" x14ac:dyDescent="0.25">
      <c r="A75" s="7" t="s">
        <v>103</v>
      </c>
      <c r="B75">
        <v>1</v>
      </c>
    </row>
    <row r="76" spans="1:2" x14ac:dyDescent="0.25">
      <c r="A76" s="7" t="s">
        <v>104</v>
      </c>
      <c r="B76">
        <v>1</v>
      </c>
    </row>
    <row r="77" spans="1:2" x14ac:dyDescent="0.25">
      <c r="A77" s="7" t="s">
        <v>9</v>
      </c>
      <c r="B77">
        <v>1</v>
      </c>
    </row>
    <row r="78" spans="1:2" x14ac:dyDescent="0.25">
      <c r="A78" s="7" t="s">
        <v>105</v>
      </c>
      <c r="B78">
        <v>1</v>
      </c>
    </row>
    <row r="79" spans="1:2" x14ac:dyDescent="0.25">
      <c r="A79" s="7" t="s">
        <v>106</v>
      </c>
      <c r="B79">
        <v>1</v>
      </c>
    </row>
    <row r="80" spans="1:2" x14ac:dyDescent="0.25">
      <c r="A80" s="7" t="s">
        <v>107</v>
      </c>
      <c r="B80">
        <v>1</v>
      </c>
    </row>
    <row r="81" spans="1:2" x14ac:dyDescent="0.25">
      <c r="A81" s="7" t="s">
        <v>108</v>
      </c>
      <c r="B81">
        <v>1</v>
      </c>
    </row>
    <row r="82" spans="1:2" x14ac:dyDescent="0.25">
      <c r="A82" s="7" t="s">
        <v>109</v>
      </c>
      <c r="B82">
        <v>2</v>
      </c>
    </row>
    <row r="83" spans="1:2" hidden="1" x14ac:dyDescent="0.25">
      <c r="A83" s="7" t="s">
        <v>30</v>
      </c>
    </row>
    <row r="84" spans="1:2" x14ac:dyDescent="0.25">
      <c r="A84" s="7" t="s">
        <v>36</v>
      </c>
      <c r="B84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48065-D1CE-4062-809D-44066F8E7487}">
  <dimension ref="A2:H157"/>
  <sheetViews>
    <sheetView showGridLines="0" tabSelected="1" zoomScaleNormal="100" workbookViewId="0">
      <selection activeCell="C16" sqref="C1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11.44140625" defaultRowHeight="13.2" x14ac:dyDescent="0.25"/>
  <cols>
    <col min="1" max="1" width="11.88671875" style="4" customWidth="1"/>
    <col min="2" max="2" width="23.5546875" customWidth="1"/>
    <col min="3" max="3" width="66" style="28" customWidth="1"/>
    <col min="4" max="4" width="21.6640625" style="4" customWidth="1"/>
    <col min="5" max="5" width="25.5546875" style="4" customWidth="1"/>
    <col min="6" max="6" width="26.88671875" style="4" customWidth="1"/>
    <col min="7" max="7" width="52" customWidth="1"/>
    <col min="8" max="8" width="28.44140625" customWidth="1"/>
    <col min="9" max="13" width="11.44140625" customWidth="1"/>
  </cols>
  <sheetData>
    <row r="2" spans="1:7" ht="21" x14ac:dyDescent="0.25">
      <c r="A2" s="33" t="s">
        <v>110</v>
      </c>
    </row>
    <row r="3" spans="1:7" x14ac:dyDescent="0.25">
      <c r="A3" s="34" t="s">
        <v>111</v>
      </c>
      <c r="B3" s="29"/>
      <c r="C3" s="30"/>
      <c r="D3" s="31"/>
      <c r="E3" s="31"/>
      <c r="F3" s="31"/>
      <c r="G3" s="29"/>
    </row>
    <row r="4" spans="1:7" x14ac:dyDescent="0.25">
      <c r="A4" s="32"/>
    </row>
    <row r="5" spans="1:7" x14ac:dyDescent="0.25">
      <c r="A5" s="61" t="s">
        <v>112</v>
      </c>
      <c r="B5" s="61"/>
      <c r="C5" s="61"/>
    </row>
    <row r="6" spans="1:7" x14ac:dyDescent="0.25">
      <c r="A6" s="61" t="s">
        <v>113</v>
      </c>
      <c r="B6" s="61"/>
      <c r="C6" s="61"/>
    </row>
    <row r="7" spans="1:7" x14ac:dyDescent="0.25">
      <c r="A7" s="7"/>
    </row>
    <row r="8" spans="1:7" x14ac:dyDescent="0.25">
      <c r="A8" s="7"/>
    </row>
    <row r="9" spans="1:7" x14ac:dyDescent="0.25">
      <c r="A9" s="56" t="s">
        <v>114</v>
      </c>
      <c r="B9" s="45" t="s">
        <v>115</v>
      </c>
      <c r="C9" s="46" t="s">
        <v>116</v>
      </c>
      <c r="D9" s="45" t="s">
        <v>117</v>
      </c>
      <c r="E9" s="45" t="s">
        <v>118</v>
      </c>
      <c r="F9" s="45" t="s">
        <v>119</v>
      </c>
      <c r="G9" s="47" t="s">
        <v>120</v>
      </c>
    </row>
    <row r="10" spans="1:7" ht="12.6" customHeight="1" x14ac:dyDescent="0.25">
      <c r="A10" s="56">
        <v>1</v>
      </c>
      <c r="B10" s="45" t="s">
        <v>12</v>
      </c>
      <c r="C10" s="48" t="s">
        <v>121</v>
      </c>
      <c r="D10" s="49">
        <v>12</v>
      </c>
      <c r="E10" s="49" t="s">
        <v>122</v>
      </c>
      <c r="F10" s="49" t="s">
        <v>123</v>
      </c>
      <c r="G10" s="45"/>
    </row>
    <row r="11" spans="1:7" ht="12.6" customHeight="1" x14ac:dyDescent="0.25">
      <c r="A11" s="56">
        <f>A10+1</f>
        <v>2</v>
      </c>
      <c r="B11" s="45" t="s">
        <v>12</v>
      </c>
      <c r="C11" s="48" t="s">
        <v>124</v>
      </c>
      <c r="D11" s="49">
        <v>4</v>
      </c>
      <c r="E11" s="49" t="s">
        <v>122</v>
      </c>
      <c r="F11" s="49" t="s">
        <v>123</v>
      </c>
      <c r="G11" s="45"/>
    </row>
    <row r="12" spans="1:7" ht="12.6" customHeight="1" x14ac:dyDescent="0.25">
      <c r="A12" s="56">
        <f t="shared" ref="A12:A69" si="0">A11+1</f>
        <v>3</v>
      </c>
      <c r="B12" s="45" t="s">
        <v>12</v>
      </c>
      <c r="C12" s="48" t="s">
        <v>125</v>
      </c>
      <c r="D12" s="49">
        <v>4</v>
      </c>
      <c r="E12" s="49" t="s">
        <v>122</v>
      </c>
      <c r="F12" s="49" t="s">
        <v>123</v>
      </c>
      <c r="G12" s="45"/>
    </row>
    <row r="13" spans="1:7" ht="12.6" customHeight="1" x14ac:dyDescent="0.25">
      <c r="A13" s="56">
        <f t="shared" si="0"/>
        <v>4</v>
      </c>
      <c r="B13" s="45" t="s">
        <v>14</v>
      </c>
      <c r="C13" s="48" t="s">
        <v>126</v>
      </c>
      <c r="D13" s="49" t="s">
        <v>127</v>
      </c>
      <c r="E13" s="49" t="s">
        <v>128</v>
      </c>
      <c r="F13" s="49" t="s">
        <v>123</v>
      </c>
      <c r="G13" s="45"/>
    </row>
    <row r="14" spans="1:7" ht="12.6" customHeight="1" x14ac:dyDescent="0.25">
      <c r="A14" s="56">
        <f t="shared" si="0"/>
        <v>5</v>
      </c>
      <c r="B14" s="45" t="s">
        <v>14</v>
      </c>
      <c r="C14" s="48" t="s">
        <v>129</v>
      </c>
      <c r="D14" s="49" t="s">
        <v>127</v>
      </c>
      <c r="E14" s="49" t="s">
        <v>130</v>
      </c>
      <c r="F14" s="49" t="s">
        <v>123</v>
      </c>
      <c r="G14" s="45"/>
    </row>
    <row r="15" spans="1:7" ht="12.6" customHeight="1" x14ac:dyDescent="0.25">
      <c r="A15" s="56">
        <f t="shared" si="0"/>
        <v>6</v>
      </c>
      <c r="B15" s="45" t="s">
        <v>18</v>
      </c>
      <c r="C15" s="48" t="s">
        <v>131</v>
      </c>
      <c r="D15" s="49">
        <v>16</v>
      </c>
      <c r="E15" s="49" t="s">
        <v>122</v>
      </c>
      <c r="F15" s="49" t="s">
        <v>132</v>
      </c>
      <c r="G15" s="45"/>
    </row>
    <row r="16" spans="1:7" ht="12.6" customHeight="1" x14ac:dyDescent="0.25">
      <c r="A16" s="56">
        <f t="shared" si="0"/>
        <v>7</v>
      </c>
      <c r="B16" s="49" t="s">
        <v>19</v>
      </c>
      <c r="C16" s="48" t="s">
        <v>133</v>
      </c>
      <c r="D16" s="49">
        <v>4</v>
      </c>
      <c r="E16" s="49" t="s">
        <v>134</v>
      </c>
      <c r="F16" s="49" t="s">
        <v>135</v>
      </c>
      <c r="G16" s="45"/>
    </row>
    <row r="17" spans="1:7" ht="12.6" customHeight="1" x14ac:dyDescent="0.25">
      <c r="A17" s="56">
        <f t="shared" si="0"/>
        <v>8</v>
      </c>
      <c r="B17" s="45" t="s">
        <v>13</v>
      </c>
      <c r="C17" s="48" t="s">
        <v>136</v>
      </c>
      <c r="D17" s="49">
        <v>8</v>
      </c>
      <c r="E17" s="49" t="s">
        <v>122</v>
      </c>
      <c r="F17" s="49" t="s">
        <v>123</v>
      </c>
      <c r="G17" s="45"/>
    </row>
    <row r="18" spans="1:7" ht="12.6" customHeight="1" x14ac:dyDescent="0.25">
      <c r="A18" s="56">
        <f t="shared" si="0"/>
        <v>9</v>
      </c>
      <c r="B18" s="45" t="s">
        <v>13</v>
      </c>
      <c r="C18" s="48" t="s">
        <v>137</v>
      </c>
      <c r="D18" s="49">
        <v>10</v>
      </c>
      <c r="E18" s="49" t="s">
        <v>122</v>
      </c>
      <c r="F18" s="49" t="s">
        <v>123</v>
      </c>
      <c r="G18" s="45"/>
    </row>
    <row r="19" spans="1:7" ht="12.6" customHeight="1" x14ac:dyDescent="0.25">
      <c r="A19" s="56">
        <f t="shared" si="0"/>
        <v>10</v>
      </c>
      <c r="B19" s="45" t="s">
        <v>13</v>
      </c>
      <c r="C19" s="48" t="s">
        <v>138</v>
      </c>
      <c r="D19" s="49">
        <v>2</v>
      </c>
      <c r="E19" s="49" t="s">
        <v>122</v>
      </c>
      <c r="F19" s="49" t="s">
        <v>123</v>
      </c>
      <c r="G19" s="45"/>
    </row>
    <row r="20" spans="1:7" ht="12.6" customHeight="1" x14ac:dyDescent="0.25">
      <c r="A20" s="56">
        <f t="shared" si="0"/>
        <v>11</v>
      </c>
      <c r="B20" s="45" t="s">
        <v>20</v>
      </c>
      <c r="C20" s="48" t="s">
        <v>139</v>
      </c>
      <c r="D20" s="49">
        <v>5</v>
      </c>
      <c r="E20" s="49" t="s">
        <v>122</v>
      </c>
      <c r="F20" s="49" t="s">
        <v>123</v>
      </c>
      <c r="G20" s="45"/>
    </row>
    <row r="21" spans="1:7" ht="12.6" customHeight="1" x14ac:dyDescent="0.25">
      <c r="A21" s="56">
        <f t="shared" si="0"/>
        <v>12</v>
      </c>
      <c r="B21" s="45" t="s">
        <v>11</v>
      </c>
      <c r="C21" s="48" t="s">
        <v>140</v>
      </c>
      <c r="D21" s="49">
        <v>4</v>
      </c>
      <c r="E21" s="49" t="s">
        <v>141</v>
      </c>
      <c r="F21" s="49" t="s">
        <v>135</v>
      </c>
      <c r="G21" s="45"/>
    </row>
    <row r="22" spans="1:7" ht="12.6" customHeight="1" x14ac:dyDescent="0.25">
      <c r="A22" s="56">
        <f t="shared" si="0"/>
        <v>13</v>
      </c>
      <c r="B22" s="45" t="s">
        <v>11</v>
      </c>
      <c r="C22" s="48" t="s">
        <v>142</v>
      </c>
      <c r="D22" s="49">
        <v>36</v>
      </c>
      <c r="E22" s="49" t="s">
        <v>122</v>
      </c>
      <c r="F22" s="49" t="s">
        <v>123</v>
      </c>
      <c r="G22" s="45"/>
    </row>
    <row r="23" spans="1:7" ht="12.6" customHeight="1" x14ac:dyDescent="0.25">
      <c r="A23" s="56">
        <f t="shared" si="0"/>
        <v>14</v>
      </c>
      <c r="B23" s="45" t="s">
        <v>11</v>
      </c>
      <c r="C23" s="48" t="s">
        <v>143</v>
      </c>
      <c r="D23" s="49">
        <v>13</v>
      </c>
      <c r="E23" s="49" t="s">
        <v>122</v>
      </c>
      <c r="F23" s="49" t="s">
        <v>123</v>
      </c>
      <c r="G23" s="45"/>
    </row>
    <row r="24" spans="1:7" ht="12.6" customHeight="1" x14ac:dyDescent="0.25">
      <c r="A24" s="56">
        <f t="shared" si="0"/>
        <v>15</v>
      </c>
      <c r="B24" s="45" t="s">
        <v>11</v>
      </c>
      <c r="C24" s="48" t="s">
        <v>144</v>
      </c>
      <c r="D24" s="49">
        <v>4</v>
      </c>
      <c r="E24" s="49" t="s">
        <v>145</v>
      </c>
      <c r="F24" s="49" t="s">
        <v>123</v>
      </c>
      <c r="G24" s="45"/>
    </row>
    <row r="25" spans="1:7" ht="12.6" customHeight="1" x14ac:dyDescent="0.25">
      <c r="A25" s="56">
        <f t="shared" si="0"/>
        <v>16</v>
      </c>
      <c r="B25" s="45" t="s">
        <v>17</v>
      </c>
      <c r="C25" s="48" t="s">
        <v>146</v>
      </c>
      <c r="D25" s="49">
        <v>5</v>
      </c>
      <c r="E25" s="49" t="s">
        <v>132</v>
      </c>
      <c r="F25" s="49" t="s">
        <v>132</v>
      </c>
      <c r="G25" s="45"/>
    </row>
    <row r="26" spans="1:7" ht="12.6" customHeight="1" x14ac:dyDescent="0.25">
      <c r="A26" s="56">
        <f t="shared" si="0"/>
        <v>17</v>
      </c>
      <c r="B26" s="45" t="s">
        <v>21</v>
      </c>
      <c r="C26" s="48" t="s">
        <v>147</v>
      </c>
      <c r="D26" s="49">
        <v>2</v>
      </c>
      <c r="E26" s="49" t="s">
        <v>122</v>
      </c>
      <c r="F26" s="49" t="s">
        <v>132</v>
      </c>
      <c r="G26" s="45"/>
    </row>
    <row r="27" spans="1:7" ht="12.6" customHeight="1" x14ac:dyDescent="0.25">
      <c r="A27" s="56">
        <f t="shared" si="0"/>
        <v>18</v>
      </c>
      <c r="B27" s="45" t="s">
        <v>22</v>
      </c>
      <c r="C27" s="48" t="s">
        <v>148</v>
      </c>
      <c r="D27" s="49">
        <v>210</v>
      </c>
      <c r="E27" s="49" t="s">
        <v>149</v>
      </c>
      <c r="F27" s="49" t="s">
        <v>132</v>
      </c>
      <c r="G27" s="45"/>
    </row>
    <row r="28" spans="1:7" ht="12.6" customHeight="1" x14ac:dyDescent="0.25">
      <c r="A28" s="56">
        <f t="shared" si="0"/>
        <v>19</v>
      </c>
      <c r="B28" s="45" t="s">
        <v>23</v>
      </c>
      <c r="C28" s="48" t="s">
        <v>150</v>
      </c>
      <c r="D28" s="49">
        <v>435</v>
      </c>
      <c r="E28" s="49" t="s">
        <v>149</v>
      </c>
      <c r="F28" s="49" t="s">
        <v>132</v>
      </c>
      <c r="G28" s="45"/>
    </row>
    <row r="29" spans="1:7" ht="12.6" customHeight="1" x14ac:dyDescent="0.25">
      <c r="A29" s="56">
        <f t="shared" si="0"/>
        <v>20</v>
      </c>
      <c r="B29" s="45" t="s">
        <v>3</v>
      </c>
      <c r="C29" s="48" t="s">
        <v>151</v>
      </c>
      <c r="D29" s="50">
        <v>7</v>
      </c>
      <c r="E29" s="49" t="s">
        <v>152</v>
      </c>
      <c r="F29" s="49" t="s">
        <v>123</v>
      </c>
      <c r="G29" s="45"/>
    </row>
    <row r="30" spans="1:7" ht="12.6" customHeight="1" x14ac:dyDescent="0.25">
      <c r="A30" s="56">
        <f t="shared" si="0"/>
        <v>21</v>
      </c>
      <c r="B30" s="45" t="s">
        <v>3</v>
      </c>
      <c r="C30" s="48" t="s">
        <v>153</v>
      </c>
      <c r="D30" s="50">
        <v>5</v>
      </c>
      <c r="E30" s="49" t="s">
        <v>152</v>
      </c>
      <c r="F30" s="49" t="s">
        <v>123</v>
      </c>
      <c r="G30" s="45"/>
    </row>
    <row r="31" spans="1:7" ht="12.6" customHeight="1" x14ac:dyDescent="0.25">
      <c r="A31" s="56">
        <f t="shared" si="0"/>
        <v>22</v>
      </c>
      <c r="B31" s="45" t="s">
        <v>3</v>
      </c>
      <c r="C31" s="48" t="s">
        <v>154</v>
      </c>
      <c r="D31" s="50">
        <v>5</v>
      </c>
      <c r="E31" s="49" t="s">
        <v>152</v>
      </c>
      <c r="F31" s="49" t="s">
        <v>123</v>
      </c>
      <c r="G31" s="45"/>
    </row>
    <row r="32" spans="1:7" ht="12.6" customHeight="1" x14ac:dyDescent="0.25">
      <c r="A32" s="56">
        <f t="shared" si="0"/>
        <v>23</v>
      </c>
      <c r="B32" s="45" t="s">
        <v>3</v>
      </c>
      <c r="C32" s="48" t="s">
        <v>155</v>
      </c>
      <c r="D32" s="50">
        <v>4</v>
      </c>
      <c r="E32" s="49" t="s">
        <v>152</v>
      </c>
      <c r="F32" s="49" t="s">
        <v>123</v>
      </c>
      <c r="G32" s="45"/>
    </row>
    <row r="33" spans="1:7" ht="12.6" customHeight="1" x14ac:dyDescent="0.25">
      <c r="A33" s="56">
        <f t="shared" si="0"/>
        <v>24</v>
      </c>
      <c r="B33" s="45" t="s">
        <v>3</v>
      </c>
      <c r="C33" s="48" t="s">
        <v>156</v>
      </c>
      <c r="D33" s="50">
        <v>3</v>
      </c>
      <c r="E33" s="49" t="s">
        <v>152</v>
      </c>
      <c r="F33" s="49" t="s">
        <v>123</v>
      </c>
      <c r="G33" s="45"/>
    </row>
    <row r="34" spans="1:7" ht="12.6" customHeight="1" x14ac:dyDescent="0.25">
      <c r="A34" s="56">
        <f t="shared" si="0"/>
        <v>25</v>
      </c>
      <c r="B34" s="45" t="s">
        <v>3</v>
      </c>
      <c r="C34" s="48" t="s">
        <v>157</v>
      </c>
      <c r="D34" s="50">
        <v>3</v>
      </c>
      <c r="E34" s="49" t="s">
        <v>152</v>
      </c>
      <c r="F34" s="49" t="s">
        <v>123</v>
      </c>
      <c r="G34" s="45"/>
    </row>
    <row r="35" spans="1:7" ht="12.6" customHeight="1" x14ac:dyDescent="0.25">
      <c r="A35" s="56">
        <f t="shared" si="0"/>
        <v>26</v>
      </c>
      <c r="B35" s="45" t="s">
        <v>3</v>
      </c>
      <c r="C35" s="48" t="s">
        <v>158</v>
      </c>
      <c r="D35" s="50">
        <v>3</v>
      </c>
      <c r="E35" s="49" t="s">
        <v>152</v>
      </c>
      <c r="F35" s="49" t="s">
        <v>123</v>
      </c>
      <c r="G35" s="45"/>
    </row>
    <row r="36" spans="1:7" ht="12.6" customHeight="1" x14ac:dyDescent="0.25">
      <c r="A36" s="56">
        <f t="shared" si="0"/>
        <v>27</v>
      </c>
      <c r="B36" s="45" t="s">
        <v>3</v>
      </c>
      <c r="C36" s="48" t="s">
        <v>159</v>
      </c>
      <c r="D36" s="50">
        <v>2</v>
      </c>
      <c r="E36" s="49" t="s">
        <v>152</v>
      </c>
      <c r="F36" s="49" t="s">
        <v>123</v>
      </c>
      <c r="G36" s="45"/>
    </row>
    <row r="37" spans="1:7" ht="12.6" customHeight="1" x14ac:dyDescent="0.25">
      <c r="A37" s="56">
        <f t="shared" si="0"/>
        <v>28</v>
      </c>
      <c r="B37" s="45" t="s">
        <v>3</v>
      </c>
      <c r="C37" s="48" t="s">
        <v>160</v>
      </c>
      <c r="D37" s="50">
        <v>2</v>
      </c>
      <c r="E37" s="49" t="s">
        <v>152</v>
      </c>
      <c r="F37" s="49" t="s">
        <v>123</v>
      </c>
      <c r="G37" s="45"/>
    </row>
    <row r="38" spans="1:7" ht="12.6" customHeight="1" x14ac:dyDescent="0.25">
      <c r="A38" s="56">
        <f t="shared" si="0"/>
        <v>29</v>
      </c>
      <c r="B38" s="45" t="s">
        <v>3</v>
      </c>
      <c r="C38" s="48" t="s">
        <v>161</v>
      </c>
      <c r="D38" s="50">
        <v>2</v>
      </c>
      <c r="E38" s="49" t="s">
        <v>152</v>
      </c>
      <c r="F38" s="49" t="s">
        <v>123</v>
      </c>
      <c r="G38" s="45"/>
    </row>
    <row r="39" spans="1:7" ht="12.6" customHeight="1" x14ac:dyDescent="0.25">
      <c r="A39" s="56">
        <f t="shared" si="0"/>
        <v>30</v>
      </c>
      <c r="B39" s="45" t="s">
        <v>3</v>
      </c>
      <c r="C39" s="48" t="s">
        <v>162</v>
      </c>
      <c r="D39" s="50">
        <v>2</v>
      </c>
      <c r="E39" s="49" t="s">
        <v>152</v>
      </c>
      <c r="F39" s="49" t="s">
        <v>123</v>
      </c>
      <c r="G39" s="45"/>
    </row>
    <row r="40" spans="1:7" ht="12.6" customHeight="1" x14ac:dyDescent="0.25">
      <c r="A40" s="56">
        <f t="shared" si="0"/>
        <v>31</v>
      </c>
      <c r="B40" s="45" t="s">
        <v>3</v>
      </c>
      <c r="C40" s="48" t="s">
        <v>163</v>
      </c>
      <c r="D40" s="50">
        <v>2</v>
      </c>
      <c r="E40" s="49" t="s">
        <v>152</v>
      </c>
      <c r="F40" s="49" t="s">
        <v>123</v>
      </c>
      <c r="G40" s="45"/>
    </row>
    <row r="41" spans="1:7" ht="12.6" customHeight="1" x14ac:dyDescent="0.25">
      <c r="A41" s="56">
        <f t="shared" si="0"/>
        <v>32</v>
      </c>
      <c r="B41" s="45" t="s">
        <v>3</v>
      </c>
      <c r="C41" s="48" t="s">
        <v>164</v>
      </c>
      <c r="D41" s="50">
        <v>2</v>
      </c>
      <c r="E41" s="49" t="s">
        <v>152</v>
      </c>
      <c r="F41" s="49" t="s">
        <v>123</v>
      </c>
      <c r="G41" s="45"/>
    </row>
    <row r="42" spans="1:7" ht="12.6" customHeight="1" x14ac:dyDescent="0.25">
      <c r="A42" s="56">
        <f t="shared" si="0"/>
        <v>33</v>
      </c>
      <c r="B42" s="45" t="s">
        <v>3</v>
      </c>
      <c r="C42" s="48" t="s">
        <v>165</v>
      </c>
      <c r="D42" s="50">
        <v>1</v>
      </c>
      <c r="E42" s="49" t="s">
        <v>152</v>
      </c>
      <c r="F42" s="49" t="s">
        <v>123</v>
      </c>
      <c r="G42" s="45"/>
    </row>
    <row r="43" spans="1:7" ht="12.6" customHeight="1" x14ac:dyDescent="0.25">
      <c r="A43" s="56">
        <f t="shared" si="0"/>
        <v>34</v>
      </c>
      <c r="B43" s="45" t="s">
        <v>3</v>
      </c>
      <c r="C43" s="48" t="s">
        <v>166</v>
      </c>
      <c r="D43" s="50">
        <v>1</v>
      </c>
      <c r="E43" s="49" t="s">
        <v>152</v>
      </c>
      <c r="F43" s="49" t="s">
        <v>123</v>
      </c>
      <c r="G43" s="45"/>
    </row>
    <row r="44" spans="1:7" ht="12.6" customHeight="1" x14ac:dyDescent="0.25">
      <c r="A44" s="56">
        <f t="shared" si="0"/>
        <v>35</v>
      </c>
      <c r="B44" s="45" t="s">
        <v>3</v>
      </c>
      <c r="C44" s="48" t="s">
        <v>167</v>
      </c>
      <c r="D44" s="50">
        <v>1</v>
      </c>
      <c r="E44" s="49" t="s">
        <v>152</v>
      </c>
      <c r="F44" s="49" t="s">
        <v>123</v>
      </c>
      <c r="G44" s="45"/>
    </row>
    <row r="45" spans="1:7" ht="12.6" customHeight="1" x14ac:dyDescent="0.25">
      <c r="A45" s="56">
        <f t="shared" si="0"/>
        <v>36</v>
      </c>
      <c r="B45" s="45" t="s">
        <v>3</v>
      </c>
      <c r="C45" s="48" t="s">
        <v>168</v>
      </c>
      <c r="D45" s="50">
        <v>1</v>
      </c>
      <c r="E45" s="49" t="s">
        <v>152</v>
      </c>
      <c r="F45" s="49" t="s">
        <v>123</v>
      </c>
      <c r="G45" s="45"/>
    </row>
    <row r="46" spans="1:7" ht="12.6" customHeight="1" x14ac:dyDescent="0.25">
      <c r="A46" s="56">
        <f t="shared" si="0"/>
        <v>37</v>
      </c>
      <c r="B46" s="45" t="s">
        <v>3</v>
      </c>
      <c r="C46" s="48" t="s">
        <v>169</v>
      </c>
      <c r="D46" s="50">
        <v>1</v>
      </c>
      <c r="E46" s="49" t="s">
        <v>152</v>
      </c>
      <c r="F46" s="49" t="s">
        <v>123</v>
      </c>
      <c r="G46" s="45"/>
    </row>
    <row r="47" spans="1:7" ht="12.6" customHeight="1" x14ac:dyDescent="0.25">
      <c r="A47" s="56">
        <f t="shared" si="0"/>
        <v>38</v>
      </c>
      <c r="B47" s="45" t="s">
        <v>3</v>
      </c>
      <c r="C47" s="48" t="s">
        <v>170</v>
      </c>
      <c r="D47" s="50">
        <v>1</v>
      </c>
      <c r="E47" s="49" t="s">
        <v>152</v>
      </c>
      <c r="F47" s="49" t="s">
        <v>123</v>
      </c>
      <c r="G47" s="45"/>
    </row>
    <row r="48" spans="1:7" ht="12.6" customHeight="1" x14ac:dyDescent="0.25">
      <c r="A48" s="56">
        <f t="shared" si="0"/>
        <v>39</v>
      </c>
      <c r="B48" s="45" t="s">
        <v>3</v>
      </c>
      <c r="C48" s="48" t="s">
        <v>171</v>
      </c>
      <c r="D48" s="50">
        <v>1</v>
      </c>
      <c r="E48" s="49" t="s">
        <v>152</v>
      </c>
      <c r="F48" s="49" t="s">
        <v>123</v>
      </c>
      <c r="G48" s="45"/>
    </row>
    <row r="49" spans="1:7" ht="12.6" customHeight="1" x14ac:dyDescent="0.25">
      <c r="A49" s="56">
        <f t="shared" si="0"/>
        <v>40</v>
      </c>
      <c r="B49" s="45" t="s">
        <v>3</v>
      </c>
      <c r="C49" s="48" t="s">
        <v>172</v>
      </c>
      <c r="D49" s="50">
        <v>1</v>
      </c>
      <c r="E49" s="49" t="s">
        <v>152</v>
      </c>
      <c r="F49" s="49" t="s">
        <v>123</v>
      </c>
      <c r="G49" s="45"/>
    </row>
    <row r="50" spans="1:7" ht="12.6" customHeight="1" x14ac:dyDescent="0.25">
      <c r="A50" s="56">
        <f t="shared" si="0"/>
        <v>41</v>
      </c>
      <c r="B50" s="45" t="s">
        <v>3</v>
      </c>
      <c r="C50" s="48" t="s">
        <v>173</v>
      </c>
      <c r="D50" s="50">
        <v>1</v>
      </c>
      <c r="E50" s="49" t="s">
        <v>152</v>
      </c>
      <c r="F50" s="49" t="s">
        <v>123</v>
      </c>
      <c r="G50" s="45"/>
    </row>
    <row r="51" spans="1:7" ht="12.6" customHeight="1" x14ac:dyDescent="0.25">
      <c r="A51" s="56">
        <f t="shared" si="0"/>
        <v>42</v>
      </c>
      <c r="B51" s="45" t="s">
        <v>3</v>
      </c>
      <c r="C51" s="48" t="s">
        <v>174</v>
      </c>
      <c r="D51" s="50">
        <v>1</v>
      </c>
      <c r="E51" s="49" t="s">
        <v>152</v>
      </c>
      <c r="F51" s="49" t="s">
        <v>123</v>
      </c>
      <c r="G51" s="45"/>
    </row>
    <row r="52" spans="1:7" ht="12.6" customHeight="1" x14ac:dyDescent="0.25">
      <c r="A52" s="56">
        <f t="shared" si="0"/>
        <v>43</v>
      </c>
      <c r="B52" s="45" t="s">
        <v>3</v>
      </c>
      <c r="C52" s="48" t="s">
        <v>175</v>
      </c>
      <c r="D52" s="50">
        <v>1</v>
      </c>
      <c r="E52" s="49" t="s">
        <v>152</v>
      </c>
      <c r="F52" s="49" t="s">
        <v>123</v>
      </c>
      <c r="G52" s="45"/>
    </row>
    <row r="53" spans="1:7" ht="12.6" customHeight="1" x14ac:dyDescent="0.25">
      <c r="A53" s="56">
        <f t="shared" si="0"/>
        <v>44</v>
      </c>
      <c r="B53" s="45" t="s">
        <v>3</v>
      </c>
      <c r="C53" s="48" t="s">
        <v>176</v>
      </c>
      <c r="D53" s="50">
        <v>1</v>
      </c>
      <c r="E53" s="49" t="s">
        <v>152</v>
      </c>
      <c r="F53" s="49" t="s">
        <v>123</v>
      </c>
      <c r="G53" s="45"/>
    </row>
    <row r="54" spans="1:7" ht="12.6" customHeight="1" x14ac:dyDescent="0.25">
      <c r="A54" s="56">
        <f t="shared" si="0"/>
        <v>45</v>
      </c>
      <c r="B54" s="45" t="s">
        <v>3</v>
      </c>
      <c r="C54" s="48" t="s">
        <v>177</v>
      </c>
      <c r="D54" s="50">
        <v>1</v>
      </c>
      <c r="E54" s="49" t="s">
        <v>152</v>
      </c>
      <c r="F54" s="49" t="s">
        <v>123</v>
      </c>
      <c r="G54" s="45"/>
    </row>
    <row r="55" spans="1:7" ht="12.6" customHeight="1" x14ac:dyDescent="0.25">
      <c r="A55" s="56">
        <f t="shared" si="0"/>
        <v>46</v>
      </c>
      <c r="B55" s="45" t="s">
        <v>3</v>
      </c>
      <c r="C55" s="48" t="s">
        <v>178</v>
      </c>
      <c r="D55" s="50">
        <v>1</v>
      </c>
      <c r="E55" s="49" t="s">
        <v>152</v>
      </c>
      <c r="F55" s="49" t="s">
        <v>123</v>
      </c>
      <c r="G55" s="45"/>
    </row>
    <row r="56" spans="1:7" ht="12.6" customHeight="1" x14ac:dyDescent="0.25">
      <c r="A56" s="56">
        <f t="shared" si="0"/>
        <v>47</v>
      </c>
      <c r="B56" s="45" t="s">
        <v>3</v>
      </c>
      <c r="C56" s="48" t="s">
        <v>179</v>
      </c>
      <c r="D56" s="50">
        <v>1</v>
      </c>
      <c r="E56" s="49" t="s">
        <v>152</v>
      </c>
      <c r="F56" s="49" t="s">
        <v>123</v>
      </c>
      <c r="G56" s="45"/>
    </row>
    <row r="57" spans="1:7" ht="12.6" customHeight="1" x14ac:dyDescent="0.25">
      <c r="A57" s="56">
        <f t="shared" si="0"/>
        <v>48</v>
      </c>
      <c r="B57" s="45" t="s">
        <v>3</v>
      </c>
      <c r="C57" s="48" t="s">
        <v>180</v>
      </c>
      <c r="D57" s="50">
        <v>1</v>
      </c>
      <c r="E57" s="49" t="s">
        <v>152</v>
      </c>
      <c r="F57" s="49" t="s">
        <v>123</v>
      </c>
      <c r="G57" s="45"/>
    </row>
    <row r="58" spans="1:7" ht="12.6" customHeight="1" x14ac:dyDescent="0.25">
      <c r="A58" s="56">
        <f t="shared" si="0"/>
        <v>49</v>
      </c>
      <c r="B58" s="45" t="s">
        <v>3</v>
      </c>
      <c r="C58" s="48" t="s">
        <v>181</v>
      </c>
      <c r="D58" s="50">
        <v>1</v>
      </c>
      <c r="E58" s="49" t="s">
        <v>152</v>
      </c>
      <c r="F58" s="49" t="s">
        <v>123</v>
      </c>
      <c r="G58" s="45"/>
    </row>
    <row r="59" spans="1:7" ht="12.6" customHeight="1" x14ac:dyDescent="0.25">
      <c r="A59" s="56">
        <f t="shared" si="0"/>
        <v>50</v>
      </c>
      <c r="B59" s="45" t="s">
        <v>3</v>
      </c>
      <c r="C59" s="48" t="s">
        <v>182</v>
      </c>
      <c r="D59" s="50">
        <v>1</v>
      </c>
      <c r="E59" s="49" t="s">
        <v>152</v>
      </c>
      <c r="F59" s="49" t="s">
        <v>123</v>
      </c>
      <c r="G59" s="45"/>
    </row>
    <row r="60" spans="1:7" ht="12.6" customHeight="1" x14ac:dyDescent="0.25">
      <c r="A60" s="56">
        <f t="shared" si="0"/>
        <v>51</v>
      </c>
      <c r="B60" s="45" t="s">
        <v>3</v>
      </c>
      <c r="C60" s="48" t="s">
        <v>183</v>
      </c>
      <c r="D60" s="50">
        <v>1</v>
      </c>
      <c r="E60" s="49" t="s">
        <v>152</v>
      </c>
      <c r="F60" s="49" t="s">
        <v>123</v>
      </c>
      <c r="G60" s="45"/>
    </row>
    <row r="61" spans="1:7" ht="12.6" customHeight="1" x14ac:dyDescent="0.25">
      <c r="A61" s="56">
        <f t="shared" si="0"/>
        <v>52</v>
      </c>
      <c r="B61" s="45" t="s">
        <v>3</v>
      </c>
      <c r="C61" s="48" t="s">
        <v>184</v>
      </c>
      <c r="D61" s="50">
        <v>1</v>
      </c>
      <c r="E61" s="49" t="s">
        <v>152</v>
      </c>
      <c r="F61" s="49" t="s">
        <v>123</v>
      </c>
      <c r="G61" s="45"/>
    </row>
    <row r="62" spans="1:7" ht="12.6" customHeight="1" x14ac:dyDescent="0.25">
      <c r="A62" s="56">
        <f t="shared" si="0"/>
        <v>53</v>
      </c>
      <c r="B62" s="45" t="s">
        <v>3</v>
      </c>
      <c r="C62" s="48" t="s">
        <v>185</v>
      </c>
      <c r="D62" s="50">
        <v>1</v>
      </c>
      <c r="E62" s="49" t="s">
        <v>152</v>
      </c>
      <c r="F62" s="49" t="s">
        <v>123</v>
      </c>
      <c r="G62" s="45"/>
    </row>
    <row r="63" spans="1:7" ht="12.6" customHeight="1" x14ac:dyDescent="0.25">
      <c r="A63" s="56">
        <f t="shared" si="0"/>
        <v>54</v>
      </c>
      <c r="B63" s="45" t="s">
        <v>3</v>
      </c>
      <c r="C63" s="48" t="s">
        <v>186</v>
      </c>
      <c r="D63" s="50">
        <v>1</v>
      </c>
      <c r="E63" s="49" t="s">
        <v>152</v>
      </c>
      <c r="F63" s="49" t="s">
        <v>123</v>
      </c>
      <c r="G63" s="45"/>
    </row>
    <row r="64" spans="1:7" ht="12.6" customHeight="1" x14ac:dyDescent="0.25">
      <c r="A64" s="56">
        <f t="shared" si="0"/>
        <v>55</v>
      </c>
      <c r="B64" s="45" t="s">
        <v>10</v>
      </c>
      <c r="C64" s="48" t="s">
        <v>187</v>
      </c>
      <c r="D64" s="49">
        <v>1</v>
      </c>
      <c r="E64" s="49" t="s">
        <v>188</v>
      </c>
      <c r="F64" s="49" t="s">
        <v>132</v>
      </c>
      <c r="G64" s="45"/>
    </row>
    <row r="65" spans="1:8" ht="14.85" customHeight="1" x14ac:dyDescent="0.25">
      <c r="A65" s="56">
        <f t="shared" si="0"/>
        <v>56</v>
      </c>
      <c r="B65" s="45" t="s">
        <v>10</v>
      </c>
      <c r="C65" s="48" t="s">
        <v>189</v>
      </c>
      <c r="D65" s="49">
        <v>10</v>
      </c>
      <c r="E65" s="49" t="s">
        <v>122</v>
      </c>
      <c r="F65" s="49" t="s">
        <v>132</v>
      </c>
      <c r="G65" s="45"/>
    </row>
    <row r="66" spans="1:8" ht="12.6" customHeight="1" x14ac:dyDescent="0.25">
      <c r="A66" s="56">
        <f t="shared" si="0"/>
        <v>57</v>
      </c>
      <c r="B66" s="45" t="s">
        <v>10</v>
      </c>
      <c r="C66" s="48" t="s">
        <v>190</v>
      </c>
      <c r="D66" s="49">
        <v>1</v>
      </c>
      <c r="E66" s="49" t="s">
        <v>141</v>
      </c>
      <c r="F66" s="49" t="s">
        <v>132</v>
      </c>
      <c r="G66" s="45"/>
    </row>
    <row r="67" spans="1:8" ht="12.6" customHeight="1" x14ac:dyDescent="0.25">
      <c r="A67" s="56">
        <f t="shared" si="0"/>
        <v>58</v>
      </c>
      <c r="B67" s="45" t="s">
        <v>10</v>
      </c>
      <c r="C67" s="48" t="s">
        <v>191</v>
      </c>
      <c r="D67" s="49">
        <v>1</v>
      </c>
      <c r="E67" s="49" t="s">
        <v>141</v>
      </c>
      <c r="F67" s="49" t="s">
        <v>132</v>
      </c>
      <c r="G67" s="45"/>
    </row>
    <row r="68" spans="1:8" ht="12.6" customHeight="1" x14ac:dyDescent="0.25">
      <c r="A68" s="56">
        <f t="shared" si="0"/>
        <v>59</v>
      </c>
      <c r="B68" s="45" t="s">
        <v>4</v>
      </c>
      <c r="C68" s="48" t="s">
        <v>192</v>
      </c>
      <c r="D68" s="49" t="s">
        <v>193</v>
      </c>
      <c r="E68" s="49" t="s">
        <v>194</v>
      </c>
      <c r="F68" s="49" t="s">
        <v>132</v>
      </c>
      <c r="G68" s="45" t="s">
        <v>195</v>
      </c>
    </row>
    <row r="69" spans="1:8" ht="12.6" customHeight="1" x14ac:dyDescent="0.25">
      <c r="A69" s="56">
        <f t="shared" si="0"/>
        <v>60</v>
      </c>
      <c r="B69" s="45" t="s">
        <v>4</v>
      </c>
      <c r="C69" s="48" t="s">
        <v>196</v>
      </c>
      <c r="D69" s="49">
        <v>500</v>
      </c>
      <c r="E69" s="49" t="s">
        <v>122</v>
      </c>
      <c r="F69" s="49" t="s">
        <v>123</v>
      </c>
      <c r="G69" s="45" t="s">
        <v>197</v>
      </c>
    </row>
    <row r="70" spans="1:8" ht="12.6" customHeight="1" x14ac:dyDescent="0.25">
      <c r="A70" s="56">
        <f t="shared" ref="A70:A101" si="1">A69+1</f>
        <v>61</v>
      </c>
      <c r="B70" s="45" t="s">
        <v>4</v>
      </c>
      <c r="C70" s="48" t="s">
        <v>198</v>
      </c>
      <c r="D70" s="49">
        <v>500</v>
      </c>
      <c r="E70" s="49" t="s">
        <v>122</v>
      </c>
      <c r="F70" s="49" t="s">
        <v>123</v>
      </c>
      <c r="G70" s="45" t="s">
        <v>199</v>
      </c>
    </row>
    <row r="71" spans="1:8" ht="12.6" customHeight="1" x14ac:dyDescent="0.25">
      <c r="A71" s="56">
        <f t="shared" si="1"/>
        <v>62</v>
      </c>
      <c r="B71" s="45" t="s">
        <v>4</v>
      </c>
      <c r="C71" s="48" t="s">
        <v>200</v>
      </c>
      <c r="D71" s="49">
        <v>61</v>
      </c>
      <c r="E71" s="49" t="s">
        <v>122</v>
      </c>
      <c r="F71" s="49" t="s">
        <v>135</v>
      </c>
      <c r="G71" s="45"/>
    </row>
    <row r="72" spans="1:8" ht="12.6" customHeight="1" x14ac:dyDescent="0.25">
      <c r="A72" s="56">
        <f t="shared" si="1"/>
        <v>63</v>
      </c>
      <c r="B72" s="45" t="s">
        <v>4</v>
      </c>
      <c r="C72" s="48" t="s">
        <v>201</v>
      </c>
      <c r="D72" s="49">
        <v>12</v>
      </c>
      <c r="E72" s="49" t="s">
        <v>122</v>
      </c>
      <c r="F72" s="49" t="s">
        <v>135</v>
      </c>
      <c r="G72" s="45"/>
    </row>
    <row r="73" spans="1:8" ht="12.6" customHeight="1" x14ac:dyDescent="0.25">
      <c r="A73" s="56">
        <f t="shared" si="1"/>
        <v>64</v>
      </c>
      <c r="B73" s="45" t="s">
        <v>4</v>
      </c>
      <c r="C73" s="48" t="s">
        <v>202</v>
      </c>
      <c r="D73" s="49">
        <v>6</v>
      </c>
      <c r="E73" s="49" t="s">
        <v>132</v>
      </c>
      <c r="F73" s="49" t="s">
        <v>132</v>
      </c>
      <c r="G73" s="45" t="s">
        <v>195</v>
      </c>
    </row>
    <row r="74" spans="1:8" ht="12.6" customHeight="1" x14ac:dyDescent="0.25">
      <c r="A74" s="56">
        <f t="shared" si="1"/>
        <v>65</v>
      </c>
      <c r="B74" s="45" t="s">
        <v>4</v>
      </c>
      <c r="C74" s="48" t="s">
        <v>203</v>
      </c>
      <c r="D74" s="49">
        <v>56</v>
      </c>
      <c r="E74" s="49" t="s">
        <v>194</v>
      </c>
      <c r="F74" s="49" t="s">
        <v>132</v>
      </c>
      <c r="G74" s="45"/>
    </row>
    <row r="75" spans="1:8" ht="12.6" customHeight="1" x14ac:dyDescent="0.25">
      <c r="A75" s="56">
        <f t="shared" si="1"/>
        <v>66</v>
      </c>
      <c r="B75" s="45" t="s">
        <v>4</v>
      </c>
      <c r="C75" s="48" t="s">
        <v>204</v>
      </c>
      <c r="D75" s="49">
        <v>1</v>
      </c>
      <c r="E75" s="49" t="s">
        <v>132</v>
      </c>
      <c r="F75" s="49" t="s">
        <v>132</v>
      </c>
      <c r="G75" s="45"/>
    </row>
    <row r="76" spans="1:8" ht="12.6" customHeight="1" x14ac:dyDescent="0.25">
      <c r="A76" s="56">
        <f t="shared" si="1"/>
        <v>67</v>
      </c>
      <c r="B76" s="45" t="s">
        <v>4</v>
      </c>
      <c r="C76" s="48" t="s">
        <v>205</v>
      </c>
      <c r="D76" s="49">
        <v>2</v>
      </c>
      <c r="E76" s="49" t="s">
        <v>122</v>
      </c>
      <c r="F76" s="49" t="s">
        <v>123</v>
      </c>
      <c r="G76" s="45"/>
    </row>
    <row r="77" spans="1:8" ht="12.6" customHeight="1" x14ac:dyDescent="0.25">
      <c r="A77" s="56">
        <f t="shared" si="1"/>
        <v>68</v>
      </c>
      <c r="B77" s="45" t="s">
        <v>4</v>
      </c>
      <c r="C77" s="48" t="s">
        <v>206</v>
      </c>
      <c r="D77" s="49">
        <v>377</v>
      </c>
      <c r="E77" s="49" t="s">
        <v>122</v>
      </c>
      <c r="F77" s="49" t="s">
        <v>123</v>
      </c>
      <c r="G77" s="45"/>
      <c r="H77" s="5"/>
    </row>
    <row r="78" spans="1:8" ht="12.6" customHeight="1" x14ac:dyDescent="0.25">
      <c r="A78" s="56">
        <f t="shared" si="1"/>
        <v>69</v>
      </c>
      <c r="B78" s="45" t="s">
        <v>4</v>
      </c>
      <c r="C78" s="48" t="s">
        <v>207</v>
      </c>
      <c r="D78" s="49">
        <v>600</v>
      </c>
      <c r="E78" s="49" t="s">
        <v>122</v>
      </c>
      <c r="F78" s="49" t="s">
        <v>132</v>
      </c>
      <c r="G78" s="45"/>
    </row>
    <row r="79" spans="1:8" ht="12.6" customHeight="1" x14ac:dyDescent="0.25">
      <c r="A79" s="56">
        <f t="shared" si="1"/>
        <v>70</v>
      </c>
      <c r="B79" s="45" t="s">
        <v>4</v>
      </c>
      <c r="C79" s="48" t="s">
        <v>208</v>
      </c>
      <c r="D79" s="49">
        <v>70</v>
      </c>
      <c r="E79" s="49" t="s">
        <v>122</v>
      </c>
      <c r="F79" s="49" t="s">
        <v>123</v>
      </c>
      <c r="G79" s="45"/>
    </row>
    <row r="80" spans="1:8" ht="12.6" customHeight="1" x14ac:dyDescent="0.25">
      <c r="A80" s="56">
        <f t="shared" si="1"/>
        <v>71</v>
      </c>
      <c r="B80" s="45" t="s">
        <v>4</v>
      </c>
      <c r="C80" s="48" t="s">
        <v>209</v>
      </c>
      <c r="D80" s="49">
        <v>92</v>
      </c>
      <c r="E80" s="49" t="s">
        <v>210</v>
      </c>
      <c r="F80" s="49" t="s">
        <v>135</v>
      </c>
      <c r="G80" s="45"/>
    </row>
    <row r="81" spans="1:7" ht="12.6" customHeight="1" x14ac:dyDescent="0.25">
      <c r="A81" s="56">
        <f t="shared" si="1"/>
        <v>72</v>
      </c>
      <c r="B81" s="45" t="s">
        <v>4</v>
      </c>
      <c r="C81" s="48" t="s">
        <v>211</v>
      </c>
      <c r="D81" s="49">
        <v>37</v>
      </c>
      <c r="E81" s="49" t="s">
        <v>122</v>
      </c>
      <c r="F81" s="49" t="s">
        <v>123</v>
      </c>
      <c r="G81" s="45"/>
    </row>
    <row r="82" spans="1:7" ht="12.6" customHeight="1" x14ac:dyDescent="0.25">
      <c r="A82" s="56">
        <f t="shared" si="1"/>
        <v>73</v>
      </c>
      <c r="B82" s="45" t="s">
        <v>4</v>
      </c>
      <c r="C82" s="48" t="s">
        <v>212</v>
      </c>
      <c r="D82" s="51">
        <v>23</v>
      </c>
      <c r="E82" s="49" t="s">
        <v>122</v>
      </c>
      <c r="F82" s="49" t="s">
        <v>123</v>
      </c>
      <c r="G82" s="45"/>
    </row>
    <row r="83" spans="1:7" ht="12.6" customHeight="1" x14ac:dyDescent="0.25">
      <c r="A83" s="56">
        <f t="shared" si="1"/>
        <v>74</v>
      </c>
      <c r="B83" s="45" t="s">
        <v>4</v>
      </c>
      <c r="C83" s="48" t="s">
        <v>213</v>
      </c>
      <c r="D83" s="49">
        <v>22</v>
      </c>
      <c r="E83" s="49" t="s">
        <v>210</v>
      </c>
      <c r="F83" s="49" t="s">
        <v>123</v>
      </c>
      <c r="G83" s="45"/>
    </row>
    <row r="84" spans="1:7" ht="12.6" customHeight="1" x14ac:dyDescent="0.25">
      <c r="A84" s="56">
        <f t="shared" si="1"/>
        <v>75</v>
      </c>
      <c r="B84" s="45" t="s">
        <v>4</v>
      </c>
      <c r="C84" s="48" t="s">
        <v>214</v>
      </c>
      <c r="D84" s="49">
        <v>18</v>
      </c>
      <c r="E84" s="49" t="s">
        <v>122</v>
      </c>
      <c r="F84" s="49" t="s">
        <v>123</v>
      </c>
      <c r="G84" s="45"/>
    </row>
    <row r="85" spans="1:7" ht="12.6" customHeight="1" x14ac:dyDescent="0.25">
      <c r="A85" s="56">
        <f t="shared" si="1"/>
        <v>76</v>
      </c>
      <c r="B85" s="45" t="s">
        <v>4</v>
      </c>
      <c r="C85" s="48" t="s">
        <v>215</v>
      </c>
      <c r="D85" s="49">
        <v>20</v>
      </c>
      <c r="E85" s="49" t="s">
        <v>122</v>
      </c>
      <c r="F85" s="49" t="s">
        <v>135</v>
      </c>
      <c r="G85" s="45"/>
    </row>
    <row r="86" spans="1:7" ht="12.6" customHeight="1" x14ac:dyDescent="0.25">
      <c r="A86" s="56">
        <f t="shared" si="1"/>
        <v>77</v>
      </c>
      <c r="B86" s="45" t="s">
        <v>4</v>
      </c>
      <c r="C86" s="48" t="s">
        <v>216</v>
      </c>
      <c r="D86" s="49">
        <v>15</v>
      </c>
      <c r="E86" s="49" t="s">
        <v>122</v>
      </c>
      <c r="F86" s="49" t="s">
        <v>123</v>
      </c>
      <c r="G86" s="48"/>
    </row>
    <row r="87" spans="1:7" ht="12.6" customHeight="1" x14ac:dyDescent="0.25">
      <c r="A87" s="56">
        <f t="shared" si="1"/>
        <v>78</v>
      </c>
      <c r="B87" s="45" t="s">
        <v>4</v>
      </c>
      <c r="C87" s="48" t="s">
        <v>217</v>
      </c>
      <c r="D87" s="49">
        <v>384</v>
      </c>
      <c r="E87" s="49" t="s">
        <v>194</v>
      </c>
      <c r="F87" s="49" t="s">
        <v>132</v>
      </c>
      <c r="G87" s="45"/>
    </row>
    <row r="88" spans="1:7" ht="12.6" customHeight="1" x14ac:dyDescent="0.25">
      <c r="A88" s="56">
        <f t="shared" si="1"/>
        <v>79</v>
      </c>
      <c r="B88" s="45" t="s">
        <v>4</v>
      </c>
      <c r="C88" s="48" t="s">
        <v>218</v>
      </c>
      <c r="D88" s="49">
        <v>4</v>
      </c>
      <c r="E88" s="49" t="s">
        <v>122</v>
      </c>
      <c r="F88" s="49" t="s">
        <v>123</v>
      </c>
      <c r="G88" s="45"/>
    </row>
    <row r="89" spans="1:7" x14ac:dyDescent="0.25">
      <c r="A89" s="56">
        <f t="shared" si="1"/>
        <v>80</v>
      </c>
      <c r="B89" s="45" t="s">
        <v>4</v>
      </c>
      <c r="C89" s="48" t="s">
        <v>219</v>
      </c>
      <c r="D89" s="49">
        <v>9</v>
      </c>
      <c r="E89" s="49" t="s">
        <v>122</v>
      </c>
      <c r="F89" s="48" t="s">
        <v>123</v>
      </c>
      <c r="G89" s="48" t="s">
        <v>220</v>
      </c>
    </row>
    <row r="90" spans="1:7" ht="12.6" customHeight="1" x14ac:dyDescent="0.25">
      <c r="A90" s="56">
        <f t="shared" si="1"/>
        <v>81</v>
      </c>
      <c r="B90" s="45" t="s">
        <v>4</v>
      </c>
      <c r="C90" s="48" t="s">
        <v>221</v>
      </c>
      <c r="D90" s="49">
        <v>1</v>
      </c>
      <c r="E90" s="49" t="s">
        <v>122</v>
      </c>
      <c r="F90" s="49" t="s">
        <v>123</v>
      </c>
      <c r="G90" s="45"/>
    </row>
    <row r="91" spans="1:7" s="3" customFormat="1" ht="12.6" customHeight="1" x14ac:dyDescent="0.25">
      <c r="A91" s="56">
        <f t="shared" si="1"/>
        <v>82</v>
      </c>
      <c r="B91" s="45" t="s">
        <v>4</v>
      </c>
      <c r="C91" s="48" t="s">
        <v>222</v>
      </c>
      <c r="D91" s="49">
        <v>40</v>
      </c>
      <c r="E91" s="49" t="s">
        <v>122</v>
      </c>
      <c r="F91" s="49" t="s">
        <v>132</v>
      </c>
      <c r="G91" s="45"/>
    </row>
    <row r="92" spans="1:7" ht="12.6" customHeight="1" x14ac:dyDescent="0.25">
      <c r="A92" s="56">
        <f t="shared" si="1"/>
        <v>83</v>
      </c>
      <c r="B92" s="45" t="s">
        <v>24</v>
      </c>
      <c r="C92" s="48" t="s">
        <v>223</v>
      </c>
      <c r="D92" s="49">
        <v>23</v>
      </c>
      <c r="E92" s="49" t="s">
        <v>122</v>
      </c>
      <c r="F92" s="49" t="s">
        <v>123</v>
      </c>
      <c r="G92" s="45"/>
    </row>
    <row r="93" spans="1:7" ht="12.6" customHeight="1" x14ac:dyDescent="0.25">
      <c r="A93" s="56">
        <f t="shared" si="1"/>
        <v>84</v>
      </c>
      <c r="B93" s="45" t="s">
        <v>25</v>
      </c>
      <c r="C93" s="48" t="s">
        <v>224</v>
      </c>
      <c r="D93" s="49">
        <v>2</v>
      </c>
      <c r="E93" s="49" t="s">
        <v>122</v>
      </c>
      <c r="F93" s="49" t="s">
        <v>135</v>
      </c>
      <c r="G93" s="45"/>
    </row>
    <row r="94" spans="1:7" ht="12.6" customHeight="1" x14ac:dyDescent="0.25">
      <c r="A94" s="56">
        <f t="shared" si="1"/>
        <v>85</v>
      </c>
      <c r="B94" s="45" t="s">
        <v>15</v>
      </c>
      <c r="C94" s="48" t="s">
        <v>225</v>
      </c>
      <c r="D94" s="49">
        <v>439</v>
      </c>
      <c r="E94" s="49" t="s">
        <v>149</v>
      </c>
      <c r="F94" s="49" t="s">
        <v>132</v>
      </c>
      <c r="G94" s="45"/>
    </row>
    <row r="95" spans="1:7" ht="12.6" customHeight="1" x14ac:dyDescent="0.25">
      <c r="A95" s="56">
        <f t="shared" si="1"/>
        <v>86</v>
      </c>
      <c r="B95" s="45" t="s">
        <v>15</v>
      </c>
      <c r="C95" s="48" t="s">
        <v>226</v>
      </c>
      <c r="D95" s="49">
        <v>5</v>
      </c>
      <c r="E95" s="49" t="s">
        <v>149</v>
      </c>
      <c r="F95" s="49" t="s">
        <v>132</v>
      </c>
      <c r="G95" s="45"/>
    </row>
    <row r="96" spans="1:7" ht="12.6" customHeight="1" x14ac:dyDescent="0.25">
      <c r="A96" s="56">
        <f t="shared" si="1"/>
        <v>87</v>
      </c>
      <c r="B96" s="45" t="s">
        <v>7</v>
      </c>
      <c r="C96" s="48" t="s">
        <v>227</v>
      </c>
      <c r="D96" s="49">
        <v>375</v>
      </c>
      <c r="E96" s="49" t="s">
        <v>228</v>
      </c>
      <c r="F96" s="49" t="s">
        <v>229</v>
      </c>
      <c r="G96" s="45" t="s">
        <v>230</v>
      </c>
    </row>
    <row r="97" spans="1:7" ht="12.6" customHeight="1" x14ac:dyDescent="0.25">
      <c r="A97" s="56">
        <f t="shared" si="1"/>
        <v>88</v>
      </c>
      <c r="B97" s="45" t="s">
        <v>7</v>
      </c>
      <c r="C97" s="48" t="s">
        <v>231</v>
      </c>
      <c r="D97" s="49">
        <v>375</v>
      </c>
      <c r="E97" s="49" t="s">
        <v>228</v>
      </c>
      <c r="F97" s="49" t="s">
        <v>229</v>
      </c>
      <c r="G97" s="52" t="s">
        <v>230</v>
      </c>
    </row>
    <row r="98" spans="1:7" ht="12.6" customHeight="1" x14ac:dyDescent="0.25">
      <c r="A98" s="56">
        <f t="shared" si="1"/>
        <v>89</v>
      </c>
      <c r="B98" s="45" t="s">
        <v>7</v>
      </c>
      <c r="C98" s="48" t="s">
        <v>232</v>
      </c>
      <c r="D98" s="49">
        <v>375</v>
      </c>
      <c r="E98" s="49" t="s">
        <v>228</v>
      </c>
      <c r="F98" s="49" t="s">
        <v>229</v>
      </c>
      <c r="G98" s="45" t="s">
        <v>230</v>
      </c>
    </row>
    <row r="99" spans="1:7" ht="12.6" customHeight="1" x14ac:dyDescent="0.25">
      <c r="A99" s="56">
        <f t="shared" si="1"/>
        <v>90</v>
      </c>
      <c r="B99" s="45" t="s">
        <v>7</v>
      </c>
      <c r="C99" s="48" t="s">
        <v>233</v>
      </c>
      <c r="D99" s="49">
        <v>375</v>
      </c>
      <c r="E99" s="49" t="s">
        <v>228</v>
      </c>
      <c r="F99" s="49" t="s">
        <v>229</v>
      </c>
      <c r="G99" s="45" t="s">
        <v>230</v>
      </c>
    </row>
    <row r="100" spans="1:7" ht="12.6" customHeight="1" x14ac:dyDescent="0.25">
      <c r="A100" s="56">
        <f t="shared" si="1"/>
        <v>91</v>
      </c>
      <c r="B100" s="45" t="s">
        <v>7</v>
      </c>
      <c r="C100" s="48" t="s">
        <v>234</v>
      </c>
      <c r="D100" s="49">
        <v>375</v>
      </c>
      <c r="E100" s="49" t="s">
        <v>228</v>
      </c>
      <c r="F100" s="49" t="s">
        <v>229</v>
      </c>
      <c r="G100" s="45" t="s">
        <v>230</v>
      </c>
    </row>
    <row r="101" spans="1:7" ht="12.6" customHeight="1" x14ac:dyDescent="0.25">
      <c r="A101" s="56">
        <f t="shared" si="1"/>
        <v>92</v>
      </c>
      <c r="B101" s="45" t="s">
        <v>7</v>
      </c>
      <c r="C101" s="48" t="s">
        <v>235</v>
      </c>
      <c r="D101" s="49">
        <v>375</v>
      </c>
      <c r="E101" s="49" t="s">
        <v>228</v>
      </c>
      <c r="F101" s="49" t="s">
        <v>229</v>
      </c>
      <c r="G101" s="45" t="s">
        <v>230</v>
      </c>
    </row>
    <row r="102" spans="1:7" ht="12.6" customHeight="1" x14ac:dyDescent="0.25">
      <c r="A102" s="56">
        <f t="shared" ref="A102:A133" si="2">A101+1</f>
        <v>93</v>
      </c>
      <c r="B102" s="45" t="s">
        <v>7</v>
      </c>
      <c r="C102" s="48" t="s">
        <v>236</v>
      </c>
      <c r="D102" s="49">
        <v>2</v>
      </c>
      <c r="E102" s="49" t="s">
        <v>194</v>
      </c>
      <c r="F102" s="49" t="s">
        <v>229</v>
      </c>
      <c r="G102" s="45" t="s">
        <v>230</v>
      </c>
    </row>
    <row r="103" spans="1:7" x14ac:dyDescent="0.25">
      <c r="A103" s="56">
        <f t="shared" si="2"/>
        <v>94</v>
      </c>
      <c r="B103" s="53" t="s">
        <v>8</v>
      </c>
      <c r="C103" s="54" t="s">
        <v>237</v>
      </c>
      <c r="D103" s="53">
        <v>30</v>
      </c>
      <c r="E103" s="53" t="s">
        <v>238</v>
      </c>
      <c r="F103" s="49" t="s">
        <v>123</v>
      </c>
      <c r="G103" s="45"/>
    </row>
    <row r="104" spans="1:7" ht="12.6" customHeight="1" x14ac:dyDescent="0.25">
      <c r="A104" s="56">
        <f t="shared" si="2"/>
        <v>95</v>
      </c>
      <c r="B104" s="45" t="s">
        <v>8</v>
      </c>
      <c r="C104" s="48" t="s">
        <v>239</v>
      </c>
      <c r="D104" s="49">
        <v>30</v>
      </c>
      <c r="E104" s="49" t="s">
        <v>240</v>
      </c>
      <c r="F104" s="49" t="s">
        <v>123</v>
      </c>
      <c r="G104" s="45"/>
    </row>
    <row r="105" spans="1:7" ht="12.6" customHeight="1" x14ac:dyDescent="0.25">
      <c r="A105" s="56">
        <f t="shared" si="2"/>
        <v>96</v>
      </c>
      <c r="B105" s="45" t="s">
        <v>8</v>
      </c>
      <c r="C105" s="48" t="s">
        <v>241</v>
      </c>
      <c r="D105" s="49">
        <v>6</v>
      </c>
      <c r="E105" s="49" t="s">
        <v>240</v>
      </c>
      <c r="F105" s="49" t="s">
        <v>123</v>
      </c>
      <c r="G105" s="45"/>
    </row>
    <row r="106" spans="1:7" ht="12.6" customHeight="1" x14ac:dyDescent="0.25">
      <c r="A106" s="56">
        <f t="shared" si="2"/>
        <v>97</v>
      </c>
      <c r="B106" s="45" t="s">
        <v>8</v>
      </c>
      <c r="C106" s="48" t="s">
        <v>242</v>
      </c>
      <c r="D106" s="49">
        <v>12</v>
      </c>
      <c r="E106" s="49" t="s">
        <v>240</v>
      </c>
      <c r="F106" s="49" t="s">
        <v>123</v>
      </c>
      <c r="G106" s="45"/>
    </row>
    <row r="107" spans="1:7" ht="12.6" customHeight="1" x14ac:dyDescent="0.25">
      <c r="A107" s="56">
        <f t="shared" si="2"/>
        <v>98</v>
      </c>
      <c r="B107" s="45" t="s">
        <v>8</v>
      </c>
      <c r="C107" s="48" t="s">
        <v>243</v>
      </c>
      <c r="D107" s="49">
        <v>9</v>
      </c>
      <c r="E107" s="49" t="s">
        <v>240</v>
      </c>
      <c r="F107" s="49" t="s">
        <v>123</v>
      </c>
      <c r="G107" s="45"/>
    </row>
    <row r="108" spans="1:7" ht="12.6" customHeight="1" x14ac:dyDescent="0.25">
      <c r="A108" s="56">
        <f t="shared" si="2"/>
        <v>99</v>
      </c>
      <c r="B108" s="45" t="s">
        <v>8</v>
      </c>
      <c r="C108" s="48" t="s">
        <v>244</v>
      </c>
      <c r="D108" s="49">
        <v>3</v>
      </c>
      <c r="E108" s="49" t="s">
        <v>122</v>
      </c>
      <c r="F108" s="49" t="s">
        <v>123</v>
      </c>
      <c r="G108" s="45"/>
    </row>
    <row r="109" spans="1:7" ht="12.6" customHeight="1" x14ac:dyDescent="0.25">
      <c r="A109" s="56">
        <f t="shared" si="2"/>
        <v>100</v>
      </c>
      <c r="B109" s="45" t="s">
        <v>27</v>
      </c>
      <c r="C109" s="48" t="s">
        <v>245</v>
      </c>
      <c r="D109" s="49">
        <v>1</v>
      </c>
      <c r="E109" s="49" t="s">
        <v>149</v>
      </c>
      <c r="F109" s="49" t="s">
        <v>132</v>
      </c>
      <c r="G109" s="45"/>
    </row>
    <row r="110" spans="1:7" ht="12.6" customHeight="1" x14ac:dyDescent="0.25">
      <c r="A110" s="56">
        <f t="shared" si="2"/>
        <v>101</v>
      </c>
      <c r="B110" s="45" t="s">
        <v>5</v>
      </c>
      <c r="C110" s="48" t="s">
        <v>246</v>
      </c>
      <c r="D110" s="49">
        <v>241</v>
      </c>
      <c r="E110" s="49" t="s">
        <v>122</v>
      </c>
      <c r="F110" s="49" t="s">
        <v>229</v>
      </c>
      <c r="G110" s="45" t="s">
        <v>247</v>
      </c>
    </row>
    <row r="111" spans="1:7" ht="12.6" customHeight="1" x14ac:dyDescent="0.25">
      <c r="A111" s="56">
        <f t="shared" si="2"/>
        <v>102</v>
      </c>
      <c r="B111" s="45" t="s">
        <v>5</v>
      </c>
      <c r="C111" s="48" t="s">
        <v>248</v>
      </c>
      <c r="D111" s="49">
        <v>127</v>
      </c>
      <c r="E111" s="49" t="s">
        <v>122</v>
      </c>
      <c r="F111" s="49" t="s">
        <v>229</v>
      </c>
      <c r="G111" s="45" t="s">
        <v>247</v>
      </c>
    </row>
    <row r="112" spans="1:7" ht="13.95" customHeight="1" x14ac:dyDescent="0.25">
      <c r="A112" s="56">
        <f t="shared" si="2"/>
        <v>103</v>
      </c>
      <c r="B112" s="45" t="s">
        <v>5</v>
      </c>
      <c r="C112" s="48" t="s">
        <v>249</v>
      </c>
      <c r="D112" s="49">
        <v>62</v>
      </c>
      <c r="E112" s="49" t="s">
        <v>122</v>
      </c>
      <c r="F112" s="49" t="s">
        <v>229</v>
      </c>
      <c r="G112" s="45" t="s">
        <v>247</v>
      </c>
    </row>
    <row r="113" spans="1:7" x14ac:dyDescent="0.25">
      <c r="A113" s="56">
        <f t="shared" si="2"/>
        <v>104</v>
      </c>
      <c r="B113" s="45" t="s">
        <v>5</v>
      </c>
      <c r="C113" s="48" t="s">
        <v>250</v>
      </c>
      <c r="D113" s="49">
        <v>60</v>
      </c>
      <c r="E113" s="49" t="s">
        <v>122</v>
      </c>
      <c r="F113" s="49" t="s">
        <v>229</v>
      </c>
      <c r="G113" s="45" t="s">
        <v>247</v>
      </c>
    </row>
    <row r="114" spans="1:7" x14ac:dyDescent="0.25">
      <c r="A114" s="56">
        <f t="shared" si="2"/>
        <v>105</v>
      </c>
      <c r="B114" s="45" t="s">
        <v>5</v>
      </c>
      <c r="C114" s="48" t="s">
        <v>251</v>
      </c>
      <c r="D114" s="49">
        <v>27</v>
      </c>
      <c r="E114" s="49" t="s">
        <v>122</v>
      </c>
      <c r="F114" s="49" t="s">
        <v>229</v>
      </c>
      <c r="G114" s="45" t="s">
        <v>247</v>
      </c>
    </row>
    <row r="115" spans="1:7" x14ac:dyDescent="0.25">
      <c r="A115" s="56">
        <f t="shared" si="2"/>
        <v>106</v>
      </c>
      <c r="B115" s="45" t="s">
        <v>5</v>
      </c>
      <c r="C115" s="48" t="s">
        <v>252</v>
      </c>
      <c r="D115" s="49">
        <v>12</v>
      </c>
      <c r="E115" s="49" t="s">
        <v>122</v>
      </c>
      <c r="F115" s="49" t="s">
        <v>229</v>
      </c>
      <c r="G115" s="45" t="s">
        <v>247</v>
      </c>
    </row>
    <row r="116" spans="1:7" x14ac:dyDescent="0.25">
      <c r="A116" s="56">
        <f t="shared" si="2"/>
        <v>107</v>
      </c>
      <c r="B116" s="45" t="s">
        <v>5</v>
      </c>
      <c r="C116" s="48" t="s">
        <v>253</v>
      </c>
      <c r="D116" s="49">
        <v>5</v>
      </c>
      <c r="E116" s="49" t="s">
        <v>122</v>
      </c>
      <c r="F116" s="49" t="s">
        <v>229</v>
      </c>
      <c r="G116" s="45" t="s">
        <v>247</v>
      </c>
    </row>
    <row r="117" spans="1:7" x14ac:dyDescent="0.25">
      <c r="A117" s="56">
        <f t="shared" si="2"/>
        <v>108</v>
      </c>
      <c r="B117" s="45" t="s">
        <v>5</v>
      </c>
      <c r="C117" s="48" t="s">
        <v>254</v>
      </c>
      <c r="D117" s="49">
        <v>1</v>
      </c>
      <c r="E117" s="49" t="s">
        <v>255</v>
      </c>
      <c r="F117" s="49" t="s">
        <v>229</v>
      </c>
      <c r="G117" s="45" t="s">
        <v>247</v>
      </c>
    </row>
    <row r="118" spans="1:7" x14ac:dyDescent="0.25">
      <c r="A118" s="56">
        <f t="shared" si="2"/>
        <v>109</v>
      </c>
      <c r="B118" s="45" t="s">
        <v>6</v>
      </c>
      <c r="C118" s="48" t="s">
        <v>256</v>
      </c>
      <c r="D118" s="51">
        <v>30</v>
      </c>
      <c r="E118" s="49" t="s">
        <v>141</v>
      </c>
      <c r="F118" s="49" t="s">
        <v>123</v>
      </c>
      <c r="G118" s="45"/>
    </row>
    <row r="119" spans="1:7" x14ac:dyDescent="0.25">
      <c r="A119" s="56">
        <f t="shared" si="2"/>
        <v>110</v>
      </c>
      <c r="B119" s="45" t="s">
        <v>6</v>
      </c>
      <c r="C119" s="48" t="s">
        <v>257</v>
      </c>
      <c r="D119" s="49">
        <v>15</v>
      </c>
      <c r="E119" s="49" t="s">
        <v>141</v>
      </c>
      <c r="F119" s="49" t="s">
        <v>123</v>
      </c>
      <c r="G119" s="45"/>
    </row>
    <row r="120" spans="1:7" x14ac:dyDescent="0.25">
      <c r="A120" s="56">
        <f t="shared" si="2"/>
        <v>111</v>
      </c>
      <c r="B120" s="45" t="s">
        <v>6</v>
      </c>
      <c r="C120" s="48" t="s">
        <v>258</v>
      </c>
      <c r="D120" s="49">
        <v>2</v>
      </c>
      <c r="E120" s="49" t="s">
        <v>141</v>
      </c>
      <c r="F120" s="49" t="s">
        <v>123</v>
      </c>
      <c r="G120" s="45"/>
    </row>
    <row r="121" spans="1:7" x14ac:dyDescent="0.25">
      <c r="A121" s="56">
        <f t="shared" si="2"/>
        <v>112</v>
      </c>
      <c r="B121" s="45" t="s">
        <v>6</v>
      </c>
      <c r="C121" s="48" t="s">
        <v>259</v>
      </c>
      <c r="D121" s="49">
        <v>1</v>
      </c>
      <c r="E121" s="49" t="s">
        <v>145</v>
      </c>
      <c r="F121" s="49" t="s">
        <v>123</v>
      </c>
      <c r="G121" s="45"/>
    </row>
    <row r="122" spans="1:7" ht="11.4" customHeight="1" x14ac:dyDescent="0.25">
      <c r="A122" s="56">
        <f t="shared" si="2"/>
        <v>113</v>
      </c>
      <c r="B122" s="45" t="s">
        <v>6</v>
      </c>
      <c r="C122" s="48" t="s">
        <v>260</v>
      </c>
      <c r="D122" s="49">
        <v>1</v>
      </c>
      <c r="E122" s="49" t="s">
        <v>122</v>
      </c>
      <c r="F122" s="49" t="s">
        <v>123</v>
      </c>
      <c r="G122" s="45"/>
    </row>
    <row r="123" spans="1:7" ht="13.95" customHeight="1" x14ac:dyDescent="0.25">
      <c r="A123" s="56">
        <f t="shared" si="2"/>
        <v>114</v>
      </c>
      <c r="B123" s="45" t="s">
        <v>6</v>
      </c>
      <c r="C123" s="48" t="s">
        <v>261</v>
      </c>
      <c r="D123" s="49">
        <v>1</v>
      </c>
      <c r="E123" s="49" t="s">
        <v>122</v>
      </c>
      <c r="F123" s="49" t="s">
        <v>123</v>
      </c>
      <c r="G123" s="45"/>
    </row>
    <row r="124" spans="1:7" x14ac:dyDescent="0.25">
      <c r="A124" s="56">
        <f t="shared" si="2"/>
        <v>115</v>
      </c>
      <c r="B124" s="45" t="s">
        <v>6</v>
      </c>
      <c r="C124" s="48" t="s">
        <v>262</v>
      </c>
      <c r="D124" s="49">
        <v>1</v>
      </c>
      <c r="E124" s="49" t="s">
        <v>122</v>
      </c>
      <c r="F124" s="49" t="s">
        <v>123</v>
      </c>
      <c r="G124" s="45"/>
    </row>
    <row r="125" spans="1:7" x14ac:dyDescent="0.25">
      <c r="A125" s="56">
        <f t="shared" si="2"/>
        <v>116</v>
      </c>
      <c r="B125" s="45" t="s">
        <v>6</v>
      </c>
      <c r="C125" s="48" t="s">
        <v>263</v>
      </c>
      <c r="D125" s="49">
        <v>1</v>
      </c>
      <c r="E125" s="49" t="s">
        <v>122</v>
      </c>
      <c r="F125" s="49" t="s">
        <v>123</v>
      </c>
      <c r="G125" s="45"/>
    </row>
    <row r="126" spans="1:7" x14ac:dyDescent="0.25">
      <c r="A126" s="56">
        <f t="shared" si="2"/>
        <v>117</v>
      </c>
      <c r="B126" s="45" t="s">
        <v>6</v>
      </c>
      <c r="C126" s="48" t="s">
        <v>264</v>
      </c>
      <c r="D126" s="49">
        <v>1</v>
      </c>
      <c r="E126" s="49" t="s">
        <v>122</v>
      </c>
      <c r="F126" s="49" t="s">
        <v>123</v>
      </c>
      <c r="G126" s="45"/>
    </row>
    <row r="127" spans="1:7" x14ac:dyDescent="0.25">
      <c r="A127" s="56">
        <f t="shared" si="2"/>
        <v>118</v>
      </c>
      <c r="B127" s="45" t="s">
        <v>6</v>
      </c>
      <c r="C127" s="48" t="s">
        <v>265</v>
      </c>
      <c r="D127" s="49">
        <v>1</v>
      </c>
      <c r="E127" s="49" t="s">
        <v>122</v>
      </c>
      <c r="F127" s="49" t="s">
        <v>123</v>
      </c>
      <c r="G127" s="45"/>
    </row>
    <row r="128" spans="1:7" ht="13.2" customHeight="1" x14ac:dyDescent="0.25">
      <c r="A128" s="56">
        <f t="shared" si="2"/>
        <v>119</v>
      </c>
      <c r="B128" s="45" t="s">
        <v>6</v>
      </c>
      <c r="C128" s="48" t="s">
        <v>266</v>
      </c>
      <c r="D128" s="49">
        <v>1</v>
      </c>
      <c r="E128" s="49" t="s">
        <v>122</v>
      </c>
      <c r="F128" s="49" t="s">
        <v>123</v>
      </c>
      <c r="G128" s="45"/>
    </row>
    <row r="129" spans="1:7" ht="16.2" customHeight="1" x14ac:dyDescent="0.25">
      <c r="A129" s="56">
        <f t="shared" si="2"/>
        <v>120</v>
      </c>
      <c r="B129" s="45" t="s">
        <v>6</v>
      </c>
      <c r="C129" s="48" t="s">
        <v>267</v>
      </c>
      <c r="D129" s="49">
        <v>1</v>
      </c>
      <c r="E129" s="49" t="s">
        <v>122</v>
      </c>
      <c r="F129" s="49" t="s">
        <v>123</v>
      </c>
      <c r="G129" s="45"/>
    </row>
    <row r="130" spans="1:7" ht="17.399999999999999" customHeight="1" x14ac:dyDescent="0.25">
      <c r="A130" s="56">
        <f t="shared" si="2"/>
        <v>121</v>
      </c>
      <c r="B130" s="45" t="s">
        <v>6</v>
      </c>
      <c r="C130" s="48" t="s">
        <v>268</v>
      </c>
      <c r="D130" s="49">
        <v>1</v>
      </c>
      <c r="E130" s="49" t="s">
        <v>122</v>
      </c>
      <c r="F130" s="49" t="s">
        <v>123</v>
      </c>
      <c r="G130" s="45"/>
    </row>
    <row r="131" spans="1:7" ht="13.2" customHeight="1" x14ac:dyDescent="0.25">
      <c r="A131" s="56">
        <f t="shared" si="2"/>
        <v>122</v>
      </c>
      <c r="B131" s="45" t="s">
        <v>6</v>
      </c>
      <c r="C131" s="48" t="s">
        <v>269</v>
      </c>
      <c r="D131" s="49">
        <v>1</v>
      </c>
      <c r="E131" s="49" t="s">
        <v>122</v>
      </c>
      <c r="F131" s="49" t="s">
        <v>123</v>
      </c>
      <c r="G131" s="45"/>
    </row>
    <row r="132" spans="1:7" ht="17.399999999999999" customHeight="1" x14ac:dyDescent="0.25">
      <c r="A132" s="56">
        <f t="shared" si="2"/>
        <v>123</v>
      </c>
      <c r="B132" s="45" t="s">
        <v>6</v>
      </c>
      <c r="C132" s="48" t="s">
        <v>270</v>
      </c>
      <c r="D132" s="49">
        <v>1</v>
      </c>
      <c r="E132" s="49" t="s">
        <v>141</v>
      </c>
      <c r="F132" s="49" t="s">
        <v>123</v>
      </c>
      <c r="G132" s="45"/>
    </row>
    <row r="133" spans="1:7" x14ac:dyDescent="0.25">
      <c r="A133" s="56">
        <f t="shared" si="2"/>
        <v>124</v>
      </c>
      <c r="B133" s="53" t="s">
        <v>28</v>
      </c>
      <c r="C133" s="48" t="s">
        <v>271</v>
      </c>
      <c r="D133" s="49">
        <v>9</v>
      </c>
      <c r="E133" s="49" t="s">
        <v>272</v>
      </c>
      <c r="F133" s="49" t="s">
        <v>229</v>
      </c>
      <c r="G133" s="45" t="s">
        <v>273</v>
      </c>
    </row>
    <row r="134" spans="1:7" ht="14.4" customHeight="1" x14ac:dyDescent="0.25">
      <c r="A134" s="56">
        <f t="shared" ref="A134:A157" si="3">A133+1</f>
        <v>125</v>
      </c>
      <c r="B134" s="45" t="s">
        <v>29</v>
      </c>
      <c r="C134" s="48" t="s">
        <v>274</v>
      </c>
      <c r="D134" s="49">
        <v>441</v>
      </c>
      <c r="E134" s="49" t="s">
        <v>210</v>
      </c>
      <c r="F134" s="49" t="s">
        <v>123</v>
      </c>
      <c r="G134" s="45"/>
    </row>
    <row r="135" spans="1:7" ht="15.6" customHeight="1" x14ac:dyDescent="0.25">
      <c r="A135" s="56">
        <f t="shared" si="3"/>
        <v>126</v>
      </c>
      <c r="B135" s="45" t="s">
        <v>9</v>
      </c>
      <c r="C135" s="48" t="s">
        <v>275</v>
      </c>
      <c r="D135" s="49">
        <v>3</v>
      </c>
      <c r="E135" s="49" t="s">
        <v>276</v>
      </c>
      <c r="F135" s="49" t="s">
        <v>229</v>
      </c>
      <c r="G135" s="45" t="s">
        <v>273</v>
      </c>
    </row>
    <row r="136" spans="1:7" x14ac:dyDescent="0.25">
      <c r="A136" s="56">
        <f t="shared" si="3"/>
        <v>127</v>
      </c>
      <c r="B136" s="45" t="s">
        <v>9</v>
      </c>
      <c r="C136" s="48" t="s">
        <v>277</v>
      </c>
      <c r="D136" s="49">
        <v>11</v>
      </c>
      <c r="E136" s="49" t="s">
        <v>276</v>
      </c>
      <c r="F136" s="49" t="s">
        <v>229</v>
      </c>
      <c r="G136" s="45" t="s">
        <v>273</v>
      </c>
    </row>
    <row r="137" spans="1:7" x14ac:dyDescent="0.25">
      <c r="A137" s="56">
        <f t="shared" si="3"/>
        <v>128</v>
      </c>
      <c r="B137" s="45" t="s">
        <v>9</v>
      </c>
      <c r="C137" s="48" t="s">
        <v>278</v>
      </c>
      <c r="D137" s="49">
        <v>11</v>
      </c>
      <c r="E137" s="49" t="s">
        <v>276</v>
      </c>
      <c r="F137" s="49" t="s">
        <v>229</v>
      </c>
      <c r="G137" s="45" t="s">
        <v>273</v>
      </c>
    </row>
    <row r="138" spans="1:7" x14ac:dyDescent="0.25">
      <c r="A138" s="56">
        <f t="shared" si="3"/>
        <v>129</v>
      </c>
      <c r="B138" s="45" t="s">
        <v>9</v>
      </c>
      <c r="C138" s="48" t="s">
        <v>279</v>
      </c>
      <c r="D138" s="49">
        <v>2</v>
      </c>
      <c r="E138" s="49" t="s">
        <v>276</v>
      </c>
      <c r="F138" s="49" t="s">
        <v>229</v>
      </c>
      <c r="G138" s="45" t="s">
        <v>273</v>
      </c>
    </row>
    <row r="139" spans="1:7" x14ac:dyDescent="0.25">
      <c r="A139" s="56">
        <f t="shared" si="3"/>
        <v>130</v>
      </c>
      <c r="B139" s="45" t="s">
        <v>9</v>
      </c>
      <c r="C139" s="48" t="s">
        <v>280</v>
      </c>
      <c r="D139" s="49">
        <v>2</v>
      </c>
      <c r="E139" s="49" t="s">
        <v>276</v>
      </c>
      <c r="F139" s="49" t="s">
        <v>229</v>
      </c>
      <c r="G139" s="45" t="s">
        <v>273</v>
      </c>
    </row>
    <row r="140" spans="1:7" x14ac:dyDescent="0.25">
      <c r="A140" s="56">
        <f t="shared" si="3"/>
        <v>131</v>
      </c>
      <c r="B140" s="45" t="s">
        <v>16</v>
      </c>
      <c r="C140" s="46" t="s">
        <v>281</v>
      </c>
      <c r="D140" s="49">
        <v>10</v>
      </c>
      <c r="E140" s="49" t="s">
        <v>132</v>
      </c>
      <c r="F140" s="49" t="s">
        <v>132</v>
      </c>
      <c r="G140" s="45"/>
    </row>
    <row r="141" spans="1:7" x14ac:dyDescent="0.25">
      <c r="A141" s="56">
        <f t="shared" si="3"/>
        <v>132</v>
      </c>
      <c r="B141" s="45" t="s">
        <v>16</v>
      </c>
      <c r="C141" s="46" t="s">
        <v>282</v>
      </c>
      <c r="D141" s="49">
        <v>8</v>
      </c>
      <c r="E141" s="49" t="s">
        <v>132</v>
      </c>
      <c r="F141" s="49" t="s">
        <v>132</v>
      </c>
      <c r="G141" s="45"/>
    </row>
    <row r="142" spans="1:7" x14ac:dyDescent="0.25">
      <c r="A142" s="56">
        <f t="shared" si="3"/>
        <v>133</v>
      </c>
      <c r="B142" s="45" t="s">
        <v>4</v>
      </c>
      <c r="C142" s="48" t="s">
        <v>283</v>
      </c>
      <c r="D142" s="49">
        <v>500</v>
      </c>
      <c r="E142" s="49" t="s">
        <v>122</v>
      </c>
      <c r="F142" s="49" t="s">
        <v>123</v>
      </c>
      <c r="G142" s="45"/>
    </row>
    <row r="143" spans="1:7" x14ac:dyDescent="0.25">
      <c r="A143" s="56">
        <f t="shared" si="3"/>
        <v>134</v>
      </c>
      <c r="B143" s="45" t="s">
        <v>26</v>
      </c>
      <c r="C143" s="48" t="s">
        <v>284</v>
      </c>
      <c r="D143" s="49" t="s">
        <v>285</v>
      </c>
      <c r="E143" s="49" t="s">
        <v>132</v>
      </c>
      <c r="F143" s="49" t="s">
        <v>132</v>
      </c>
      <c r="G143" s="45"/>
    </row>
    <row r="144" spans="1:7" x14ac:dyDescent="0.25">
      <c r="A144" s="56">
        <f t="shared" si="3"/>
        <v>135</v>
      </c>
      <c r="B144" s="45" t="s">
        <v>5</v>
      </c>
      <c r="C144" s="48" t="s">
        <v>286</v>
      </c>
      <c r="D144" s="49">
        <v>1</v>
      </c>
      <c r="E144" s="49" t="s">
        <v>287</v>
      </c>
      <c r="F144" s="49" t="s">
        <v>229</v>
      </c>
      <c r="G144" s="45" t="s">
        <v>288</v>
      </c>
    </row>
    <row r="145" spans="1:7" x14ac:dyDescent="0.25">
      <c r="A145" s="56">
        <f t="shared" si="3"/>
        <v>136</v>
      </c>
      <c r="B145" s="45" t="s">
        <v>5</v>
      </c>
      <c r="C145" s="48" t="s">
        <v>289</v>
      </c>
      <c r="D145" s="49">
        <v>1</v>
      </c>
      <c r="E145" s="49" t="s">
        <v>287</v>
      </c>
      <c r="F145" s="49" t="s">
        <v>229</v>
      </c>
      <c r="G145" s="45" t="s">
        <v>288</v>
      </c>
    </row>
    <row r="146" spans="1:7" x14ac:dyDescent="0.25">
      <c r="A146" s="56">
        <f t="shared" si="3"/>
        <v>137</v>
      </c>
      <c r="B146" s="45" t="s">
        <v>5</v>
      </c>
      <c r="C146" s="48" t="s">
        <v>290</v>
      </c>
      <c r="D146" s="49">
        <v>1</v>
      </c>
      <c r="E146" s="49" t="s">
        <v>287</v>
      </c>
      <c r="F146" s="49" t="s">
        <v>229</v>
      </c>
      <c r="G146" s="45" t="s">
        <v>288</v>
      </c>
    </row>
    <row r="147" spans="1:7" x14ac:dyDescent="0.25">
      <c r="A147" s="56">
        <f t="shared" si="3"/>
        <v>138</v>
      </c>
      <c r="B147" s="45" t="s">
        <v>5</v>
      </c>
      <c r="C147" s="48" t="s">
        <v>291</v>
      </c>
      <c r="D147" s="49">
        <v>1</v>
      </c>
      <c r="E147" s="49" t="s">
        <v>287</v>
      </c>
      <c r="F147" s="49" t="s">
        <v>229</v>
      </c>
      <c r="G147" s="45" t="s">
        <v>288</v>
      </c>
    </row>
    <row r="148" spans="1:7" x14ac:dyDescent="0.25">
      <c r="A148" s="56">
        <f t="shared" si="3"/>
        <v>139</v>
      </c>
      <c r="B148" s="45" t="s">
        <v>5</v>
      </c>
      <c r="C148" s="48" t="s">
        <v>292</v>
      </c>
      <c r="D148" s="49">
        <v>1</v>
      </c>
      <c r="E148" s="49" t="s">
        <v>287</v>
      </c>
      <c r="F148" s="49" t="s">
        <v>229</v>
      </c>
      <c r="G148" s="45" t="s">
        <v>288</v>
      </c>
    </row>
    <row r="149" spans="1:7" x14ac:dyDescent="0.25">
      <c r="A149" s="56">
        <f t="shared" si="3"/>
        <v>140</v>
      </c>
      <c r="B149" s="45" t="s">
        <v>5</v>
      </c>
      <c r="C149" s="48" t="s">
        <v>293</v>
      </c>
      <c r="D149" s="49">
        <v>1</v>
      </c>
      <c r="E149" s="49" t="s">
        <v>287</v>
      </c>
      <c r="F149" s="49" t="s">
        <v>229</v>
      </c>
      <c r="G149" s="45" t="s">
        <v>288</v>
      </c>
    </row>
    <row r="150" spans="1:7" x14ac:dyDescent="0.25">
      <c r="A150" s="56">
        <f t="shared" si="3"/>
        <v>141</v>
      </c>
      <c r="B150" s="45" t="s">
        <v>5</v>
      </c>
      <c r="C150" s="48" t="s">
        <v>294</v>
      </c>
      <c r="D150" s="49">
        <v>1</v>
      </c>
      <c r="E150" s="49" t="s">
        <v>287</v>
      </c>
      <c r="F150" s="49" t="s">
        <v>229</v>
      </c>
      <c r="G150" s="45" t="s">
        <v>288</v>
      </c>
    </row>
    <row r="151" spans="1:7" x14ac:dyDescent="0.25">
      <c r="A151" s="56">
        <f t="shared" si="3"/>
        <v>142</v>
      </c>
      <c r="B151" s="45" t="s">
        <v>5</v>
      </c>
      <c r="C151" s="48" t="s">
        <v>295</v>
      </c>
      <c r="D151" s="49">
        <v>1</v>
      </c>
      <c r="E151" s="49" t="s">
        <v>287</v>
      </c>
      <c r="F151" s="49" t="s">
        <v>229</v>
      </c>
      <c r="G151" s="45" t="s">
        <v>288</v>
      </c>
    </row>
    <row r="152" spans="1:7" x14ac:dyDescent="0.25">
      <c r="A152" s="56">
        <f t="shared" si="3"/>
        <v>143</v>
      </c>
      <c r="B152" s="45" t="s">
        <v>4</v>
      </c>
      <c r="C152" s="48" t="s">
        <v>296</v>
      </c>
      <c r="D152" s="49">
        <v>3</v>
      </c>
      <c r="E152" s="49" t="s">
        <v>132</v>
      </c>
      <c r="F152" s="49" t="s">
        <v>132</v>
      </c>
      <c r="G152" s="45" t="s">
        <v>195</v>
      </c>
    </row>
    <row r="153" spans="1:7" x14ac:dyDescent="0.25">
      <c r="A153" s="56">
        <f t="shared" si="3"/>
        <v>144</v>
      </c>
      <c r="B153" s="45" t="s">
        <v>31</v>
      </c>
      <c r="C153" s="48" t="s">
        <v>297</v>
      </c>
      <c r="D153" s="49">
        <v>1</v>
      </c>
      <c r="E153" s="49" t="s">
        <v>298</v>
      </c>
      <c r="F153" s="49" t="s">
        <v>229</v>
      </c>
      <c r="G153" s="45" t="s">
        <v>299</v>
      </c>
    </row>
    <row r="154" spans="1:7" x14ac:dyDescent="0.25">
      <c r="A154" s="56">
        <f t="shared" si="3"/>
        <v>145</v>
      </c>
      <c r="B154" s="45" t="s">
        <v>32</v>
      </c>
      <c r="C154" s="48" t="s">
        <v>300</v>
      </c>
      <c r="D154" s="49"/>
      <c r="E154" s="49" t="s">
        <v>132</v>
      </c>
      <c r="F154" s="49" t="s">
        <v>132</v>
      </c>
      <c r="G154" s="45" t="s">
        <v>195</v>
      </c>
    </row>
    <row r="155" spans="1:7" x14ac:dyDescent="0.25">
      <c r="A155" s="56">
        <f t="shared" si="3"/>
        <v>146</v>
      </c>
      <c r="B155" s="45" t="s">
        <v>33</v>
      </c>
      <c r="C155" s="48" t="s">
        <v>301</v>
      </c>
      <c r="D155" s="49">
        <v>370</v>
      </c>
      <c r="E155" s="49" t="s">
        <v>122</v>
      </c>
      <c r="F155" s="49" t="s">
        <v>229</v>
      </c>
      <c r="G155" s="45" t="s">
        <v>302</v>
      </c>
    </row>
    <row r="156" spans="1:7" x14ac:dyDescent="0.25">
      <c r="A156" s="56">
        <f t="shared" si="3"/>
        <v>147</v>
      </c>
      <c r="B156" s="45" t="s">
        <v>34</v>
      </c>
      <c r="C156" s="48" t="s">
        <v>303</v>
      </c>
      <c r="D156" s="49">
        <v>350</v>
      </c>
      <c r="E156" s="49" t="s">
        <v>122</v>
      </c>
      <c r="F156" s="49" t="s">
        <v>229</v>
      </c>
      <c r="G156" s="55" t="s">
        <v>302</v>
      </c>
    </row>
    <row r="157" spans="1:7" x14ac:dyDescent="0.25">
      <c r="A157" s="56">
        <f t="shared" si="3"/>
        <v>148</v>
      </c>
      <c r="B157" s="45" t="s">
        <v>35</v>
      </c>
      <c r="C157" s="48" t="s">
        <v>304</v>
      </c>
      <c r="D157" s="49">
        <v>17</v>
      </c>
      <c r="E157" s="49" t="s">
        <v>122</v>
      </c>
      <c r="F157" s="49" t="s">
        <v>132</v>
      </c>
      <c r="G157" s="45"/>
    </row>
  </sheetData>
  <sheetProtection selectLockedCells="1" sort="0" autoFilter="0" pivotTables="0" selectUnlockedCells="1"/>
  <mergeCells count="2">
    <mergeCell ref="A5:C5"/>
    <mergeCell ref="A6:C6"/>
  </mergeCell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F0C9F-B71D-45CF-AA22-25494D3AD063}">
  <dimension ref="B1:H130"/>
  <sheetViews>
    <sheetView showGridLines="0" zoomScaleNormal="100" workbookViewId="0">
      <selection activeCell="H17" sqref="H17"/>
    </sheetView>
  </sheetViews>
  <sheetFormatPr defaultColWidth="11.44140625" defaultRowHeight="12.75" customHeight="1" x14ac:dyDescent="0.25"/>
  <cols>
    <col min="2" max="2" width="5.44140625" customWidth="1"/>
    <col min="3" max="3" width="28.5546875" customWidth="1"/>
    <col min="4" max="4" width="39.88671875" style="7" customWidth="1"/>
    <col min="5" max="5" width="12.6640625" style="7" customWidth="1"/>
    <col min="6" max="6" width="25.5546875" style="7" customWidth="1"/>
    <col min="7" max="7" width="63" style="7" customWidth="1"/>
  </cols>
  <sheetData>
    <row r="1" spans="2:8" ht="13.2" x14ac:dyDescent="0.25"/>
    <row r="2" spans="2:8" ht="21" x14ac:dyDescent="0.25">
      <c r="B2" s="33" t="s">
        <v>305</v>
      </c>
      <c r="D2" s="35"/>
    </row>
    <row r="3" spans="2:8" ht="13.2" x14ac:dyDescent="0.25">
      <c r="B3" s="34" t="s">
        <v>111</v>
      </c>
      <c r="C3" s="29"/>
      <c r="D3" s="36"/>
      <c r="E3" s="37"/>
      <c r="F3" s="37"/>
      <c r="G3" s="37"/>
      <c r="H3" s="29"/>
    </row>
    <row r="4" spans="2:8" ht="13.2" x14ac:dyDescent="0.25"/>
    <row r="5" spans="2:8" ht="13.2" x14ac:dyDescent="0.25">
      <c r="B5" s="62" t="s">
        <v>306</v>
      </c>
      <c r="C5" s="62"/>
      <c r="D5" s="62"/>
      <c r="E5" s="62"/>
    </row>
    <row r="6" spans="2:8" ht="13.2" x14ac:dyDescent="0.25"/>
    <row r="7" spans="2:8" ht="13.2" x14ac:dyDescent="0.25">
      <c r="B7" s="38" t="s">
        <v>114</v>
      </c>
      <c r="C7" s="28" t="s">
        <v>115</v>
      </c>
      <c r="D7" s="35" t="s">
        <v>116</v>
      </c>
      <c r="E7" s="35" t="s">
        <v>117</v>
      </c>
      <c r="F7" s="35" t="s">
        <v>307</v>
      </c>
      <c r="G7" s="35" t="s">
        <v>120</v>
      </c>
    </row>
    <row r="8" spans="2:8" ht="12.6" customHeight="1" x14ac:dyDescent="0.25">
      <c r="B8" s="38">
        <v>1</v>
      </c>
      <c r="C8" s="28" t="s">
        <v>12</v>
      </c>
      <c r="D8" s="2" t="s">
        <v>308</v>
      </c>
      <c r="E8" s="2">
        <v>444</v>
      </c>
      <c r="F8" s="35" t="s">
        <v>309</v>
      </c>
      <c r="G8" s="39" t="s">
        <v>310</v>
      </c>
    </row>
    <row r="9" spans="2:8" ht="12.6" customHeight="1" x14ac:dyDescent="0.25">
      <c r="B9" s="38">
        <f>B8+1</f>
        <v>2</v>
      </c>
      <c r="C9" s="28" t="s">
        <v>12</v>
      </c>
      <c r="D9" s="2" t="s">
        <v>311</v>
      </c>
      <c r="E9" s="2">
        <v>429</v>
      </c>
      <c r="F9" s="35" t="s">
        <v>309</v>
      </c>
      <c r="G9" s="39" t="s">
        <v>310</v>
      </c>
    </row>
    <row r="10" spans="2:8" ht="12.6" customHeight="1" x14ac:dyDescent="0.25">
      <c r="B10" s="38">
        <f t="shared" ref="B10:B74" si="0">B9+1</f>
        <v>3</v>
      </c>
      <c r="C10" s="28" t="s">
        <v>38</v>
      </c>
      <c r="D10" s="2" t="s">
        <v>312</v>
      </c>
      <c r="E10" s="2">
        <v>36</v>
      </c>
      <c r="F10" s="35" t="s">
        <v>313</v>
      </c>
      <c r="G10" s="39"/>
    </row>
    <row r="11" spans="2:8" ht="12.6" customHeight="1" x14ac:dyDescent="0.25">
      <c r="B11" s="38">
        <f t="shared" si="0"/>
        <v>4</v>
      </c>
      <c r="C11" s="28" t="s">
        <v>39</v>
      </c>
      <c r="D11" s="2" t="s">
        <v>314</v>
      </c>
      <c r="E11" s="2">
        <v>37</v>
      </c>
      <c r="F11" s="35" t="s">
        <v>313</v>
      </c>
      <c r="G11" s="35"/>
    </row>
    <row r="12" spans="2:8" ht="12.6" customHeight="1" x14ac:dyDescent="0.25">
      <c r="B12" s="38">
        <f t="shared" si="0"/>
        <v>5</v>
      </c>
      <c r="C12" s="28" t="s">
        <v>18</v>
      </c>
      <c r="D12" s="35" t="s">
        <v>315</v>
      </c>
      <c r="E12" s="2">
        <v>2</v>
      </c>
      <c r="F12" s="35" t="s">
        <v>313</v>
      </c>
      <c r="G12" s="35"/>
    </row>
    <row r="13" spans="2:8" ht="12.6" customHeight="1" x14ac:dyDescent="0.25">
      <c r="B13" s="38">
        <f t="shared" si="0"/>
        <v>6</v>
      </c>
      <c r="C13" s="28" t="s">
        <v>40</v>
      </c>
      <c r="D13" s="2" t="s">
        <v>316</v>
      </c>
      <c r="E13" s="2">
        <v>256</v>
      </c>
      <c r="F13" s="35" t="s">
        <v>313</v>
      </c>
      <c r="G13" s="35"/>
    </row>
    <row r="14" spans="2:8" s="1" customFormat="1" ht="12.6" customHeight="1" x14ac:dyDescent="0.25">
      <c r="B14" s="38">
        <f t="shared" si="0"/>
        <v>7</v>
      </c>
      <c r="C14" s="28" t="s">
        <v>41</v>
      </c>
      <c r="D14" s="2" t="s">
        <v>317</v>
      </c>
      <c r="E14" s="2">
        <v>1</v>
      </c>
      <c r="F14" s="35" t="s">
        <v>313</v>
      </c>
      <c r="G14" s="35"/>
    </row>
    <row r="15" spans="2:8" ht="12.6" customHeight="1" x14ac:dyDescent="0.25">
      <c r="B15" s="38">
        <f t="shared" si="0"/>
        <v>8</v>
      </c>
      <c r="C15" s="28" t="s">
        <v>42</v>
      </c>
      <c r="D15" s="2" t="s">
        <v>318</v>
      </c>
      <c r="E15" s="2">
        <v>1</v>
      </c>
      <c r="F15" s="35" t="s">
        <v>309</v>
      </c>
      <c r="G15" s="35"/>
    </row>
    <row r="16" spans="2:8" ht="12.6" customHeight="1" x14ac:dyDescent="0.25">
      <c r="B16" s="38">
        <f t="shared" si="0"/>
        <v>9</v>
      </c>
      <c r="C16" s="28" t="s">
        <v>43</v>
      </c>
      <c r="D16" s="2" t="s">
        <v>319</v>
      </c>
      <c r="E16" s="2">
        <v>71</v>
      </c>
      <c r="F16" s="35" t="s">
        <v>309</v>
      </c>
      <c r="G16" s="39" t="s">
        <v>310</v>
      </c>
    </row>
    <row r="17" spans="2:7" ht="12.6" customHeight="1" x14ac:dyDescent="0.25">
      <c r="B17" s="38">
        <f t="shared" si="0"/>
        <v>10</v>
      </c>
      <c r="C17" s="28" t="s">
        <v>44</v>
      </c>
      <c r="D17" s="2" t="s">
        <v>320</v>
      </c>
      <c r="E17" s="2">
        <v>1</v>
      </c>
      <c r="F17" s="35" t="s">
        <v>313</v>
      </c>
      <c r="G17" s="35"/>
    </row>
    <row r="18" spans="2:7" ht="12.6" customHeight="1" x14ac:dyDescent="0.25">
      <c r="B18" s="38">
        <f t="shared" si="0"/>
        <v>11</v>
      </c>
      <c r="C18" s="28" t="s">
        <v>45</v>
      </c>
      <c r="D18" s="2" t="s">
        <v>321</v>
      </c>
      <c r="E18" s="2">
        <v>1</v>
      </c>
      <c r="F18" s="35" t="s">
        <v>313</v>
      </c>
      <c r="G18" s="35"/>
    </row>
    <row r="19" spans="2:7" ht="12.6" customHeight="1" x14ac:dyDescent="0.25">
      <c r="B19" s="38">
        <f t="shared" si="0"/>
        <v>12</v>
      </c>
      <c r="C19" s="28" t="s">
        <v>46</v>
      </c>
      <c r="D19" s="2" t="s">
        <v>322</v>
      </c>
      <c r="E19" s="2">
        <v>5</v>
      </c>
      <c r="F19" s="35" t="s">
        <v>309</v>
      </c>
      <c r="G19" s="35" t="s">
        <v>310</v>
      </c>
    </row>
    <row r="20" spans="2:7" ht="12.6" customHeight="1" x14ac:dyDescent="0.25">
      <c r="B20" s="38">
        <f t="shared" si="0"/>
        <v>13</v>
      </c>
      <c r="C20" s="28" t="s">
        <v>13</v>
      </c>
      <c r="D20" s="2" t="s">
        <v>323</v>
      </c>
      <c r="E20" s="2">
        <v>27</v>
      </c>
      <c r="F20" s="35" t="s">
        <v>309</v>
      </c>
      <c r="G20" s="35"/>
    </row>
    <row r="21" spans="2:7" ht="12.6" customHeight="1" x14ac:dyDescent="0.25">
      <c r="B21" s="38">
        <f t="shared" si="0"/>
        <v>14</v>
      </c>
      <c r="C21" s="28" t="s">
        <v>13</v>
      </c>
      <c r="D21" s="2" t="s">
        <v>324</v>
      </c>
      <c r="E21" s="2">
        <v>25</v>
      </c>
      <c r="F21" s="35" t="s">
        <v>309</v>
      </c>
      <c r="G21" s="35" t="s">
        <v>310</v>
      </c>
    </row>
    <row r="22" spans="2:7" ht="12.6" customHeight="1" x14ac:dyDescent="0.25">
      <c r="B22" s="38">
        <f t="shared" si="0"/>
        <v>15</v>
      </c>
      <c r="C22" s="28" t="s">
        <v>13</v>
      </c>
      <c r="D22" s="2" t="s">
        <v>325</v>
      </c>
      <c r="E22" s="2">
        <v>9</v>
      </c>
      <c r="F22" s="35" t="s">
        <v>309</v>
      </c>
      <c r="G22" s="35" t="s">
        <v>310</v>
      </c>
    </row>
    <row r="23" spans="2:7" ht="12.6" customHeight="1" x14ac:dyDescent="0.25">
      <c r="B23" s="38">
        <f t="shared" si="0"/>
        <v>16</v>
      </c>
      <c r="C23" s="28" t="s">
        <v>47</v>
      </c>
      <c r="D23" s="2" t="s">
        <v>326</v>
      </c>
      <c r="E23" s="2">
        <v>1</v>
      </c>
      <c r="F23" s="35" t="s">
        <v>313</v>
      </c>
      <c r="G23" s="35"/>
    </row>
    <row r="24" spans="2:7" ht="12.6" customHeight="1" x14ac:dyDescent="0.25">
      <c r="B24" s="38">
        <f t="shared" si="0"/>
        <v>17</v>
      </c>
      <c r="C24" s="28" t="s">
        <v>48</v>
      </c>
      <c r="D24" s="2" t="s">
        <v>327</v>
      </c>
      <c r="E24" s="2">
        <v>1</v>
      </c>
      <c r="F24" s="35" t="s">
        <v>313</v>
      </c>
      <c r="G24" s="35"/>
    </row>
    <row r="25" spans="2:7" ht="12.6" customHeight="1" x14ac:dyDescent="0.25">
      <c r="B25" s="38">
        <f t="shared" si="0"/>
        <v>18</v>
      </c>
      <c r="C25" s="28" t="s">
        <v>49</v>
      </c>
      <c r="D25" s="2" t="s">
        <v>328</v>
      </c>
      <c r="E25" s="2">
        <v>3</v>
      </c>
      <c r="F25" s="35" t="s">
        <v>313</v>
      </c>
      <c r="G25" s="35"/>
    </row>
    <row r="26" spans="2:7" ht="12.6" customHeight="1" x14ac:dyDescent="0.25">
      <c r="B26" s="38">
        <f t="shared" si="0"/>
        <v>19</v>
      </c>
      <c r="C26" s="28" t="s">
        <v>98</v>
      </c>
      <c r="D26" s="2" t="s">
        <v>329</v>
      </c>
      <c r="E26" s="2">
        <v>335</v>
      </c>
      <c r="F26" s="35" t="s">
        <v>309</v>
      </c>
      <c r="G26" s="35"/>
    </row>
    <row r="27" spans="2:7" ht="12.6" customHeight="1" x14ac:dyDescent="0.25">
      <c r="B27" s="38">
        <f t="shared" si="0"/>
        <v>20</v>
      </c>
      <c r="C27" s="28" t="s">
        <v>50</v>
      </c>
      <c r="D27" s="2" t="s">
        <v>330</v>
      </c>
      <c r="E27" s="2">
        <v>1</v>
      </c>
      <c r="F27" s="35" t="s">
        <v>309</v>
      </c>
      <c r="G27" s="35" t="s">
        <v>310</v>
      </c>
    </row>
    <row r="28" spans="2:7" ht="12.6" customHeight="1" x14ac:dyDescent="0.25">
      <c r="B28" s="38">
        <f t="shared" si="0"/>
        <v>21</v>
      </c>
      <c r="C28" s="28" t="s">
        <v>50</v>
      </c>
      <c r="D28" s="2" t="s">
        <v>331</v>
      </c>
      <c r="E28" s="2">
        <v>1</v>
      </c>
      <c r="F28" s="35" t="s">
        <v>309</v>
      </c>
      <c r="G28" s="35" t="s">
        <v>310</v>
      </c>
    </row>
    <row r="29" spans="2:7" ht="12.6" customHeight="1" x14ac:dyDescent="0.25">
      <c r="B29" s="38">
        <f t="shared" si="0"/>
        <v>22</v>
      </c>
      <c r="C29" s="28" t="s">
        <v>51</v>
      </c>
      <c r="D29" s="2" t="s">
        <v>332</v>
      </c>
      <c r="E29" s="2">
        <v>6</v>
      </c>
      <c r="F29" s="35" t="s">
        <v>313</v>
      </c>
      <c r="G29" s="35"/>
    </row>
    <row r="30" spans="2:7" ht="12.6" customHeight="1" x14ac:dyDescent="0.25">
      <c r="B30" s="38">
        <f t="shared" si="0"/>
        <v>23</v>
      </c>
      <c r="C30" s="28" t="s">
        <v>52</v>
      </c>
      <c r="D30" s="2" t="s">
        <v>333</v>
      </c>
      <c r="E30" s="2">
        <v>444</v>
      </c>
      <c r="F30" s="35" t="s">
        <v>313</v>
      </c>
      <c r="G30" s="2"/>
    </row>
    <row r="31" spans="2:7" ht="12.6" customHeight="1" x14ac:dyDescent="0.25">
      <c r="B31" s="38">
        <f t="shared" si="0"/>
        <v>24</v>
      </c>
      <c r="C31" s="28" t="s">
        <v>53</v>
      </c>
      <c r="D31" s="2" t="s">
        <v>334</v>
      </c>
      <c r="E31" s="2">
        <v>3</v>
      </c>
      <c r="F31" s="35" t="s">
        <v>313</v>
      </c>
      <c r="G31" s="35"/>
    </row>
    <row r="32" spans="2:7" ht="12.6" customHeight="1" x14ac:dyDescent="0.25">
      <c r="B32" s="38">
        <f t="shared" si="0"/>
        <v>25</v>
      </c>
      <c r="C32" s="28" t="s">
        <v>54</v>
      </c>
      <c r="D32" s="2" t="s">
        <v>335</v>
      </c>
      <c r="E32" s="2">
        <v>9</v>
      </c>
      <c r="F32" s="35" t="s">
        <v>313</v>
      </c>
      <c r="G32" s="35"/>
    </row>
    <row r="33" spans="2:7" ht="12.6" customHeight="1" x14ac:dyDescent="0.25">
      <c r="B33" s="38">
        <f t="shared" si="0"/>
        <v>26</v>
      </c>
      <c r="C33" s="28" t="s">
        <v>55</v>
      </c>
      <c r="D33" s="2" t="s">
        <v>55</v>
      </c>
      <c r="E33" s="2">
        <v>36</v>
      </c>
      <c r="F33" s="35" t="s">
        <v>313</v>
      </c>
      <c r="G33" s="39"/>
    </row>
    <row r="34" spans="2:7" ht="12.6" customHeight="1" x14ac:dyDescent="0.25">
      <c r="B34" s="38">
        <f t="shared" si="0"/>
        <v>27</v>
      </c>
      <c r="C34" s="28" t="s">
        <v>56</v>
      </c>
      <c r="D34" s="2" t="s">
        <v>336</v>
      </c>
      <c r="E34" s="2">
        <v>1</v>
      </c>
      <c r="F34" s="35" t="s">
        <v>309</v>
      </c>
      <c r="G34" s="35"/>
    </row>
    <row r="35" spans="2:7" ht="12.6" customHeight="1" x14ac:dyDescent="0.25">
      <c r="B35" s="38">
        <f t="shared" si="0"/>
        <v>28</v>
      </c>
      <c r="C35" s="28" t="s">
        <v>57</v>
      </c>
      <c r="D35" s="2" t="s">
        <v>337</v>
      </c>
      <c r="E35" s="2">
        <v>249</v>
      </c>
      <c r="F35" s="35" t="s">
        <v>313</v>
      </c>
      <c r="G35" s="40"/>
    </row>
    <row r="36" spans="2:7" ht="12.6" customHeight="1" x14ac:dyDescent="0.25">
      <c r="B36" s="38">
        <f t="shared" si="0"/>
        <v>29</v>
      </c>
      <c r="C36" s="28" t="s">
        <v>58</v>
      </c>
      <c r="D36" s="2" t="s">
        <v>338</v>
      </c>
      <c r="E36" s="2">
        <v>190</v>
      </c>
      <c r="F36" s="35" t="s">
        <v>313</v>
      </c>
      <c r="G36" s="2"/>
    </row>
    <row r="37" spans="2:7" ht="12.6" customHeight="1" x14ac:dyDescent="0.25">
      <c r="B37" s="38">
        <f t="shared" si="0"/>
        <v>30</v>
      </c>
      <c r="C37" s="28" t="s">
        <v>59</v>
      </c>
      <c r="D37" s="2" t="s">
        <v>339</v>
      </c>
      <c r="E37" s="2">
        <v>1</v>
      </c>
      <c r="F37" s="35" t="s">
        <v>313</v>
      </c>
      <c r="G37" s="35"/>
    </row>
    <row r="38" spans="2:7" ht="12.6" customHeight="1" x14ac:dyDescent="0.25">
      <c r="B38" s="38">
        <f t="shared" si="0"/>
        <v>31</v>
      </c>
      <c r="C38" s="28" t="s">
        <v>60</v>
      </c>
      <c r="D38" s="2" t="s">
        <v>340</v>
      </c>
      <c r="E38" s="2">
        <v>1</v>
      </c>
      <c r="F38" s="35" t="s">
        <v>313</v>
      </c>
      <c r="G38" s="35"/>
    </row>
    <row r="39" spans="2:7" ht="12.6" customHeight="1" x14ac:dyDescent="0.25">
      <c r="B39" s="38">
        <f t="shared" si="0"/>
        <v>32</v>
      </c>
      <c r="C39" s="28" t="s">
        <v>61</v>
      </c>
      <c r="D39" s="2" t="s">
        <v>341</v>
      </c>
      <c r="E39" s="2">
        <v>12</v>
      </c>
      <c r="F39" s="35" t="s">
        <v>313</v>
      </c>
      <c r="G39" s="35"/>
    </row>
    <row r="40" spans="2:7" ht="12.6" customHeight="1" x14ac:dyDescent="0.25">
      <c r="B40" s="38">
        <f t="shared" si="0"/>
        <v>33</v>
      </c>
      <c r="C40" s="28" t="s">
        <v>62</v>
      </c>
      <c r="D40" s="2" t="s">
        <v>342</v>
      </c>
      <c r="E40" s="2">
        <v>41</v>
      </c>
      <c r="F40" s="35" t="s">
        <v>309</v>
      </c>
      <c r="G40" s="35"/>
    </row>
    <row r="41" spans="2:7" ht="12.6" customHeight="1" x14ac:dyDescent="0.25">
      <c r="B41" s="38">
        <f t="shared" si="0"/>
        <v>34</v>
      </c>
      <c r="C41" s="28" t="s">
        <v>63</v>
      </c>
      <c r="D41" s="35" t="s">
        <v>343</v>
      </c>
      <c r="E41" s="2">
        <v>6</v>
      </c>
      <c r="F41" s="35" t="s">
        <v>309</v>
      </c>
      <c r="G41" s="35"/>
    </row>
    <row r="42" spans="2:7" ht="12.6" customHeight="1" x14ac:dyDescent="0.25">
      <c r="B42" s="38">
        <f t="shared" si="0"/>
        <v>35</v>
      </c>
      <c r="C42" s="28" t="s">
        <v>64</v>
      </c>
      <c r="D42" s="2" t="s">
        <v>344</v>
      </c>
      <c r="E42" s="2">
        <v>11</v>
      </c>
      <c r="F42" s="35" t="s">
        <v>313</v>
      </c>
      <c r="G42" s="35"/>
    </row>
    <row r="43" spans="2:7" ht="12.6" customHeight="1" x14ac:dyDescent="0.25">
      <c r="B43" s="38">
        <f t="shared" si="0"/>
        <v>36</v>
      </c>
      <c r="C43" s="28" t="s">
        <v>65</v>
      </c>
      <c r="D43" s="2" t="s">
        <v>345</v>
      </c>
      <c r="E43" s="2">
        <v>229</v>
      </c>
      <c r="F43" s="35" t="s">
        <v>309</v>
      </c>
      <c r="G43" s="39" t="s">
        <v>310</v>
      </c>
    </row>
    <row r="44" spans="2:7" ht="12.6" customHeight="1" x14ac:dyDescent="0.25">
      <c r="B44" s="38">
        <f t="shared" si="0"/>
        <v>37</v>
      </c>
      <c r="C44" s="28" t="s">
        <v>66</v>
      </c>
      <c r="D44" s="2" t="s">
        <v>346</v>
      </c>
      <c r="E44" s="2">
        <v>4</v>
      </c>
      <c r="F44" s="35" t="s">
        <v>309</v>
      </c>
      <c r="G44" s="35"/>
    </row>
    <row r="45" spans="2:7" ht="12.6" customHeight="1" x14ac:dyDescent="0.25">
      <c r="B45" s="38">
        <f t="shared" si="0"/>
        <v>38</v>
      </c>
      <c r="C45" s="28" t="s">
        <v>67</v>
      </c>
      <c r="D45" s="2" t="s">
        <v>347</v>
      </c>
      <c r="E45" s="2">
        <v>2</v>
      </c>
      <c r="F45" s="35" t="s">
        <v>309</v>
      </c>
      <c r="G45" s="35"/>
    </row>
    <row r="46" spans="2:7" ht="12.6" customHeight="1" x14ac:dyDescent="0.25">
      <c r="B46" s="38">
        <f t="shared" si="0"/>
        <v>39</v>
      </c>
      <c r="C46" s="28" t="s">
        <v>68</v>
      </c>
      <c r="D46" s="2" t="s">
        <v>348</v>
      </c>
      <c r="E46" s="2">
        <v>441</v>
      </c>
      <c r="F46" s="35" t="s">
        <v>313</v>
      </c>
      <c r="G46" s="2"/>
    </row>
    <row r="47" spans="2:7" ht="12.6" customHeight="1" x14ac:dyDescent="0.25">
      <c r="B47" s="38">
        <f t="shared" si="0"/>
        <v>40</v>
      </c>
      <c r="C47" s="28" t="s">
        <v>69</v>
      </c>
      <c r="D47" s="2" t="s">
        <v>349</v>
      </c>
      <c r="E47" s="2">
        <v>422</v>
      </c>
      <c r="F47" s="35" t="s">
        <v>309</v>
      </c>
      <c r="G47" s="35"/>
    </row>
    <row r="48" spans="2:7" ht="12.6" customHeight="1" x14ac:dyDescent="0.25">
      <c r="B48" s="38">
        <f t="shared" si="0"/>
        <v>41</v>
      </c>
      <c r="C48" s="28" t="s">
        <v>70</v>
      </c>
      <c r="D48" s="2" t="s">
        <v>350</v>
      </c>
      <c r="E48" s="2">
        <v>2</v>
      </c>
      <c r="F48" s="35" t="s">
        <v>313</v>
      </c>
      <c r="G48" s="35"/>
    </row>
    <row r="49" spans="2:7" ht="12.6" customHeight="1" x14ac:dyDescent="0.25">
      <c r="B49" s="38">
        <f t="shared" si="0"/>
        <v>42</v>
      </c>
      <c r="C49" s="28" t="s">
        <v>71</v>
      </c>
      <c r="D49" s="2" t="s">
        <v>351</v>
      </c>
      <c r="E49" s="2">
        <v>5</v>
      </c>
      <c r="F49" s="35" t="s">
        <v>313</v>
      </c>
      <c r="G49" s="35"/>
    </row>
    <row r="50" spans="2:7" ht="12.6" customHeight="1" x14ac:dyDescent="0.25">
      <c r="B50" s="38">
        <f t="shared" si="0"/>
        <v>43</v>
      </c>
      <c r="C50" s="28" t="s">
        <v>72</v>
      </c>
      <c r="D50" s="2" t="s">
        <v>352</v>
      </c>
      <c r="E50" s="2">
        <v>1</v>
      </c>
      <c r="F50" s="35" t="s">
        <v>309</v>
      </c>
      <c r="G50" s="35"/>
    </row>
    <row r="51" spans="2:7" ht="12.6" customHeight="1" x14ac:dyDescent="0.25">
      <c r="B51" s="38">
        <f t="shared" si="0"/>
        <v>44</v>
      </c>
      <c r="C51" s="28" t="s">
        <v>73</v>
      </c>
      <c r="D51" s="2" t="s">
        <v>353</v>
      </c>
      <c r="E51" s="2">
        <v>49</v>
      </c>
      <c r="F51" s="35" t="s">
        <v>309</v>
      </c>
      <c r="G51" s="35" t="s">
        <v>310</v>
      </c>
    </row>
    <row r="52" spans="2:7" ht="12.6" customHeight="1" x14ac:dyDescent="0.25">
      <c r="B52" s="38">
        <f t="shared" si="0"/>
        <v>45</v>
      </c>
      <c r="C52" s="28" t="s">
        <v>73</v>
      </c>
      <c r="D52" s="2" t="s">
        <v>354</v>
      </c>
      <c r="E52" s="2">
        <v>42</v>
      </c>
      <c r="F52" s="35" t="s">
        <v>309</v>
      </c>
      <c r="G52" s="39" t="s">
        <v>310</v>
      </c>
    </row>
    <row r="53" spans="2:7" ht="12.6" customHeight="1" x14ac:dyDescent="0.25">
      <c r="B53" s="38">
        <f t="shared" si="0"/>
        <v>46</v>
      </c>
      <c r="C53" s="28" t="s">
        <v>74</v>
      </c>
      <c r="D53" s="2" t="s">
        <v>355</v>
      </c>
      <c r="E53" s="2">
        <v>1</v>
      </c>
      <c r="F53" s="35" t="s">
        <v>313</v>
      </c>
      <c r="G53" s="35"/>
    </row>
    <row r="54" spans="2:7" ht="12.6" customHeight="1" x14ac:dyDescent="0.25">
      <c r="B54" s="38">
        <f t="shared" si="0"/>
        <v>47</v>
      </c>
      <c r="C54" s="28" t="s">
        <v>75</v>
      </c>
      <c r="D54" s="2" t="s">
        <v>356</v>
      </c>
      <c r="E54" s="2">
        <v>26</v>
      </c>
      <c r="F54" s="35" t="s">
        <v>313</v>
      </c>
      <c r="G54" s="35"/>
    </row>
    <row r="55" spans="2:7" ht="12.6" customHeight="1" x14ac:dyDescent="0.25">
      <c r="B55" s="38">
        <f t="shared" si="0"/>
        <v>48</v>
      </c>
      <c r="C55" s="28" t="s">
        <v>76</v>
      </c>
      <c r="D55" s="2" t="s">
        <v>357</v>
      </c>
      <c r="E55" s="2">
        <v>3</v>
      </c>
      <c r="F55" s="35" t="s">
        <v>313</v>
      </c>
      <c r="G55" s="35"/>
    </row>
    <row r="56" spans="2:7" ht="12.6" customHeight="1" x14ac:dyDescent="0.25">
      <c r="B56" s="38">
        <f t="shared" si="0"/>
        <v>49</v>
      </c>
      <c r="C56" s="28" t="s">
        <v>77</v>
      </c>
      <c r="D56" s="2" t="s">
        <v>358</v>
      </c>
      <c r="E56" s="2">
        <v>216</v>
      </c>
      <c r="F56" s="35" t="s">
        <v>309</v>
      </c>
      <c r="G56" s="35" t="s">
        <v>310</v>
      </c>
    </row>
    <row r="57" spans="2:7" ht="12.6" customHeight="1" x14ac:dyDescent="0.25">
      <c r="B57" s="38">
        <f t="shared" si="0"/>
        <v>50</v>
      </c>
      <c r="C57" s="28" t="s">
        <v>78</v>
      </c>
      <c r="D57" s="2" t="s">
        <v>359</v>
      </c>
      <c r="E57" s="2">
        <v>7</v>
      </c>
      <c r="F57" s="35" t="s">
        <v>313</v>
      </c>
      <c r="G57" s="35"/>
    </row>
    <row r="58" spans="2:7" ht="12.6" customHeight="1" x14ac:dyDescent="0.25">
      <c r="B58" s="38">
        <f t="shared" si="0"/>
        <v>51</v>
      </c>
      <c r="C58" s="28" t="s">
        <v>3</v>
      </c>
      <c r="D58" s="41" t="s">
        <v>360</v>
      </c>
      <c r="E58" s="41">
        <v>23</v>
      </c>
      <c r="F58" s="35" t="s">
        <v>309</v>
      </c>
      <c r="G58" s="35"/>
    </row>
    <row r="59" spans="2:7" ht="13.5" customHeight="1" x14ac:dyDescent="0.25">
      <c r="B59" s="38">
        <f t="shared" si="0"/>
        <v>52</v>
      </c>
      <c r="C59" s="28" t="s">
        <v>3</v>
      </c>
      <c r="D59" s="2" t="s">
        <v>361</v>
      </c>
      <c r="E59" s="2">
        <v>1</v>
      </c>
      <c r="F59" s="35" t="s">
        <v>309</v>
      </c>
      <c r="G59" s="35"/>
    </row>
    <row r="60" spans="2:7" ht="12.6" customHeight="1" x14ac:dyDescent="0.25">
      <c r="B60" s="38">
        <f t="shared" si="0"/>
        <v>53</v>
      </c>
      <c r="C60" s="28" t="s">
        <v>79</v>
      </c>
      <c r="D60" s="2" t="s">
        <v>362</v>
      </c>
      <c r="E60" s="2">
        <v>1</v>
      </c>
      <c r="F60" s="35" t="s">
        <v>313</v>
      </c>
      <c r="G60" s="35"/>
    </row>
    <row r="61" spans="2:7" ht="12.6" customHeight="1" x14ac:dyDescent="0.25">
      <c r="B61" s="38">
        <f t="shared" si="0"/>
        <v>54</v>
      </c>
      <c r="C61" s="28" t="s">
        <v>4</v>
      </c>
      <c r="D61" s="2" t="s">
        <v>363</v>
      </c>
      <c r="E61" s="2">
        <v>17</v>
      </c>
      <c r="F61" s="35" t="s">
        <v>309</v>
      </c>
      <c r="G61" s="35"/>
    </row>
    <row r="62" spans="2:7" s="3" customFormat="1" ht="12.6" customHeight="1" x14ac:dyDescent="0.25">
      <c r="B62" s="38">
        <f t="shared" si="0"/>
        <v>55</v>
      </c>
      <c r="C62" s="28" t="s">
        <v>4</v>
      </c>
      <c r="D62" s="2" t="s">
        <v>364</v>
      </c>
      <c r="E62" s="2">
        <v>448</v>
      </c>
      <c r="F62" s="35" t="s">
        <v>309</v>
      </c>
      <c r="G62" s="35" t="s">
        <v>310</v>
      </c>
    </row>
    <row r="63" spans="2:7" ht="12.6" customHeight="1" x14ac:dyDescent="0.25">
      <c r="B63" s="38">
        <f t="shared" si="0"/>
        <v>56</v>
      </c>
      <c r="C63" s="28" t="s">
        <v>4</v>
      </c>
      <c r="D63" s="2" t="s">
        <v>365</v>
      </c>
      <c r="E63" s="2">
        <v>441</v>
      </c>
      <c r="F63" s="35" t="s">
        <v>313</v>
      </c>
      <c r="G63" s="35"/>
    </row>
    <row r="64" spans="2:7" ht="12.6" customHeight="1" x14ac:dyDescent="0.25">
      <c r="B64" s="38">
        <f t="shared" si="0"/>
        <v>57</v>
      </c>
      <c r="C64" s="28" t="s">
        <v>4</v>
      </c>
      <c r="D64" s="2" t="s">
        <v>366</v>
      </c>
      <c r="E64" s="2">
        <v>440</v>
      </c>
      <c r="F64" s="35" t="s">
        <v>309</v>
      </c>
      <c r="G64" s="35"/>
    </row>
    <row r="65" spans="2:8" ht="12.6" customHeight="1" x14ac:dyDescent="0.25">
      <c r="B65" s="38">
        <f t="shared" si="0"/>
        <v>58</v>
      </c>
      <c r="C65" s="28" t="s">
        <v>4</v>
      </c>
      <c r="D65" s="2" t="s">
        <v>367</v>
      </c>
      <c r="E65" s="2">
        <v>401</v>
      </c>
      <c r="F65" s="35" t="s">
        <v>309</v>
      </c>
      <c r="G65" s="35"/>
    </row>
    <row r="66" spans="2:8" ht="12.6" customHeight="1" x14ac:dyDescent="0.25">
      <c r="B66" s="38">
        <f t="shared" si="0"/>
        <v>59</v>
      </c>
      <c r="C66" s="28" t="s">
        <v>4</v>
      </c>
      <c r="D66" s="2" t="s">
        <v>368</v>
      </c>
      <c r="E66" s="2">
        <v>44</v>
      </c>
      <c r="F66" s="35" t="s">
        <v>313</v>
      </c>
      <c r="G66" s="35"/>
    </row>
    <row r="67" spans="2:8" ht="12.6" customHeight="1" x14ac:dyDescent="0.25">
      <c r="B67" s="38">
        <f t="shared" si="0"/>
        <v>60</v>
      </c>
      <c r="C67" s="28" t="s">
        <v>4</v>
      </c>
      <c r="D67" s="2" t="s">
        <v>369</v>
      </c>
      <c r="E67" s="2">
        <v>33</v>
      </c>
      <c r="F67" s="35" t="s">
        <v>309</v>
      </c>
      <c r="G67" s="35"/>
    </row>
    <row r="68" spans="2:8" ht="12.6" customHeight="1" x14ac:dyDescent="0.25">
      <c r="B68" s="38">
        <f t="shared" si="0"/>
        <v>61</v>
      </c>
      <c r="C68" s="28" t="s">
        <v>4</v>
      </c>
      <c r="D68" s="2" t="s">
        <v>370</v>
      </c>
      <c r="E68" s="2">
        <v>20</v>
      </c>
      <c r="F68" s="35" t="s">
        <v>313</v>
      </c>
      <c r="G68" s="35"/>
    </row>
    <row r="69" spans="2:8" ht="12.6" customHeight="1" x14ac:dyDescent="0.25">
      <c r="B69" s="38">
        <f t="shared" si="0"/>
        <v>62</v>
      </c>
      <c r="C69" s="28" t="s">
        <v>4</v>
      </c>
      <c r="D69" s="2" t="s">
        <v>371</v>
      </c>
      <c r="E69" s="2">
        <v>18</v>
      </c>
      <c r="F69" s="35" t="s">
        <v>313</v>
      </c>
      <c r="G69" s="35"/>
    </row>
    <row r="70" spans="2:8" ht="12.6" customHeight="1" x14ac:dyDescent="0.25">
      <c r="B70" s="38">
        <f t="shared" si="0"/>
        <v>63</v>
      </c>
      <c r="C70" s="28" t="s">
        <v>4</v>
      </c>
      <c r="D70" s="2" t="s">
        <v>372</v>
      </c>
      <c r="E70" s="2">
        <v>13</v>
      </c>
      <c r="F70" s="35" t="s">
        <v>309</v>
      </c>
      <c r="G70" s="35" t="s">
        <v>310</v>
      </c>
    </row>
    <row r="71" spans="2:8" ht="12.6" customHeight="1" x14ac:dyDescent="0.25">
      <c r="B71" s="38">
        <f t="shared" si="0"/>
        <v>64</v>
      </c>
      <c r="C71" s="28" t="s">
        <v>4</v>
      </c>
      <c r="D71" s="2" t="s">
        <v>373</v>
      </c>
      <c r="E71" s="2">
        <v>419</v>
      </c>
      <c r="F71" s="35" t="s">
        <v>309</v>
      </c>
      <c r="G71" s="35"/>
    </row>
    <row r="72" spans="2:8" ht="12.6" customHeight="1" x14ac:dyDescent="0.25">
      <c r="B72" s="38">
        <f t="shared" si="0"/>
        <v>65</v>
      </c>
      <c r="C72" s="28" t="s">
        <v>4</v>
      </c>
      <c r="D72" s="35" t="s">
        <v>374</v>
      </c>
      <c r="E72" s="2">
        <v>444</v>
      </c>
      <c r="F72" s="35" t="s">
        <v>309</v>
      </c>
      <c r="G72" s="35"/>
      <c r="H72" s="5"/>
    </row>
    <row r="73" spans="2:8" ht="12.6" customHeight="1" x14ac:dyDescent="0.25">
      <c r="B73" s="38">
        <f t="shared" si="0"/>
        <v>66</v>
      </c>
      <c r="C73" s="28" t="s">
        <v>4</v>
      </c>
      <c r="D73" s="2" t="s">
        <v>296</v>
      </c>
      <c r="E73" s="35">
        <v>3</v>
      </c>
      <c r="F73" s="35" t="s">
        <v>309</v>
      </c>
      <c r="G73" s="35"/>
    </row>
    <row r="74" spans="2:8" ht="12.6" customHeight="1" x14ac:dyDescent="0.25">
      <c r="B74" s="38">
        <f t="shared" si="0"/>
        <v>67</v>
      </c>
      <c r="C74" s="28" t="s">
        <v>4</v>
      </c>
      <c r="D74" s="35" t="s">
        <v>375</v>
      </c>
      <c r="E74" s="35">
        <v>1</v>
      </c>
      <c r="F74" s="35" t="s">
        <v>309</v>
      </c>
      <c r="G74" s="35" t="s">
        <v>310</v>
      </c>
    </row>
    <row r="75" spans="2:8" ht="12.6" customHeight="1" x14ac:dyDescent="0.25">
      <c r="B75" s="38">
        <f t="shared" ref="B75:B129" si="1">B74+1</f>
        <v>68</v>
      </c>
      <c r="C75" s="28" t="s">
        <v>4</v>
      </c>
      <c r="D75" s="35" t="s">
        <v>376</v>
      </c>
      <c r="E75" s="35">
        <v>15</v>
      </c>
      <c r="F75" s="35" t="s">
        <v>309</v>
      </c>
      <c r="G75" s="35"/>
    </row>
    <row r="76" spans="2:8" ht="12.6" customHeight="1" x14ac:dyDescent="0.3">
      <c r="B76" s="38">
        <f t="shared" si="1"/>
        <v>69</v>
      </c>
      <c r="C76" s="28" t="s">
        <v>4</v>
      </c>
      <c r="D76" s="42" t="s">
        <v>377</v>
      </c>
      <c r="E76" s="2">
        <v>4</v>
      </c>
      <c r="F76" s="35" t="s">
        <v>309</v>
      </c>
      <c r="G76" s="35"/>
    </row>
    <row r="77" spans="2:8" ht="12.6" customHeight="1" x14ac:dyDescent="0.25">
      <c r="B77" s="38">
        <f t="shared" si="1"/>
        <v>70</v>
      </c>
      <c r="C77" s="28" t="s">
        <v>4</v>
      </c>
      <c r="D77" s="35" t="s">
        <v>378</v>
      </c>
      <c r="E77" s="35">
        <v>7</v>
      </c>
      <c r="F77" s="35" t="s">
        <v>309</v>
      </c>
      <c r="G77" s="35"/>
    </row>
    <row r="78" spans="2:8" ht="12.6" customHeight="1" x14ac:dyDescent="0.25">
      <c r="B78" s="38">
        <f t="shared" si="1"/>
        <v>71</v>
      </c>
      <c r="C78" s="28" t="s">
        <v>4</v>
      </c>
      <c r="D78" s="2" t="s">
        <v>379</v>
      </c>
      <c r="E78" s="2">
        <v>42</v>
      </c>
      <c r="F78" s="35" t="s">
        <v>309</v>
      </c>
      <c r="G78" s="39"/>
    </row>
    <row r="79" spans="2:8" ht="12.6" customHeight="1" x14ac:dyDescent="0.25">
      <c r="B79" s="38">
        <f t="shared" si="1"/>
        <v>72</v>
      </c>
      <c r="C79" s="28" t="s">
        <v>4</v>
      </c>
      <c r="D79" s="2" t="s">
        <v>380</v>
      </c>
      <c r="E79" s="2">
        <v>5</v>
      </c>
      <c r="F79" s="35" t="s">
        <v>309</v>
      </c>
      <c r="G79" s="35"/>
    </row>
    <row r="80" spans="2:8" s="3" customFormat="1" ht="12.6" customHeight="1" x14ac:dyDescent="0.25">
      <c r="B80" s="38">
        <f t="shared" si="1"/>
        <v>73</v>
      </c>
      <c r="C80" s="28" t="s">
        <v>4</v>
      </c>
      <c r="D80" s="2" t="s">
        <v>381</v>
      </c>
      <c r="E80" s="2">
        <v>2</v>
      </c>
      <c r="F80" s="35" t="s">
        <v>309</v>
      </c>
      <c r="G80" s="35"/>
    </row>
    <row r="81" spans="2:7" ht="12.6" customHeight="1" x14ac:dyDescent="0.25">
      <c r="B81" s="38">
        <f t="shared" si="1"/>
        <v>74</v>
      </c>
      <c r="C81" s="28" t="s">
        <v>4</v>
      </c>
      <c r="D81" s="2" t="s">
        <v>382</v>
      </c>
      <c r="E81" s="2">
        <v>1</v>
      </c>
      <c r="F81" s="35" t="s">
        <v>313</v>
      </c>
      <c r="G81" s="35"/>
    </row>
    <row r="82" spans="2:7" ht="12.6" customHeight="1" x14ac:dyDescent="0.25">
      <c r="B82" s="38">
        <f t="shared" si="1"/>
        <v>75</v>
      </c>
      <c r="C82" s="28" t="s">
        <v>4</v>
      </c>
      <c r="D82" s="2" t="s">
        <v>383</v>
      </c>
      <c r="E82" s="2">
        <v>1</v>
      </c>
      <c r="F82" s="35" t="s">
        <v>309</v>
      </c>
      <c r="G82" s="35"/>
    </row>
    <row r="83" spans="2:7" ht="12.6" customHeight="1" x14ac:dyDescent="0.25">
      <c r="B83" s="38">
        <f t="shared" si="1"/>
        <v>76</v>
      </c>
      <c r="C83" s="28" t="s">
        <v>80</v>
      </c>
      <c r="D83" s="35" t="s">
        <v>384</v>
      </c>
      <c r="E83" s="35">
        <v>1</v>
      </c>
      <c r="F83" s="35" t="s">
        <v>309</v>
      </c>
      <c r="G83" s="35"/>
    </row>
    <row r="84" spans="2:7" ht="12.6" customHeight="1" x14ac:dyDescent="0.25">
      <c r="B84" s="38">
        <f t="shared" si="1"/>
        <v>77</v>
      </c>
      <c r="C84" s="28" t="s">
        <v>81</v>
      </c>
      <c r="D84" s="2" t="s">
        <v>385</v>
      </c>
      <c r="E84" s="2">
        <v>223</v>
      </c>
      <c r="F84" s="35" t="s">
        <v>313</v>
      </c>
      <c r="G84" s="35"/>
    </row>
    <row r="85" spans="2:7" ht="12.6" customHeight="1" x14ac:dyDescent="0.25">
      <c r="B85" s="38">
        <f t="shared" si="1"/>
        <v>78</v>
      </c>
      <c r="C85" s="28" t="s">
        <v>82</v>
      </c>
      <c r="D85" s="2" t="s">
        <v>386</v>
      </c>
      <c r="E85" s="2">
        <v>369</v>
      </c>
      <c r="F85" s="35" t="s">
        <v>313</v>
      </c>
      <c r="G85" s="39"/>
    </row>
    <row r="86" spans="2:7" ht="12.6" customHeight="1" x14ac:dyDescent="0.25">
      <c r="B86" s="38">
        <f t="shared" si="1"/>
        <v>79</v>
      </c>
      <c r="C86" s="28" t="s">
        <v>83</v>
      </c>
      <c r="D86" s="2" t="s">
        <v>387</v>
      </c>
      <c r="E86" s="2">
        <v>75</v>
      </c>
      <c r="F86" s="35" t="s">
        <v>309</v>
      </c>
      <c r="G86" s="35"/>
    </row>
    <row r="87" spans="2:7" ht="12.6" customHeight="1" x14ac:dyDescent="0.25">
      <c r="B87" s="38">
        <f t="shared" si="1"/>
        <v>80</v>
      </c>
      <c r="C87" s="28" t="s">
        <v>84</v>
      </c>
      <c r="D87" s="2" t="s">
        <v>388</v>
      </c>
      <c r="E87" s="2">
        <v>1</v>
      </c>
      <c r="F87" s="35" t="s">
        <v>313</v>
      </c>
      <c r="G87" s="35"/>
    </row>
    <row r="88" spans="2:7" ht="12.6" customHeight="1" x14ac:dyDescent="0.25">
      <c r="B88" s="38">
        <f t="shared" si="1"/>
        <v>81</v>
      </c>
      <c r="C88" s="28" t="s">
        <v>85</v>
      </c>
      <c r="D88" s="2" t="s">
        <v>389</v>
      </c>
      <c r="E88" s="2">
        <v>52</v>
      </c>
      <c r="F88" s="35" t="s">
        <v>313</v>
      </c>
      <c r="G88" s="35"/>
    </row>
    <row r="89" spans="2:7" ht="12.6" customHeight="1" x14ac:dyDescent="0.25">
      <c r="B89" s="38">
        <f t="shared" si="1"/>
        <v>82</v>
      </c>
      <c r="C89" s="28" t="s">
        <v>86</v>
      </c>
      <c r="D89" s="35" t="s">
        <v>390</v>
      </c>
      <c r="E89" s="35">
        <v>51</v>
      </c>
      <c r="F89" s="35" t="s">
        <v>309</v>
      </c>
      <c r="G89" s="35"/>
    </row>
    <row r="90" spans="2:7" ht="12.6" customHeight="1" x14ac:dyDescent="0.25">
      <c r="B90" s="38">
        <f t="shared" si="1"/>
        <v>83</v>
      </c>
      <c r="C90" s="28" t="s">
        <v>87</v>
      </c>
      <c r="D90" s="2" t="s">
        <v>391</v>
      </c>
      <c r="E90" s="43">
        <v>145</v>
      </c>
      <c r="F90" s="35" t="s">
        <v>309</v>
      </c>
      <c r="G90" s="35" t="s">
        <v>310</v>
      </c>
    </row>
    <row r="91" spans="2:7" ht="12.6" customHeight="1" x14ac:dyDescent="0.25">
      <c r="B91" s="38">
        <f t="shared" si="1"/>
        <v>84</v>
      </c>
      <c r="C91" s="28" t="s">
        <v>87</v>
      </c>
      <c r="D91" s="2" t="s">
        <v>392</v>
      </c>
      <c r="E91" s="43">
        <v>143</v>
      </c>
      <c r="F91" s="35" t="s">
        <v>309</v>
      </c>
      <c r="G91" s="35" t="s">
        <v>310</v>
      </c>
    </row>
    <row r="92" spans="2:7" ht="12.6" customHeight="1" x14ac:dyDescent="0.25">
      <c r="B92" s="38">
        <f t="shared" si="1"/>
        <v>85</v>
      </c>
      <c r="C92" s="28" t="s">
        <v>87</v>
      </c>
      <c r="D92" s="2" t="s">
        <v>393</v>
      </c>
      <c r="E92" s="2">
        <v>1</v>
      </c>
      <c r="F92" s="35" t="s">
        <v>309</v>
      </c>
      <c r="G92" s="35" t="s">
        <v>310</v>
      </c>
    </row>
    <row r="93" spans="2:7" ht="12.6" customHeight="1" x14ac:dyDescent="0.25">
      <c r="B93" s="38">
        <f t="shared" si="1"/>
        <v>86</v>
      </c>
      <c r="C93" s="28" t="s">
        <v>87</v>
      </c>
      <c r="D93" s="2" t="s">
        <v>394</v>
      </c>
      <c r="E93" s="2">
        <v>1</v>
      </c>
      <c r="F93" s="35" t="s">
        <v>313</v>
      </c>
      <c r="G93" s="35"/>
    </row>
    <row r="94" spans="2:7" ht="12.6" customHeight="1" x14ac:dyDescent="0.25">
      <c r="B94" s="38">
        <f t="shared" si="1"/>
        <v>87</v>
      </c>
      <c r="C94" s="28" t="s">
        <v>87</v>
      </c>
      <c r="D94" s="2" t="s">
        <v>395</v>
      </c>
      <c r="E94" s="2">
        <v>1</v>
      </c>
      <c r="F94" s="35" t="s">
        <v>313</v>
      </c>
      <c r="G94" s="35"/>
    </row>
    <row r="95" spans="2:7" ht="12.6" customHeight="1" x14ac:dyDescent="0.25">
      <c r="B95" s="38">
        <f t="shared" si="1"/>
        <v>88</v>
      </c>
      <c r="C95" s="28" t="s">
        <v>87</v>
      </c>
      <c r="D95" s="2" t="s">
        <v>396</v>
      </c>
      <c r="E95" s="43">
        <v>1</v>
      </c>
      <c r="F95" s="35" t="s">
        <v>309</v>
      </c>
      <c r="G95" s="35" t="s">
        <v>310</v>
      </c>
    </row>
    <row r="96" spans="2:7" ht="12.6" customHeight="1" x14ac:dyDescent="0.25">
      <c r="B96" s="38">
        <f t="shared" si="1"/>
        <v>89</v>
      </c>
      <c r="C96" s="28" t="s">
        <v>88</v>
      </c>
      <c r="D96" s="2" t="s">
        <v>397</v>
      </c>
      <c r="E96" s="2">
        <v>2</v>
      </c>
      <c r="F96" s="35" t="s">
        <v>309</v>
      </c>
      <c r="G96" s="35"/>
    </row>
    <row r="97" spans="2:7" ht="12.6" customHeight="1" x14ac:dyDescent="0.25">
      <c r="B97" s="38">
        <f t="shared" si="1"/>
        <v>90</v>
      </c>
      <c r="C97" s="28" t="s">
        <v>89</v>
      </c>
      <c r="D97" s="2" t="s">
        <v>398</v>
      </c>
      <c r="E97" s="2">
        <v>207</v>
      </c>
      <c r="F97" s="35" t="s">
        <v>309</v>
      </c>
      <c r="G97" s="35" t="s">
        <v>310</v>
      </c>
    </row>
    <row r="98" spans="2:7" ht="12.6" customHeight="1" x14ac:dyDescent="0.25">
      <c r="B98" s="38">
        <f t="shared" si="1"/>
        <v>91</v>
      </c>
      <c r="C98" s="28" t="s">
        <v>90</v>
      </c>
      <c r="D98" s="2" t="s">
        <v>399</v>
      </c>
      <c r="E98" s="2">
        <v>1</v>
      </c>
      <c r="F98" s="35" t="s">
        <v>313</v>
      </c>
      <c r="G98" s="35"/>
    </row>
    <row r="99" spans="2:7" ht="12.6" customHeight="1" x14ac:dyDescent="0.25">
      <c r="B99" s="38">
        <f t="shared" si="1"/>
        <v>92</v>
      </c>
      <c r="C99" s="28" t="s">
        <v>90</v>
      </c>
      <c r="D99" s="2" t="s">
        <v>400</v>
      </c>
      <c r="E99" s="2">
        <v>1</v>
      </c>
      <c r="F99" s="35" t="s">
        <v>313</v>
      </c>
      <c r="G99" s="35"/>
    </row>
    <row r="100" spans="2:7" ht="12.6" customHeight="1" x14ac:dyDescent="0.25">
      <c r="B100" s="38">
        <f t="shared" si="1"/>
        <v>93</v>
      </c>
      <c r="C100" s="28" t="s">
        <v>91</v>
      </c>
      <c r="D100" s="2" t="s">
        <v>401</v>
      </c>
      <c r="E100" s="2">
        <v>9</v>
      </c>
      <c r="F100" s="35" t="s">
        <v>313</v>
      </c>
      <c r="G100" s="35"/>
    </row>
    <row r="101" spans="2:7" ht="12.6" customHeight="1" x14ac:dyDescent="0.25">
      <c r="B101" s="38">
        <f t="shared" si="1"/>
        <v>94</v>
      </c>
      <c r="C101" s="28" t="s">
        <v>92</v>
      </c>
      <c r="D101" s="35" t="s">
        <v>402</v>
      </c>
      <c r="E101" s="35">
        <v>1</v>
      </c>
      <c r="F101" s="35" t="s">
        <v>309</v>
      </c>
      <c r="G101" s="35"/>
    </row>
    <row r="102" spans="2:7" ht="12.6" customHeight="1" x14ac:dyDescent="0.25">
      <c r="B102" s="38">
        <f t="shared" si="1"/>
        <v>95</v>
      </c>
      <c r="C102" s="28" t="s">
        <v>93</v>
      </c>
      <c r="D102" s="2" t="s">
        <v>403</v>
      </c>
      <c r="E102" s="2">
        <v>371</v>
      </c>
      <c r="F102" s="35" t="s">
        <v>309</v>
      </c>
      <c r="G102" s="39" t="s">
        <v>310</v>
      </c>
    </row>
    <row r="103" spans="2:7" ht="12.6" customHeight="1" x14ac:dyDescent="0.25">
      <c r="B103" s="38">
        <f t="shared" si="1"/>
        <v>96</v>
      </c>
      <c r="C103" s="28" t="s">
        <v>94</v>
      </c>
      <c r="D103" s="2" t="s">
        <v>404</v>
      </c>
      <c r="E103" s="2">
        <v>401</v>
      </c>
      <c r="F103" s="35" t="s">
        <v>313</v>
      </c>
      <c r="G103" s="35"/>
    </row>
    <row r="104" spans="2:7" ht="12.6" customHeight="1" x14ac:dyDescent="0.25">
      <c r="B104" s="38">
        <f t="shared" si="1"/>
        <v>97</v>
      </c>
      <c r="C104" s="28" t="s">
        <v>94</v>
      </c>
      <c r="D104" s="41" t="s">
        <v>405</v>
      </c>
      <c r="E104" s="41">
        <v>1</v>
      </c>
      <c r="F104" s="35" t="s">
        <v>313</v>
      </c>
      <c r="G104" s="35"/>
    </row>
    <row r="105" spans="2:7" ht="12.6" customHeight="1" x14ac:dyDescent="0.25">
      <c r="B105" s="38">
        <f t="shared" si="1"/>
        <v>98</v>
      </c>
      <c r="C105" s="28" t="s">
        <v>94</v>
      </c>
      <c r="D105" s="35" t="s">
        <v>406</v>
      </c>
      <c r="E105" s="2">
        <v>1</v>
      </c>
      <c r="F105" s="35" t="s">
        <v>313</v>
      </c>
      <c r="G105" s="35"/>
    </row>
    <row r="106" spans="2:7" ht="12.6" customHeight="1" x14ac:dyDescent="0.25">
      <c r="B106" s="38">
        <f t="shared" si="1"/>
        <v>99</v>
      </c>
      <c r="C106" s="28" t="s">
        <v>94</v>
      </c>
      <c r="D106" s="35" t="s">
        <v>407</v>
      </c>
      <c r="E106" s="2">
        <v>1</v>
      </c>
      <c r="F106" s="35" t="s">
        <v>313</v>
      </c>
      <c r="G106" s="35"/>
    </row>
    <row r="107" spans="2:7" ht="12.6" customHeight="1" x14ac:dyDescent="0.25">
      <c r="B107" s="38">
        <f t="shared" si="1"/>
        <v>100</v>
      </c>
      <c r="C107" s="28" t="s">
        <v>95</v>
      </c>
      <c r="D107" s="2" t="s">
        <v>408</v>
      </c>
      <c r="E107" s="2">
        <v>1</v>
      </c>
      <c r="F107" s="35" t="s">
        <v>313</v>
      </c>
      <c r="G107" s="35"/>
    </row>
    <row r="108" spans="2:7" ht="12.6" customHeight="1" x14ac:dyDescent="0.25">
      <c r="B108" s="38">
        <f t="shared" si="1"/>
        <v>101</v>
      </c>
      <c r="C108" s="28" t="s">
        <v>5</v>
      </c>
      <c r="D108" s="2" t="s">
        <v>409</v>
      </c>
      <c r="E108" s="2">
        <v>335</v>
      </c>
      <c r="F108" s="35" t="s">
        <v>309</v>
      </c>
      <c r="G108" s="39"/>
    </row>
    <row r="109" spans="2:7" ht="12.6" customHeight="1" x14ac:dyDescent="0.25">
      <c r="B109" s="38">
        <f t="shared" si="1"/>
        <v>102</v>
      </c>
      <c r="C109" s="28" t="s">
        <v>5</v>
      </c>
      <c r="D109" s="2" t="s">
        <v>410</v>
      </c>
      <c r="E109" s="2">
        <v>242</v>
      </c>
      <c r="F109" s="35" t="s">
        <v>309</v>
      </c>
      <c r="G109" s="39"/>
    </row>
    <row r="110" spans="2:7" ht="14.25" customHeight="1" x14ac:dyDescent="0.25">
      <c r="B110" s="38">
        <f t="shared" si="1"/>
        <v>103</v>
      </c>
      <c r="C110" s="28" t="s">
        <v>5</v>
      </c>
      <c r="D110" s="2" t="s">
        <v>411</v>
      </c>
      <c r="E110" s="2">
        <v>92</v>
      </c>
      <c r="F110" s="35" t="s">
        <v>309</v>
      </c>
      <c r="G110" s="39"/>
    </row>
    <row r="111" spans="2:7" ht="14.25" customHeight="1" x14ac:dyDescent="0.25">
      <c r="B111" s="38">
        <f t="shared" si="1"/>
        <v>104</v>
      </c>
      <c r="C111" s="28" t="s">
        <v>5</v>
      </c>
      <c r="D111" s="2" t="s">
        <v>412</v>
      </c>
      <c r="E111" s="2">
        <v>31</v>
      </c>
      <c r="F111" s="35" t="s">
        <v>309</v>
      </c>
      <c r="G111" s="39"/>
    </row>
    <row r="112" spans="2:7" ht="13.2" x14ac:dyDescent="0.25">
      <c r="B112" s="38">
        <f t="shared" si="1"/>
        <v>105</v>
      </c>
      <c r="C112" s="28" t="s">
        <v>5</v>
      </c>
      <c r="D112" s="2" t="s">
        <v>372</v>
      </c>
      <c r="E112" s="2">
        <v>13</v>
      </c>
      <c r="F112" s="35" t="s">
        <v>309</v>
      </c>
      <c r="G112" s="35"/>
    </row>
    <row r="113" spans="2:7" ht="13.2" x14ac:dyDescent="0.25">
      <c r="B113" s="38">
        <f t="shared" si="1"/>
        <v>106</v>
      </c>
      <c r="C113" s="28" t="s">
        <v>96</v>
      </c>
      <c r="D113" s="2" t="s">
        <v>413</v>
      </c>
      <c r="E113" s="2">
        <v>35</v>
      </c>
      <c r="F113" s="35" t="s">
        <v>313</v>
      </c>
      <c r="G113" s="35"/>
    </row>
    <row r="114" spans="2:7" ht="13.95" customHeight="1" x14ac:dyDescent="0.25">
      <c r="B114" s="38">
        <f t="shared" si="1"/>
        <v>107</v>
      </c>
      <c r="C114" s="28" t="s">
        <v>97</v>
      </c>
      <c r="D114" s="2" t="s">
        <v>414</v>
      </c>
      <c r="E114" s="2">
        <v>1</v>
      </c>
      <c r="F114" s="35" t="s">
        <v>313</v>
      </c>
      <c r="G114" s="35"/>
    </row>
    <row r="115" spans="2:7" ht="13.2" x14ac:dyDescent="0.25">
      <c r="B115" s="38">
        <f t="shared" si="1"/>
        <v>108</v>
      </c>
      <c r="C115" s="28" t="s">
        <v>99</v>
      </c>
      <c r="D115" s="35" t="s">
        <v>99</v>
      </c>
      <c r="E115" s="2">
        <v>2</v>
      </c>
      <c r="F115" s="35" t="s">
        <v>313</v>
      </c>
      <c r="G115" s="35"/>
    </row>
    <row r="116" spans="2:7" ht="13.2" x14ac:dyDescent="0.25">
      <c r="B116" s="38">
        <f t="shared" si="1"/>
        <v>109</v>
      </c>
      <c r="C116" s="28" t="s">
        <v>100</v>
      </c>
      <c r="D116" s="2" t="s">
        <v>415</v>
      </c>
      <c r="E116" s="2">
        <v>1</v>
      </c>
      <c r="F116" s="35" t="s">
        <v>309</v>
      </c>
      <c r="G116" s="35"/>
    </row>
    <row r="117" spans="2:7" ht="13.2" x14ac:dyDescent="0.25">
      <c r="B117" s="38">
        <f t="shared" si="1"/>
        <v>110</v>
      </c>
      <c r="C117" s="28" t="s">
        <v>101</v>
      </c>
      <c r="D117" s="2" t="s">
        <v>416</v>
      </c>
      <c r="E117" s="2">
        <v>10</v>
      </c>
      <c r="F117" s="35" t="s">
        <v>313</v>
      </c>
      <c r="G117" s="35"/>
    </row>
    <row r="118" spans="2:7" ht="13.2" x14ac:dyDescent="0.25">
      <c r="B118" s="38">
        <f t="shared" si="1"/>
        <v>111</v>
      </c>
      <c r="C118" s="28" t="s">
        <v>102</v>
      </c>
      <c r="D118" s="35" t="s">
        <v>417</v>
      </c>
      <c r="E118" s="35">
        <v>2</v>
      </c>
      <c r="F118" s="35" t="s">
        <v>309</v>
      </c>
      <c r="G118" s="35"/>
    </row>
    <row r="119" spans="2:7" ht="13.2" x14ac:dyDescent="0.25">
      <c r="B119" s="38">
        <f t="shared" si="1"/>
        <v>112</v>
      </c>
      <c r="C119" s="28" t="s">
        <v>102</v>
      </c>
      <c r="D119" s="35" t="s">
        <v>418</v>
      </c>
      <c r="E119" s="35">
        <v>3</v>
      </c>
      <c r="F119" s="35" t="s">
        <v>309</v>
      </c>
      <c r="G119" s="35"/>
    </row>
    <row r="120" spans="2:7" ht="13.2" x14ac:dyDescent="0.25">
      <c r="B120" s="38">
        <f t="shared" si="1"/>
        <v>113</v>
      </c>
      <c r="C120" s="28" t="s">
        <v>102</v>
      </c>
      <c r="D120" s="35" t="s">
        <v>419</v>
      </c>
      <c r="E120" s="35">
        <v>3</v>
      </c>
      <c r="F120" s="35" t="s">
        <v>309</v>
      </c>
      <c r="G120" s="35"/>
    </row>
    <row r="121" spans="2:7" ht="25.2" customHeight="1" x14ac:dyDescent="0.25">
      <c r="B121" s="57">
        <f t="shared" si="1"/>
        <v>114</v>
      </c>
      <c r="C121" s="58" t="s">
        <v>103</v>
      </c>
      <c r="D121" s="48" t="s">
        <v>420</v>
      </c>
      <c r="E121" s="48">
        <v>5</v>
      </c>
      <c r="F121" s="46" t="s">
        <v>313</v>
      </c>
      <c r="G121" s="46"/>
    </row>
    <row r="122" spans="2:7" ht="13.2" x14ac:dyDescent="0.25">
      <c r="B122" s="38">
        <f t="shared" si="1"/>
        <v>115</v>
      </c>
      <c r="C122" s="28" t="s">
        <v>104</v>
      </c>
      <c r="D122" s="2" t="s">
        <v>421</v>
      </c>
      <c r="E122" s="2">
        <v>4</v>
      </c>
      <c r="F122" s="35" t="s">
        <v>313</v>
      </c>
      <c r="G122" s="35"/>
    </row>
    <row r="123" spans="2:7" ht="13.2" x14ac:dyDescent="0.25">
      <c r="B123" s="38">
        <f t="shared" si="1"/>
        <v>116</v>
      </c>
      <c r="C123" s="28" t="s">
        <v>9</v>
      </c>
      <c r="D123" s="35" t="s">
        <v>422</v>
      </c>
      <c r="E123" s="35">
        <v>8</v>
      </c>
      <c r="F123" s="35" t="s">
        <v>309</v>
      </c>
      <c r="G123" s="35"/>
    </row>
    <row r="124" spans="2:7" ht="13.2" x14ac:dyDescent="0.25">
      <c r="B124" s="38">
        <f t="shared" si="1"/>
        <v>117</v>
      </c>
      <c r="C124" s="28" t="s">
        <v>105</v>
      </c>
      <c r="D124" s="2" t="s">
        <v>423</v>
      </c>
      <c r="E124" s="2">
        <v>4</v>
      </c>
      <c r="F124" s="35" t="s">
        <v>309</v>
      </c>
      <c r="G124" s="35"/>
    </row>
    <row r="125" spans="2:7" ht="13.2" x14ac:dyDescent="0.25">
      <c r="B125" s="38">
        <f t="shared" si="1"/>
        <v>118</v>
      </c>
      <c r="C125" s="28" t="s">
        <v>106</v>
      </c>
      <c r="D125" s="2" t="s">
        <v>424</v>
      </c>
      <c r="E125" s="2">
        <v>9</v>
      </c>
      <c r="F125" s="35" t="s">
        <v>309</v>
      </c>
      <c r="G125" s="35"/>
    </row>
    <row r="126" spans="2:7" ht="13.2" x14ac:dyDescent="0.25">
      <c r="B126" s="38">
        <f t="shared" si="1"/>
        <v>119</v>
      </c>
      <c r="C126" s="28" t="s">
        <v>107</v>
      </c>
      <c r="D126" s="2" t="s">
        <v>425</v>
      </c>
      <c r="E126" s="44"/>
      <c r="F126" s="35" t="s">
        <v>313</v>
      </c>
      <c r="G126" s="35"/>
    </row>
    <row r="127" spans="2:7" ht="13.2" x14ac:dyDescent="0.25">
      <c r="B127" s="38">
        <f t="shared" si="1"/>
        <v>120</v>
      </c>
      <c r="C127" s="28" t="s">
        <v>108</v>
      </c>
      <c r="D127" s="35" t="s">
        <v>426</v>
      </c>
      <c r="E127" s="35">
        <v>1</v>
      </c>
      <c r="F127" s="35" t="s">
        <v>313</v>
      </c>
      <c r="G127" s="35"/>
    </row>
    <row r="128" spans="2:7" ht="13.2" x14ac:dyDescent="0.25">
      <c r="B128" s="38">
        <f t="shared" si="1"/>
        <v>121</v>
      </c>
      <c r="C128" s="28" t="s">
        <v>109</v>
      </c>
      <c r="D128" s="2" t="s">
        <v>427</v>
      </c>
      <c r="E128" s="2">
        <v>10</v>
      </c>
      <c r="F128" s="35" t="s">
        <v>309</v>
      </c>
      <c r="G128" s="35" t="s">
        <v>310</v>
      </c>
    </row>
    <row r="129" spans="2:7" ht="13.2" x14ac:dyDescent="0.25">
      <c r="B129" s="38">
        <f t="shared" si="1"/>
        <v>122</v>
      </c>
      <c r="C129" s="28" t="s">
        <v>109</v>
      </c>
      <c r="D129" s="2" t="s">
        <v>428</v>
      </c>
      <c r="E129" s="2">
        <v>1</v>
      </c>
      <c r="F129" s="35" t="s">
        <v>309</v>
      </c>
      <c r="G129" s="35" t="s">
        <v>310</v>
      </c>
    </row>
    <row r="130" spans="2:7" ht="13.2" x14ac:dyDescent="0.25">
      <c r="B130" s="38">
        <f>B129+1</f>
        <v>123</v>
      </c>
      <c r="C130" s="28" t="s">
        <v>4</v>
      </c>
      <c r="D130" s="2" t="s">
        <v>429</v>
      </c>
      <c r="E130" s="2">
        <v>419</v>
      </c>
      <c r="F130" s="2" t="s">
        <v>309</v>
      </c>
      <c r="G130" s="2"/>
    </row>
  </sheetData>
  <sheetProtection selectLockedCells="1" sort="0" autoFilter="0" pivotTables="0" selectUnlockedCells="1"/>
  <mergeCells count="1">
    <mergeCell ref="B5:E5"/>
  </mergeCells>
  <phoneticPr fontId="10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479A3-3B6D-4DAB-A780-C576769AE4BB}">
  <dimension ref="A3:I12"/>
  <sheetViews>
    <sheetView showGridLines="0" workbookViewId="0">
      <selection activeCell="I4" sqref="I4:I9"/>
    </sheetView>
  </sheetViews>
  <sheetFormatPr defaultColWidth="11.44140625" defaultRowHeight="12.75" customHeight="1" x14ac:dyDescent="0.25"/>
  <cols>
    <col min="1" max="1" width="2.6640625" bestFit="1" customWidth="1"/>
    <col min="2" max="2" width="12.109375" bestFit="1" customWidth="1"/>
    <col min="3" max="3" width="33.88671875" customWidth="1"/>
    <col min="4" max="4" width="16.33203125" bestFit="1" customWidth="1"/>
    <col min="5" max="5" width="13.33203125" bestFit="1" customWidth="1"/>
    <col min="6" max="6" width="21.44140625" customWidth="1"/>
    <col min="7" max="7" width="19.5546875" bestFit="1" customWidth="1"/>
    <col min="8" max="8" width="9.5546875" customWidth="1"/>
    <col min="9" max="9" width="23.33203125" customWidth="1"/>
  </cols>
  <sheetData>
    <row r="3" spans="1:9" ht="14.4" x14ac:dyDescent="0.25">
      <c r="A3" s="21" t="s">
        <v>114</v>
      </c>
      <c r="B3" s="21" t="s">
        <v>115</v>
      </c>
      <c r="C3" s="21" t="s">
        <v>430</v>
      </c>
      <c r="D3" s="21" t="s">
        <v>431</v>
      </c>
      <c r="E3" s="21" t="s">
        <v>432</v>
      </c>
      <c r="F3" s="22" t="s">
        <v>433</v>
      </c>
      <c r="G3" s="22" t="s">
        <v>434</v>
      </c>
      <c r="H3" s="22" t="s">
        <v>435</v>
      </c>
      <c r="I3" s="22" t="s">
        <v>436</v>
      </c>
    </row>
    <row r="4" spans="1:9" ht="13.2" x14ac:dyDescent="0.25">
      <c r="A4" s="9" t="s">
        <v>437</v>
      </c>
      <c r="B4" s="9" t="s">
        <v>7</v>
      </c>
      <c r="C4" s="9" t="s">
        <v>227</v>
      </c>
      <c r="D4" s="10">
        <v>375</v>
      </c>
      <c r="E4" s="9" t="s">
        <v>228</v>
      </c>
      <c r="F4" s="9">
        <v>950</v>
      </c>
      <c r="G4" s="9">
        <v>209</v>
      </c>
      <c r="H4" s="20">
        <v>356250</v>
      </c>
      <c r="I4" s="20">
        <v>78375</v>
      </c>
    </row>
    <row r="5" spans="1:9" ht="14.4" x14ac:dyDescent="0.25">
      <c r="A5" s="11" t="s">
        <v>438</v>
      </c>
      <c r="B5" s="11" t="s">
        <v>7</v>
      </c>
      <c r="C5" s="12" t="s">
        <v>231</v>
      </c>
      <c r="D5" s="13">
        <v>375</v>
      </c>
      <c r="E5" s="12" t="s">
        <v>228</v>
      </c>
      <c r="F5" s="14">
        <v>100</v>
      </c>
      <c r="G5" s="14">
        <v>22</v>
      </c>
      <c r="H5" s="15">
        <v>37500</v>
      </c>
      <c r="I5" s="15">
        <v>8250</v>
      </c>
    </row>
    <row r="6" spans="1:9" ht="13.2" x14ac:dyDescent="0.25">
      <c r="A6" s="9" t="s">
        <v>439</v>
      </c>
      <c r="B6" s="9" t="s">
        <v>7</v>
      </c>
      <c r="C6" s="9" t="s">
        <v>232</v>
      </c>
      <c r="D6" s="10">
        <v>375</v>
      </c>
      <c r="E6" s="9" t="s">
        <v>228</v>
      </c>
      <c r="F6" s="9">
        <v>230</v>
      </c>
      <c r="G6" s="9">
        <v>50.6</v>
      </c>
      <c r="H6" s="20">
        <v>86250</v>
      </c>
      <c r="I6" s="20">
        <v>18975</v>
      </c>
    </row>
    <row r="7" spans="1:9" ht="14.4" x14ac:dyDescent="0.25">
      <c r="A7" s="11" t="s">
        <v>440</v>
      </c>
      <c r="B7" s="11" t="s">
        <v>7</v>
      </c>
      <c r="C7" s="16" t="s">
        <v>233</v>
      </c>
      <c r="D7" s="17">
        <v>375</v>
      </c>
      <c r="E7" s="16" t="s">
        <v>228</v>
      </c>
      <c r="F7" s="18">
        <v>230</v>
      </c>
      <c r="G7" s="18">
        <v>50.6</v>
      </c>
      <c r="H7" s="19">
        <v>86250</v>
      </c>
      <c r="I7" s="19">
        <v>18975</v>
      </c>
    </row>
    <row r="8" spans="1:9" ht="13.2" x14ac:dyDescent="0.25">
      <c r="A8" s="25" t="s">
        <v>441</v>
      </c>
      <c r="B8" s="25" t="s">
        <v>7</v>
      </c>
      <c r="C8" s="25" t="s">
        <v>234</v>
      </c>
      <c r="D8" s="26">
        <v>375</v>
      </c>
      <c r="E8" s="25" t="s">
        <v>228</v>
      </c>
      <c r="F8" s="25">
        <v>150</v>
      </c>
      <c r="G8" s="25">
        <v>33</v>
      </c>
      <c r="H8" s="27">
        <v>56250</v>
      </c>
      <c r="I8" s="27">
        <v>12375</v>
      </c>
    </row>
    <row r="9" spans="1:9" ht="14.4" x14ac:dyDescent="0.25">
      <c r="A9" s="11" t="s">
        <v>442</v>
      </c>
      <c r="B9" s="11" t="s">
        <v>7</v>
      </c>
      <c r="C9" s="16" t="s">
        <v>235</v>
      </c>
      <c r="D9" s="17">
        <v>375</v>
      </c>
      <c r="E9" s="16" t="s">
        <v>228</v>
      </c>
      <c r="F9" s="18">
        <v>460</v>
      </c>
      <c r="G9" s="18">
        <v>101.2</v>
      </c>
      <c r="H9" s="19">
        <v>172500</v>
      </c>
      <c r="I9" s="19">
        <v>37950</v>
      </c>
    </row>
    <row r="10" spans="1:9" ht="13.2" x14ac:dyDescent="0.25">
      <c r="H10" s="23"/>
      <c r="I10" s="23"/>
    </row>
    <row r="11" spans="1:9" ht="13.2" x14ac:dyDescent="0.25">
      <c r="G11" s="8" t="s">
        <v>443</v>
      </c>
      <c r="H11" s="24">
        <f>SUM(H4:H10)</f>
        <v>795000</v>
      </c>
      <c r="I11" s="24">
        <f>SUM(I4:I10)</f>
        <v>174900</v>
      </c>
    </row>
    <row r="12" spans="1:9" ht="13.2" x14ac:dyDescent="0.25"/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1D199F904B124089E8921E1BE781A5" ma:contentTypeVersion="38" ma:contentTypeDescription="Create a new document." ma:contentTypeScope="" ma:versionID="21b2a167f0e9f51d182defb6fb7cd223">
  <xsd:schema xmlns:xsd="http://www.w3.org/2001/XMLSchema" xmlns:xs="http://www.w3.org/2001/XMLSchema" xmlns:p="http://schemas.microsoft.com/office/2006/metadata/properties" xmlns:ns2="e25d03df-6f6a-4e2f-9065-05735d4e3f73" xmlns:ns3="483dd3a2-cef4-47e1-84bc-371c1164aa00" xmlns:ns4="bca0bc44-19d1-4824-98a4-321de56310bf" targetNamespace="http://schemas.microsoft.com/office/2006/metadata/properties" ma:root="true" ma:fieldsID="ba144b09e58370e33ccbbdb829c12b6c" ns2:_="" ns3:_="" ns4:_="">
    <xsd:import namespace="e25d03df-6f6a-4e2f-9065-05735d4e3f73"/>
    <xsd:import namespace="483dd3a2-cef4-47e1-84bc-371c1164aa00"/>
    <xsd:import namespace="bca0bc44-19d1-4824-98a4-321de56310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_dlc_DocId" minOccurs="0"/>
                <xsd:element ref="ns3:_dlc_DocIdUrl" minOccurs="0"/>
                <xsd:element ref="ns3:_dlc_DocIdPersistId" minOccurs="0"/>
                <xsd:element ref="ns2:CSC"/>
                <xsd:element ref="ns2:ASC"/>
                <xsd:element ref="ns2:ISC"/>
                <xsd:element ref="ns2:ArchivingPeriod"/>
                <xsd:element ref="ns2:Safeguarding"/>
                <xsd:element ref="ns2:Historicalrelevance"/>
                <xsd:element ref="ns2:LinkedToILM" minOccurs="0"/>
                <xsd:element ref="ns4:OriginalSubject" minOccurs="0"/>
                <xsd:element ref="ns4:From1" minOccurs="0"/>
                <xsd:element ref="ns4:Cc" minOccurs="0"/>
                <xsd:element ref="ns4:Bcc" minOccurs="0"/>
                <xsd:element ref="ns4:Conversation-Topic" minOccurs="0"/>
                <xsd:element ref="ns4:Date1" minOccurs="0"/>
                <xsd:element ref="ns4:Reply-To" minOccurs="0"/>
                <xsd:element ref="ns4:To" minOccurs="0"/>
                <xsd:element ref="ns4:Received" minOccurs="0"/>
                <xsd:element ref="ns4:Attachment" minOccurs="0"/>
                <xsd:element ref="ns4:Sensitivity" minOccurs="0"/>
                <xsd:element ref="ns4:Importance" minOccurs="0"/>
                <xsd:element ref="ns4:In-Reply-To" minOccurs="0"/>
                <xsd:element ref="ns4:References" minOccurs="0"/>
                <xsd:element ref="ns4:Conversation-Index" minOccurs="0"/>
                <xsd:element ref="ns4:MailPreviewData" minOccurs="0"/>
                <xsd:element ref="ns2:MessageClass" minOccurs="0"/>
                <xsd:element ref="ns4:Message-ID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5d03df-6f6a-4e2f-9065-05735d4e3f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e50c28b-242c-4b51-be91-908d42243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CSC" ma:index="22" ma:displayName="C-SC" ma:default="1" ma:description="Security Class for Confidentiality." ma:format="Dropdown" ma:indexed="true" ma:internalName="CSC" ma:readOnly="false">
      <xsd:simpleType>
        <xsd:restriction base="dms:Choice">
          <xsd:enumeration value="0"/>
          <xsd:enumeration value="1"/>
          <xsd:enumeration value="2"/>
          <xsd:enumeration value="3"/>
        </xsd:restriction>
      </xsd:simpleType>
    </xsd:element>
    <xsd:element name="ASC" ma:index="23" ma:displayName="A-SC" ma:default="1" ma:description="Security Class for Availability" ma:format="Dropdown" ma:indexed="true" ma:internalName="ASC" ma:readOnly="false">
      <xsd:simpleType>
        <xsd:restriction base="dms:Choice">
          <xsd:enumeration value="0"/>
          <xsd:enumeration value="1"/>
          <xsd:enumeration value="2"/>
          <xsd:enumeration value="3"/>
        </xsd:restriction>
      </xsd:simpleType>
    </xsd:element>
    <xsd:element name="ISC" ma:index="24" ma:displayName="I-SC" ma:default="1" ma:description="Security Class for Confidentiality." ma:format="Dropdown" ma:internalName="ISC" ma:readOnly="false">
      <xsd:simpleType>
        <xsd:restriction base="dms:Choice">
          <xsd:enumeration value="0"/>
          <xsd:enumeration value="1"/>
          <xsd:enumeration value="2"/>
          <xsd:enumeration value="3"/>
        </xsd:restriction>
      </xsd:simpleType>
    </xsd:element>
    <xsd:element name="ArchivingPeriod" ma:index="25" ma:displayName="Archiving Period (in years)" ma:default="10" ma:description="File will be deleted from the archive after end of the archiving" ma:format="Dropdown" ma:indexed="true" ma:internalName="ArchivingPeriod" ma:readOnly="false">
      <xsd:simpleType>
        <xsd:restriction base="dms:Choice">
          <xsd:enumeration value="0"/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10"/>
          <xsd:enumeration value="11"/>
          <xsd:enumeration value="12"/>
          <xsd:enumeration value="15"/>
          <xsd:enumeration value="20"/>
          <xsd:enumeration value="22"/>
          <xsd:enumeration value="23"/>
          <xsd:enumeration value="24"/>
          <xsd:enumeration value="30"/>
          <xsd:enumeration value="35"/>
          <xsd:enumeration value="40"/>
          <xsd:enumeration value="50"/>
          <xsd:enumeration value="65"/>
          <xsd:enumeration value="90"/>
          <xsd:enumeration value="99"/>
        </xsd:restriction>
      </xsd:simpleType>
    </xsd:element>
    <xsd:element name="Safeguarding" ma:index="26" ma:displayName="Safeguarding" ma:default="No" ma:description="Special safeguarding requirements" ma:format="Dropdown" ma:internalName="Safeguarding" ma:readOnly="false">
      <xsd:simpleType>
        <xsd:restriction base="dms:Choice">
          <xsd:enumeration value="Yes"/>
          <xsd:enumeration value="No"/>
        </xsd:restriction>
      </xsd:simpleType>
    </xsd:element>
    <xsd:element name="Historicalrelevance" ma:index="27" ma:displayName="Historical relevance" ma:default="No" ma:description="Handover to C/CCH" ma:format="Dropdown" ma:internalName="Historicalrelevance" ma:readOnly="false">
      <xsd:simpleType>
        <xsd:restriction base="dms:Choice">
          <xsd:enumeration value="Yes"/>
          <xsd:enumeration value="No"/>
        </xsd:restriction>
      </xsd:simpleType>
    </xsd:element>
    <xsd:element name="LinkedToILM" ma:index="28" nillable="true" ma:displayName="Linked To ILM" ma:default="0" ma:description="Is Item Linked to ILM" ma:indexed="true" ma:internalName="LinkedToILM" ma:readOnly="true">
      <xsd:simpleType>
        <xsd:restriction base="dms:Boolean"/>
      </xsd:simpleType>
    </xsd:element>
    <xsd:element name="MessageClass" ma:index="45" nillable="true" ma:displayName="MessageClass" ma:hidden="true" ma:internalName="MessageClass">
      <xsd:simpleType>
        <xsd:restriction base="dms:Text">
          <xsd:maxLength value="255"/>
        </xsd:restriction>
      </xsd:simpleType>
    </xsd:element>
    <xsd:element name="MediaLengthInSeconds" ma:index="4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4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3dd3a2-cef4-47e1-84bc-371c1164aa0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84a8afc-b688-4cd6-988c-b69c88d39bbb}" ma:internalName="TaxCatchAll" ma:showField="CatchAllData" ma:web="483dd3a2-cef4-47e1-84bc-371c1164aa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1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0bc44-19d1-4824-98a4-321de56310bf" elementFormDefault="qualified">
    <xsd:import namespace="http://schemas.microsoft.com/office/2006/documentManagement/types"/>
    <xsd:import namespace="http://schemas.microsoft.com/office/infopath/2007/PartnerControls"/>
    <xsd:element name="OriginalSubject" ma:index="29" nillable="true" ma:displayName="OriginalSubject" ma:internalName="OriginalSubject">
      <xsd:simpleType>
        <xsd:restriction base="dms:Text">
          <xsd:maxLength value="255"/>
        </xsd:restriction>
      </xsd:simpleType>
    </xsd:element>
    <xsd:element name="From1" ma:index="30" nillable="true" ma:displayName="From" ma:internalName="From1">
      <xsd:simpleType>
        <xsd:restriction base="dms:Text">
          <xsd:maxLength value="255"/>
        </xsd:restriction>
      </xsd:simpleType>
    </xsd:element>
    <xsd:element name="Cc" ma:index="31" nillable="true" ma:displayName="Cc" ma:internalName="Cc">
      <xsd:simpleType>
        <xsd:restriction base="dms:Note">
          <xsd:maxLength value="255"/>
        </xsd:restriction>
      </xsd:simpleType>
    </xsd:element>
    <xsd:element name="Bcc" ma:index="32" nillable="true" ma:displayName="Bcc" ma:internalName="Bcc">
      <xsd:simpleType>
        <xsd:restriction base="dms:Note">
          <xsd:maxLength value="255"/>
        </xsd:restriction>
      </xsd:simpleType>
    </xsd:element>
    <xsd:element name="Conversation-Topic" ma:index="33" nillable="true" ma:displayName="Conversation-Topic" ma:internalName="Conversation_x002d_Topic">
      <xsd:simpleType>
        <xsd:restriction base="dms:Text">
          <xsd:maxLength value="255"/>
        </xsd:restriction>
      </xsd:simpleType>
    </xsd:element>
    <xsd:element name="Date1" ma:index="34" nillable="true" ma:displayName="Date" ma:format="DateOnly" ma:internalName="Date1">
      <xsd:simpleType>
        <xsd:restriction base="dms:DateTime"/>
      </xsd:simpleType>
    </xsd:element>
    <xsd:element name="Reply-To" ma:index="35" nillable="true" ma:displayName="Reply-To" ma:internalName="Reply_x002d_To">
      <xsd:simpleType>
        <xsd:restriction base="dms:Text">
          <xsd:maxLength value="255"/>
        </xsd:restriction>
      </xsd:simpleType>
    </xsd:element>
    <xsd:element name="To" ma:index="36" nillable="true" ma:displayName="To" ma:internalName="To">
      <xsd:simpleType>
        <xsd:restriction base="dms:Note">
          <xsd:maxLength value="255"/>
        </xsd:restriction>
      </xsd:simpleType>
    </xsd:element>
    <xsd:element name="Received" ma:index="37" nillable="true" ma:displayName="Received" ma:internalName="Received">
      <xsd:simpleType>
        <xsd:restriction base="dms:Text">
          <xsd:maxLength value="255"/>
        </xsd:restriction>
      </xsd:simpleType>
    </xsd:element>
    <xsd:element name="Attachment" ma:index="38" nillable="true" ma:displayName="Attachment" ma:default="1" ma:internalName="Attachment">
      <xsd:simpleType>
        <xsd:restriction base="dms:Boolean"/>
      </xsd:simpleType>
    </xsd:element>
    <xsd:element name="Sensitivity" ma:index="39" nillable="true" ma:displayName="Sensitivity" ma:internalName="Sensitivity">
      <xsd:simpleType>
        <xsd:restriction base="dms:Text">
          <xsd:maxLength value="255"/>
        </xsd:restriction>
      </xsd:simpleType>
    </xsd:element>
    <xsd:element name="Importance" ma:index="40" nillable="true" ma:displayName="Importance" ma:internalName="Importance">
      <xsd:simpleType>
        <xsd:restriction base="dms:Text">
          <xsd:maxLength value="255"/>
        </xsd:restriction>
      </xsd:simpleType>
    </xsd:element>
    <xsd:element name="In-Reply-To" ma:index="41" nillable="true" ma:displayName="In-Reply-To" ma:internalName="In_x002d_Reply_x002d_To">
      <xsd:simpleType>
        <xsd:restriction base="dms:Text">
          <xsd:maxLength value="255"/>
        </xsd:restriction>
      </xsd:simpleType>
    </xsd:element>
    <xsd:element name="References" ma:index="42" nillable="true" ma:displayName="References" ma:internalName="References">
      <xsd:simpleType>
        <xsd:restriction base="dms:Text">
          <xsd:maxLength value="255"/>
        </xsd:restriction>
      </xsd:simpleType>
    </xsd:element>
    <xsd:element name="Conversation-Index" ma:index="43" nillable="true" ma:displayName="Conversation-Index" ma:hidden="true" ma:internalName="Conversation_x002d_Index">
      <xsd:simpleType>
        <xsd:restriction base="dms:Text">
          <xsd:maxLength value="255"/>
        </xsd:restriction>
      </xsd:simpleType>
    </xsd:element>
    <xsd:element name="MailPreviewData" ma:index="44" nillable="true" ma:displayName="MailPreviewData" ma:hidden="true" ma:internalName="MailPreviewData">
      <xsd:simpleType>
        <xsd:restriction base="dms:Note"/>
      </xsd:simpleType>
    </xsd:element>
    <xsd:element name="Message-ID" ma:index="46" nillable="true" ma:displayName="Message-ID" ma:hidden="true" ma:internalName="Message_x002d_ID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versation-Topic xmlns="bca0bc44-19d1-4824-98a4-321de56310bf" xsi:nil="true"/>
    <Received xmlns="bca0bc44-19d1-4824-98a4-321de56310bf" xsi:nil="true"/>
    <Importance xmlns="bca0bc44-19d1-4824-98a4-321de56310bf" xsi:nil="true"/>
    <MessageClass xmlns="e25d03df-6f6a-4e2f-9065-05735d4e3f73" xsi:nil="true"/>
    <CSC xmlns="e25d03df-6f6a-4e2f-9065-05735d4e3f73">1</CSC>
    <Conversation-Index xmlns="bca0bc44-19d1-4824-98a4-321de56310bf" xsi:nil="true"/>
    <Bcc xmlns="bca0bc44-19d1-4824-98a4-321de56310bf" xsi:nil="true"/>
    <Sensitivity xmlns="bca0bc44-19d1-4824-98a4-321de56310bf" xsi:nil="true"/>
    <TaxCatchAll xmlns="483dd3a2-cef4-47e1-84bc-371c1164aa00" xsi:nil="true"/>
    <ASC xmlns="e25d03df-6f6a-4e2f-9065-05735d4e3f73">1</ASC>
    <To xmlns="bca0bc44-19d1-4824-98a4-321de56310bf" xsi:nil="true"/>
    <Safeguarding xmlns="e25d03df-6f6a-4e2f-9065-05735d4e3f73">No</Safeguarding>
    <Reply-To xmlns="bca0bc44-19d1-4824-98a4-321de56310bf" xsi:nil="true"/>
    <In-Reply-To xmlns="bca0bc44-19d1-4824-98a4-321de56310bf" xsi:nil="true"/>
    <MailPreviewData xmlns="bca0bc44-19d1-4824-98a4-321de56310bf" xsi:nil="true"/>
    <lcf76f155ced4ddcb4097134ff3c332f xmlns="e25d03df-6f6a-4e2f-9065-05735d4e3f73">
      <Terms xmlns="http://schemas.microsoft.com/office/infopath/2007/PartnerControls"/>
    </lcf76f155ced4ddcb4097134ff3c332f>
    <Date1 xmlns="bca0bc44-19d1-4824-98a4-321de56310bf" xsi:nil="true"/>
    <Attachment xmlns="bca0bc44-19d1-4824-98a4-321de56310bf">true</Attachment>
    <References xmlns="bca0bc44-19d1-4824-98a4-321de56310bf" xsi:nil="true"/>
    <ArchivingPeriod xmlns="e25d03df-6f6a-4e2f-9065-05735d4e3f73">10</ArchivingPeriod>
    <Cc xmlns="bca0bc44-19d1-4824-98a4-321de56310bf" xsi:nil="true"/>
    <Message-ID xmlns="bca0bc44-19d1-4824-98a4-321de56310bf" xsi:nil="true"/>
    <OriginalSubject xmlns="bca0bc44-19d1-4824-98a4-321de56310bf" xsi:nil="true"/>
    <Historicalrelevance xmlns="e25d03df-6f6a-4e2f-9065-05735d4e3f73">No</Historicalrelevance>
    <ISC xmlns="e25d03df-6f6a-4e2f-9065-05735d4e3f73">1</ISC>
    <From1 xmlns="bca0bc44-19d1-4824-98a4-321de56310bf" xsi:nil="true"/>
    <_dlc_DocId xmlns="483dd3a2-cef4-47e1-84bc-371c1164aa00">F5D2HKEYWPPN-1178723068-2469</_dlc_DocId>
    <LinkedToILM xmlns="e25d03df-6f6a-4e2f-9065-05735d4e3f73">false</LinkedToILM>
    <_dlc_DocIdUrl xmlns="483dd3a2-cef4-47e1-84bc-371c1164aa00">
      <Url>https://bosch.sharepoint.com/sites/msteams_4edfc7d2/_layouts/15/DocIdRedir.aspx?ID=F5D2HKEYWPPN-1178723068-2469</Url>
      <Description>F5D2HKEYWPPN-1178723068-2469</Description>
    </_dlc_DocIdUrl>
  </documentManagement>
</p:properties>
</file>

<file path=customXml/itemProps1.xml><?xml version="1.0" encoding="utf-8"?>
<ds:datastoreItem xmlns:ds="http://schemas.openxmlformats.org/officeDocument/2006/customXml" ds:itemID="{D7809FC7-3466-4B79-A926-EEACD787C6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4A7A25-833F-4754-8EAC-F2F6C95FBA59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30475F5-01CE-4278-B23E-1EB29D2CEA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5d03df-6f6a-4e2f-9065-05735d4e3f73"/>
    <ds:schemaRef ds:uri="483dd3a2-cef4-47e1-84bc-371c1164aa00"/>
    <ds:schemaRef ds:uri="bca0bc44-19d1-4824-98a4-321de56310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5758E0C-057F-4172-A7C7-AB7BC6A0B857}">
  <ds:schemaRefs>
    <ds:schemaRef ds:uri="http://schemas.microsoft.com/office/2006/metadata/properties"/>
    <ds:schemaRef ds:uri="http://schemas.microsoft.com/office/infopath/2007/PartnerControls"/>
    <ds:schemaRef ds:uri="bca0bc44-19d1-4824-98a4-321de56310bf"/>
    <ds:schemaRef ds:uri="e25d03df-6f6a-4e2f-9065-05735d4e3f73"/>
    <ds:schemaRef ds:uri="483dd3a2-cef4-47e1-84bc-371c1164aa0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 Vendors vs Products</vt:lpstr>
      <vt:lpstr>Pivot Free or OSS</vt:lpstr>
      <vt:lpstr>Shopping List Astra 10.02.2026</vt:lpstr>
      <vt:lpstr>License inventory for FOSS</vt:lpstr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Nitsova Anastasiya (BD/MIL-ICC)</dc:creator>
  <cp:keywords/>
  <dc:description/>
  <cp:lastModifiedBy>Ho Keng Hua (BD/MIL-ICC)</cp:lastModifiedBy>
  <cp:revision/>
  <dcterms:created xsi:type="dcterms:W3CDTF">2026-02-10T11:24:51Z</dcterms:created>
  <dcterms:modified xsi:type="dcterms:W3CDTF">2026-04-02T13:22:36Z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0x0101004A1D199F904B124089E8921E1BE781A5</vt:lpwstr>
  </property>
  <property fmtid="{D5CDD505-2E9C-101B-9397-08002B2CF9AE}" pid="3" name="_dlc_DocIdItemGuid">
    <vt:lpwstr>0d8fee97-9c6d-41ca-94f3-63274db0a921</vt:lpwstr>
  </property>
  <property fmtid="{D5CDD505-2E9C-101B-9397-08002B2CF9AE}" pid="4" name="MediaServiceImageTags">
    <vt:lpwstr/>
  </property>
</Properties>
</file>