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kho1sgp_bosch_com/Documents/My Work Documents/AI topics/BDMIL use case/Software_license_project/"/>
    </mc:Choice>
  </mc:AlternateContent>
  <xr:revisionPtr revIDLastSave="1" documentId="11_296C8DB84F53522A7DD95443399A6771FF6E03CE" xr6:coauthVersionLast="47" xr6:coauthVersionMax="47" xr10:uidLastSave="{6A945FDD-1ED1-40FB-94D9-DB991E5A5A6E}"/>
  <bookViews>
    <workbookView xWindow="-108" yWindow="-108" windowWidth="23256" windowHeight="13896" tabRatio="470" firstSheet="2" activeTab="2" xr2:uid="{00000000-000D-0000-FFFF-FFFF00000000}"/>
  </bookViews>
  <sheets>
    <sheet name="Pivot Vendors vs Products" sheetId="1" r:id="rId1"/>
    <sheet name="Pivot Free or OSS" sheetId="2" r:id="rId2"/>
    <sheet name="Shopping List Astra 10.02.2026" sheetId="3" r:id="rId3"/>
    <sheet name="License inventory for FOSS" sheetId="4" r:id="rId4"/>
    <sheet name="Tabelle1" sheetId="5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5" l="1"/>
  <c r="H11" i="5"/>
  <c r="B9" i="4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</calcChain>
</file>

<file path=xl/sharedStrings.xml><?xml version="1.0" encoding="utf-8"?>
<sst xmlns="http://schemas.openxmlformats.org/spreadsheetml/2006/main" count="1475" uniqueCount="451">
  <si>
    <t xml:space="preserve">In total 31 Vendors </t>
  </si>
  <si>
    <t>Row Labels</t>
  </si>
  <si>
    <t>Count of Product name</t>
  </si>
  <si>
    <t>MathWorks</t>
  </si>
  <si>
    <t>Microsoft</t>
  </si>
  <si>
    <t>SAP</t>
  </si>
  <si>
    <t>Siemens</t>
  </si>
  <si>
    <t>Oracle (SAP)</t>
  </si>
  <si>
    <t>PTC</t>
  </si>
  <si>
    <t>Vector Informatik</t>
  </si>
  <si>
    <t>Methodpark</t>
  </si>
  <si>
    <t>Dassault Systèmes</t>
  </si>
  <si>
    <t>Adobe</t>
  </si>
  <si>
    <t>Autodesk</t>
  </si>
  <si>
    <t>Altair</t>
  </si>
  <si>
    <t>Open Text</t>
  </si>
  <si>
    <t>Famos</t>
  </si>
  <si>
    <t>Hexagon</t>
  </si>
  <si>
    <t>Anaconda</t>
  </si>
  <si>
    <t>APIS Infromationstechnologie</t>
  </si>
  <si>
    <t xml:space="preserve">Corel/Alludo </t>
  </si>
  <si>
    <t>IBM</t>
  </si>
  <si>
    <t>Irfan Skiljan</t>
  </si>
  <si>
    <t>Learnpulse</t>
  </si>
  <si>
    <t>Minitab</t>
  </si>
  <si>
    <t>Mobatek</t>
  </si>
  <si>
    <t>Octoplant</t>
  </si>
  <si>
    <t>Rocket Software</t>
  </si>
  <si>
    <t>Sparx Systems</t>
  </si>
  <si>
    <t>TTS</t>
  </si>
  <si>
    <t>(blank)</t>
  </si>
  <si>
    <t>Bensberg</t>
  </si>
  <si>
    <t>Caresoft Global</t>
  </si>
  <si>
    <t>Tenfold Securities</t>
  </si>
  <si>
    <t>Digicert</t>
  </si>
  <si>
    <t xml:space="preserve">Microsoft </t>
  </si>
  <si>
    <t>Grand Total</t>
  </si>
  <si>
    <t xml:space="preserve"> Vendors for Free or OSS = 79</t>
  </si>
  <si>
    <t>ALM Toolkit</t>
  </si>
  <si>
    <t>Amazon</t>
  </si>
  <si>
    <t>Andrea Vacondio</t>
  </si>
  <si>
    <t>Ansgar Becker</t>
  </si>
  <si>
    <t>Antoine Potten</t>
  </si>
  <si>
    <t>Apple</t>
  </si>
  <si>
    <t>Arduino DE</t>
  </si>
  <si>
    <t>AT&amp;T</t>
  </si>
  <si>
    <t>Atlassian</t>
  </si>
  <si>
    <t>AutoHotkey Foundation LLC</t>
  </si>
  <si>
    <t>Bambu Lab</t>
  </si>
  <si>
    <t xml:space="preserve">Benito van der Zander </t>
  </si>
  <si>
    <t xml:space="preserve">Broadcom </t>
  </si>
  <si>
    <t>Bryce Harrington</t>
  </si>
  <si>
    <t>Charles Lechasseur</t>
  </si>
  <si>
    <t>Christian Schenk</t>
  </si>
  <si>
    <t>Colin Mackie</t>
  </si>
  <si>
    <t>DAX Studio</t>
  </si>
  <si>
    <t>Dimitry Polivaev</t>
  </si>
  <si>
    <t>Dominik Reichl</t>
  </si>
  <si>
    <t>Don Ho</t>
  </si>
  <si>
    <t>Eclipse Foundation</t>
  </si>
  <si>
    <t>EWSoftware</t>
  </si>
  <si>
    <t>Genotrance-Ganesh Viswanathan</t>
  </si>
  <si>
    <t>Ghostgum Software</t>
  </si>
  <si>
    <t>Git-Team</t>
  </si>
  <si>
    <t>GlavSoft</t>
  </si>
  <si>
    <t>Google</t>
  </si>
  <si>
    <t>Gordon Lyon</t>
  </si>
  <si>
    <t>GoTo</t>
  </si>
  <si>
    <t>hikikomori82</t>
  </si>
  <si>
    <t>Igor Pavlov</t>
  </si>
  <si>
    <t>ImageWriter Developers</t>
  </si>
  <si>
    <t>Inkscape/Bryce Harrington</t>
  </si>
  <si>
    <t>item Industrietechnik</t>
  </si>
  <si>
    <t>Jabra/GN Audio</t>
  </si>
  <si>
    <t>Kaltura</t>
  </si>
  <si>
    <t>Kapacity</t>
  </si>
  <si>
    <t>Krzysztof Kowalczyk</t>
  </si>
  <si>
    <t>Marek Jasinski</t>
  </si>
  <si>
    <t>Martin Prikryl</t>
  </si>
  <si>
    <t>Meltytech</t>
  </si>
  <si>
    <t>Microsoft Sysinternals</t>
  </si>
  <si>
    <t>Midox/Jamie O Connell</t>
  </si>
  <si>
    <t>Mozilla</t>
  </si>
  <si>
    <t>Multimedia</t>
  </si>
  <si>
    <t>Node.js Foundation</t>
  </si>
  <si>
    <t>OBS Studio Contributors</t>
  </si>
  <si>
    <t>OBS Studio Contributors-TriCaster</t>
  </si>
  <si>
    <t>Oracle</t>
  </si>
  <si>
    <t>Pilz</t>
  </si>
  <si>
    <t>Plantronics</t>
  </si>
  <si>
    <t>PostgreSQL Global Development Group</t>
  </si>
  <si>
    <t>PuTTY/Simon Tatham</t>
  </si>
  <si>
    <t>RADACAD</t>
  </si>
  <si>
    <t>Realtek</t>
  </si>
  <si>
    <t>Red Hat</t>
  </si>
  <si>
    <t>Riverbed Technology</t>
  </si>
  <si>
    <t>SourceForge</t>
  </si>
  <si>
    <t>SQLBI</t>
  </si>
  <si>
    <t>Synaptics</t>
  </si>
  <si>
    <t>Tabular Editor</t>
  </si>
  <si>
    <t>Testo</t>
  </si>
  <si>
    <t>The GIMP Team</t>
  </si>
  <si>
    <t>The MathWorks</t>
  </si>
  <si>
    <t>The R Foundation for Statistical Computing</t>
  </si>
  <si>
    <t>UltraVNC</t>
  </si>
  <si>
    <t>VideoLAN</t>
  </si>
  <si>
    <t>VMware</t>
  </si>
  <si>
    <t>Wireshark Development Team</t>
  </si>
  <si>
    <t>Wireshark Foundation</t>
  </si>
  <si>
    <t>Zebra Technologies</t>
  </si>
  <si>
    <t>License shopping list - 18.02.2026</t>
  </si>
  <si>
    <t>Project ASTRA</t>
  </si>
  <si>
    <t>1. TBD – Entries in the "metric" and "type of payment" fields need to be clarified during the procurement process.</t>
  </si>
  <si>
    <t>2. All required license keys must be installed prior to closing.</t>
  </si>
  <si>
    <t>#</t>
  </si>
  <si>
    <t>Vendor</t>
  </si>
  <si>
    <t>Product name</t>
  </si>
  <si>
    <t>Quantity</t>
  </si>
  <si>
    <t xml:space="preserve">Metric </t>
  </si>
  <si>
    <t>Type of Payment*</t>
  </si>
  <si>
    <t>Notes</t>
  </si>
  <si>
    <t>SWS (AI-proposed)</t>
  </si>
  <si>
    <t>Acrobat Standard DC</t>
  </si>
  <si>
    <t>user</t>
  </si>
  <si>
    <t>subscription</t>
  </si>
  <si>
    <t>(AI-proposed) SWS1</t>
  </si>
  <si>
    <t xml:space="preserve">Acrobat Professional DC </t>
  </si>
  <si>
    <t>Illustrator CC</t>
  </si>
  <si>
    <t>Altair Token</t>
  </si>
  <si>
    <t>1 license +30 tokens</t>
  </si>
  <si>
    <t xml:space="preserve"> token floating</t>
  </si>
  <si>
    <t>(AI-proposed) SWS4</t>
  </si>
  <si>
    <t>Hyperworks</t>
  </si>
  <si>
    <t>token floating</t>
  </si>
  <si>
    <t>Python Enterprice</t>
  </si>
  <si>
    <t>tbd</t>
  </si>
  <si>
    <t>IQ-FMEA-L</t>
  </si>
  <si>
    <t xml:space="preserve">floating </t>
  </si>
  <si>
    <t xml:space="preserve">perpetual </t>
  </si>
  <si>
    <t xml:space="preserve">AutoCAD </t>
  </si>
  <si>
    <t xml:space="preserve">Inventor Professional </t>
  </si>
  <si>
    <t xml:space="preserve">Vault Professional </t>
  </si>
  <si>
    <t>MindManager</t>
  </si>
  <si>
    <t xml:space="preserve">CATIA V5 </t>
  </si>
  <si>
    <t>concurrent/floating</t>
  </si>
  <si>
    <t xml:space="preserve">eDrawings Profesional </t>
  </si>
  <si>
    <t>SolidWorks</t>
  </si>
  <si>
    <t xml:space="preserve">Abaqus </t>
  </si>
  <si>
    <t>concurrent</t>
  </si>
  <si>
    <t>Q-DAS 14 Notebook</t>
  </si>
  <si>
    <t>(AI-proposed) SWS3</t>
  </si>
  <si>
    <t>IBM Doors ("IBM Engineering Requirements Management DOORS family Authorized User License + SW Subscription &amp; Support 12 Months")</t>
  </si>
  <si>
    <t>IrfanView 4.x 64bit</t>
  </si>
  <si>
    <t>enterprise/corporate</t>
  </si>
  <si>
    <t xml:space="preserve">ScreenPresso Pro </t>
  </si>
  <si>
    <t>MATLAB</t>
  </si>
  <si>
    <t>named/specific user</t>
  </si>
  <si>
    <t>Signal_Toolbox</t>
  </si>
  <si>
    <t>SIMULINK</t>
  </si>
  <si>
    <t>Simscape</t>
  </si>
  <si>
    <t>Power_System_Blocks</t>
  </si>
  <si>
    <t>Signal_Blocks</t>
  </si>
  <si>
    <t>Stateflow</t>
  </si>
  <si>
    <t>Control_Toolbox</t>
  </si>
  <si>
    <t>Fixed_Point_Toolbox</t>
  </si>
  <si>
    <t>RF_Blockset</t>
  </si>
  <si>
    <t>RF_Toolbox</t>
  </si>
  <si>
    <t>SimDriveline</t>
  </si>
  <si>
    <t>System_Composer</t>
  </si>
  <si>
    <t>AUTOSAR_Blockset</t>
  </si>
  <si>
    <t>Cert_Kit_IEC</t>
  </si>
  <si>
    <t>Identification_Toolbox</t>
  </si>
  <si>
    <t>MATLAB_Coder</t>
  </si>
  <si>
    <t>MATLAB_Report_Gen</t>
  </si>
  <si>
    <t>Motor_Control_Blockset</t>
  </si>
  <si>
    <t>Qual_Kit_DO</t>
  </si>
  <si>
    <t>Real-Time_Workshop</t>
  </si>
  <si>
    <t>RTW_Embedded_Coder</t>
  </si>
  <si>
    <t>SimMechanics</t>
  </si>
  <si>
    <t>Simscape_Battery</t>
  </si>
  <si>
    <t>Simulink_Control_Design</t>
  </si>
  <si>
    <t>Simulink_Coverage</t>
  </si>
  <si>
    <t>Simulink_Design_Verifier</t>
  </si>
  <si>
    <t>Simulink_HDL_Coder</t>
  </si>
  <si>
    <t>Simulink_PLC_Coder</t>
  </si>
  <si>
    <t>Simulink_Requirements</t>
  </si>
  <si>
    <t>Simulink_Test</t>
  </si>
  <si>
    <t>SL_Verification_Validation</t>
  </si>
  <si>
    <t>Statistics_Toolbox</t>
  </si>
  <si>
    <t>Vehicle_Network_Toolbox</t>
  </si>
  <si>
    <t>XPC_Target</t>
  </si>
  <si>
    <t>Stages Server License</t>
  </si>
  <si>
    <t>server</t>
  </si>
  <si>
    <t>Stages active users</t>
  </si>
  <si>
    <t xml:space="preserve">Process Modeler (MODEL): </t>
  </si>
  <si>
    <t xml:space="preserve">Process Contributor </t>
  </si>
  <si>
    <t>SQL Server Standard</t>
  </si>
  <si>
    <t>5 servers x 4 cores</t>
  </si>
  <si>
    <t>core</t>
  </si>
  <si>
    <t>in clarification, final quantity</t>
  </si>
  <si>
    <t>Microsoft Defender Suite (Defender Suite Sub Per User)</t>
  </si>
  <si>
    <t>required for M365 migration  - 1 month before network cut</t>
  </si>
  <si>
    <t>Standard IT-User, M365 E3</t>
  </si>
  <si>
    <t>required for M365 migration - 1 month before network cut</t>
  </si>
  <si>
    <t>Microsoft VisioPro 64-Bit Edition for Office 365 (Visio Professional ALng  with SA)</t>
  </si>
  <si>
    <t>Visual Studio Professional w. GitHub Enterprise (Visual Studio Pro with GitHub ALng ; only available in EA/EAS 
alternatively Visual Studio Pro and GitHub Enterprise as stand-alone license)</t>
  </si>
  <si>
    <t>Microsoft SQL Server 2022 Express</t>
  </si>
  <si>
    <t>Windows Server 2025 Standard (Win Server Standard Core ALng 2CoreLic) =&gt; 28 Packs</t>
  </si>
  <si>
    <t>Exchange Server on Premise (Enterprise) Exchange Server Enterprise ALng LSA</t>
  </si>
  <si>
    <t>Microsoft Copilot Studio User License</t>
  </si>
  <si>
    <t>Microsoft 365 Audio Conferencing Pay-Per-Minute (Audio Conferencing Pay Per Min Sub Per User)</t>
  </si>
  <si>
    <t>Microsoft System Center Configuration Manager 2022 Client Management License OSE (unknown language) (Microsoft Endpoint Configuration Manager Client Management License per OSE)</t>
  </si>
  <si>
    <t>Microsoft Teams Phone Standard User (Teams Phone Standard Sub Per User)</t>
  </si>
  <si>
    <t>Microsoft Windows Professional</t>
  </si>
  <si>
    <t>device</t>
  </si>
  <si>
    <t>Microsoft Exchange Online Plan 2 User (Exchange Online P2 Sub Per User)</t>
  </si>
  <si>
    <t>Microsoft Visio Plan 2 (Visio P2 Sub Per User)</t>
  </si>
  <si>
    <t>Microsoft Windows 11 Professional (unknown language) (Windows 11 Pro (Per Device))</t>
  </si>
  <si>
    <t>Microsoft Project Plan 3 User (Planner &amp; Project P3 Sub Per User)</t>
  </si>
  <si>
    <t>Microsoft Project Professional for Office 365 Client User Application (Project Professional Alng with SA)</t>
  </si>
  <si>
    <t>Microsoft Visual Studio Professional (Visual Studio Professional Subscription)</t>
  </si>
  <si>
    <t>Windows Server 2025 Data Center Edition (Win Server Datacenter Core ALng 2CoreLic) =&gt; 192 packs</t>
  </si>
  <si>
    <t>Microsoft Power BI Professional User (Power BI Pro Sub Per User)</t>
  </si>
  <si>
    <t xml:space="preserve"> Planner Plan 1 (Web-Version) oder Planner &amp; Project P3</t>
  </si>
  <si>
    <t xml:space="preserve"> buyer can decide on the option </t>
  </si>
  <si>
    <t>Microsoft Visual Studio 2022 Enterprise (Visual Studio Ent MSDN 2026 Alng)</t>
  </si>
  <si>
    <t>RDS CALs with Software Assurance</t>
  </si>
  <si>
    <t xml:space="preserve">Minitab Statistical 22 </t>
  </si>
  <si>
    <t xml:space="preserve">MobaXterm Professional </t>
  </si>
  <si>
    <t>Opentext Imaging Windows Viewer</t>
  </si>
  <si>
    <t>OpenText Enterprise Scan 22</t>
  </si>
  <si>
    <t>Database Enterprise Edition</t>
  </si>
  <si>
    <t>named user</t>
  </si>
  <si>
    <t>perpetual</t>
  </si>
  <si>
    <t>12 months TSA option</t>
  </si>
  <si>
    <t>(AI-proposed) SWS2</t>
  </si>
  <si>
    <t>Tuning Pack</t>
  </si>
  <si>
    <t>Partinioning</t>
  </si>
  <si>
    <t>Advanced Compression</t>
  </si>
  <si>
    <t>Diagnostics Pack</t>
  </si>
  <si>
    <t>Database-In-Memory (auf PFK und PF5)</t>
  </si>
  <si>
    <t>Oracle Database Server</t>
  </si>
  <si>
    <t>Creo (Advanced T2)</t>
  </si>
  <si>
    <t>floating</t>
  </si>
  <si>
    <t>PTC-WindchillPDMLink-Creo (•	Windchill Base
•	Windchill Creo Data Management &amp; Visualization
)</t>
  </si>
  <si>
    <t>User</t>
  </si>
  <si>
    <t>PTC Creo Standalone (•	Creo Advanced Assembly Extension - Global License
•	Creo Design Essentials Global (no PLM included)
)</t>
  </si>
  <si>
    <t>PTC-WindchillPDMLink-eBOM-Creo</t>
  </si>
  <si>
    <t>PTC-WindchillPDMLink-Contributor (Contributor License)</t>
  </si>
  <si>
    <t>MathCAD Prime</t>
  </si>
  <si>
    <t xml:space="preserve">Remote Desktop 2024 </t>
  </si>
  <si>
    <t>Professional User</t>
  </si>
  <si>
    <t>waiting for final offer from SAP, based on Bosch conditions</t>
  </si>
  <si>
    <t>7017272 SAP S/4HANA Cloud Private Edition, product lifecycle management</t>
  </si>
  <si>
    <t>Logistic User</t>
  </si>
  <si>
    <t>Worker User</t>
  </si>
  <si>
    <t>7018211 SAP Enterprise Product Engineering</t>
  </si>
  <si>
    <t>Development User</t>
  </si>
  <si>
    <t>7017375 SAP Shared Service Framework, Human Resources</t>
  </si>
  <si>
    <t>7017523 SAP Just-in-time Inbound Process for Auto</t>
  </si>
  <si>
    <t>calls</t>
  </si>
  <si>
    <t>TC Visualization Pro Plus</t>
  </si>
  <si>
    <t>JT Bi-Directional Translator for STEP</t>
  </si>
  <si>
    <t>DXF File Open for TC Vis</t>
  </si>
  <si>
    <t xml:space="preserve">	IGES File Open for TC Vis</t>
  </si>
  <si>
    <t>Teamcenter Author</t>
  </si>
  <si>
    <t>NX Gateway</t>
  </si>
  <si>
    <t>NX Assembly</t>
  </si>
  <si>
    <t>NX Drafting</t>
  </si>
  <si>
    <t>NX Solid Modeling</t>
  </si>
  <si>
    <t>NX Features Modeling</t>
  </si>
  <si>
    <t>NX DXFDWG Translator</t>
  </si>
  <si>
    <t>NX STEP AP214 Translator</t>
  </si>
  <si>
    <t>NX Render</t>
  </si>
  <si>
    <t>NX Visualize Shape</t>
  </si>
  <si>
    <t>JT Bi-Directional Translator for CATIA V</t>
  </si>
  <si>
    <t>Enterprise Architect Corporate</t>
  </si>
  <si>
    <t xml:space="preserve">Floating </t>
  </si>
  <si>
    <t>maintanance can be added</t>
  </si>
  <si>
    <t>Quick Access Enhanced with Recording (TTSPS)</t>
  </si>
  <si>
    <t>CANape</t>
  </si>
  <si>
    <t xml:space="preserve">named user, named user devise </t>
  </si>
  <si>
    <t xml:space="preserve">CANdb++ </t>
  </si>
  <si>
    <t xml:space="preserve">vTESTstudio </t>
  </si>
  <si>
    <t>vFlash 7 Standard Win</t>
  </si>
  <si>
    <t>CANoe PRO</t>
  </si>
  <si>
    <t>IMC Famos Professional</t>
  </si>
  <si>
    <t>IMC Studio Professional</t>
  </si>
  <si>
    <t>Insider Risk Management</t>
  </si>
  <si>
    <t>VersionDog</t>
  </si>
  <si>
    <t>6 computers, 1500 components</t>
  </si>
  <si>
    <t>ACS 109 - Streckenabwicklung SD</t>
  </si>
  <si>
    <t>corporate license</t>
  </si>
  <si>
    <t>puchase complete</t>
  </si>
  <si>
    <t>ACS 109_3  -  Streckenabwicklung JIT</t>
  </si>
  <si>
    <t>ACS 39 - EDI Monitor Lieferavise</t>
  </si>
  <si>
    <t>ACS 216 - VDA Formular 4939</t>
  </si>
  <si>
    <t>ACS 132  - QM Cockpit</t>
  </si>
  <si>
    <t>ACS 133 - QM Customer 8D</t>
  </si>
  <si>
    <t>ACS 134  - QM Supplier 8D</t>
  </si>
  <si>
    <t>ACS 138  - QM DMS</t>
  </si>
  <si>
    <t>Microsoft SQL Server 2019 Express</t>
  </si>
  <si>
    <t xml:space="preserve">License for Mandant  SAP system  </t>
  </si>
  <si>
    <t>system</t>
  </si>
  <si>
    <t>quote available</t>
  </si>
  <si>
    <t xml:space="preserve">Iceberg benchmark portal </t>
  </si>
  <si>
    <t>IAM tool</t>
  </si>
  <si>
    <t>purchase complete</t>
  </si>
  <si>
    <t>(AI-proposed) SWS8</t>
  </si>
  <si>
    <t>Encryption Software</t>
  </si>
  <si>
    <t xml:space="preserve">Microsoft Office 2016 Professional Plus </t>
  </si>
  <si>
    <t>License inventory for freeware and open source</t>
  </si>
  <si>
    <t>Proprietary software must be verified with the vendor prior to final installation.</t>
  </si>
  <si>
    <t>Free or OSS</t>
  </si>
  <si>
    <t>Acrobat Reader DC</t>
  </si>
  <si>
    <t>freeware</t>
  </si>
  <si>
    <t>proprietory SW - needs to checked with vendor before final installation</t>
  </si>
  <si>
    <t>Hotfix Installation Package for Adobe Reader DC and Acrobat</t>
  </si>
  <si>
    <t>ALM Toolkit for Power BI</t>
  </si>
  <si>
    <t>Open Source Software (OSS)</t>
  </si>
  <si>
    <t>OpenJDK 8 - Corretto for Creo</t>
  </si>
  <si>
    <t>Anaconda Python 2020.07</t>
  </si>
  <si>
    <t>PDF Split and Merge</t>
  </si>
  <si>
    <t>HeidiSQL 11.x</t>
  </si>
  <si>
    <t>Antoine Potten Ant Renamer 2.x</t>
  </si>
  <si>
    <t>Apple iTunes</t>
  </si>
  <si>
    <t>(AI-proposed) SWS1/3</t>
  </si>
  <si>
    <t>Arduino Labs</t>
  </si>
  <si>
    <t>Graphviz 12.x</t>
  </si>
  <si>
    <t>SourceTree</t>
  </si>
  <si>
    <t>Autodesk Licensing Service 2020</t>
  </si>
  <si>
    <t>DWG TrueView 2023</t>
  </si>
  <si>
    <t xml:space="preserve">Design Review </t>
  </si>
  <si>
    <t>AutoHotkey Foundation AutoHotkey 2.x</t>
  </si>
  <si>
    <t>Bambu Studio</t>
  </si>
  <si>
    <t>Benito van der Zander TeXstudio 2.x</t>
  </si>
  <si>
    <t>USB Docker</t>
  </si>
  <si>
    <t>VMware Workstation 16</t>
  </si>
  <si>
    <t>VMware Workstation Player 17</t>
  </si>
  <si>
    <t>InkScape</t>
  </si>
  <si>
    <t>Path Copy Copy</t>
  </si>
  <si>
    <t>MiKTeX 2.x</t>
  </si>
  <si>
    <t>WinAuth</t>
  </si>
  <si>
    <t>Freeplane 1.x</t>
  </si>
  <si>
    <t xml:space="preserve">KeePass </t>
  </si>
  <si>
    <t>Notepad++ 64-bit</t>
  </si>
  <si>
    <t>Eclipse Foundation Temurin 8.x</t>
  </si>
  <si>
    <t>EWSoftware Sandcastle 24.x</t>
  </si>
  <si>
    <t>Px for Windows</t>
  </si>
  <si>
    <t>Ghostgum Software RedMon 1.x</t>
  </si>
  <si>
    <t>Git for Windows</t>
  </si>
  <si>
    <t>TightVNC 2.x</t>
  </si>
  <si>
    <t>Google Chrome</t>
  </si>
  <si>
    <t xml:space="preserve"> Npcap </t>
  </si>
  <si>
    <t>GoTo Opener 1.x</t>
  </si>
  <si>
    <t>OSI Font</t>
  </si>
  <si>
    <t>7-Zip</t>
  </si>
  <si>
    <t>ImageWriter Developers Win32 Disk Imager 1.x</t>
  </si>
  <si>
    <t>Inkscape</t>
  </si>
  <si>
    <t>item Industrietechnik item MotionSoft 2 Win</t>
  </si>
  <si>
    <t>Jabra Xpress 6.x</t>
  </si>
  <si>
    <t>Jabra Direct X20</t>
  </si>
  <si>
    <t>Kaltura Webcast Studio 4.x</t>
  </si>
  <si>
    <t>Kapacity Tabular Editor 2.x</t>
  </si>
  <si>
    <t>SumatraPDF 3.x</t>
  </si>
  <si>
    <t>FreeCommander XE</t>
  </si>
  <si>
    <t>WinSCP FTP Client</t>
  </si>
  <si>
    <t>The MathWorks MATLAB R2023b</t>
  </si>
  <si>
    <t>MATLAB Runtime R2023b</t>
  </si>
  <si>
    <t>Meltytech Shotcut 23.x</t>
  </si>
  <si>
    <t>Visio Studio Code</t>
  </si>
  <si>
    <t>Microsoft Visual C++ Runtime Redistributables</t>
  </si>
  <si>
    <t>.NET Core Desktop Runtime 8.0</t>
  </si>
  <si>
    <t>Microsoft Edge WebView2</t>
  </si>
  <si>
    <t>Microsoft Edge - Chromium</t>
  </si>
  <si>
    <t>.NET Framework 4.8 KB5023322</t>
  </si>
  <si>
    <t>Microsoft Power BI Desktop - Cloud</t>
  </si>
  <si>
    <t>.NET Core Desktop Runtime 6.0</t>
  </si>
  <si>
    <t>NET Core SDK 8.0</t>
  </si>
  <si>
    <t>Microsoft Power BI - SAP BW drivers</t>
  </si>
  <si>
    <t>Microsoft Fabric (Free)</t>
  </si>
  <si>
    <t>Microsoft Internet Explorer 11</t>
  </si>
  <si>
    <t>Microsoft SQL Server Management Studio (SSMS) V.19.x</t>
  </si>
  <si>
    <t>Remote Server Administration Tools</t>
  </si>
  <si>
    <t>Reportviewer 2012</t>
  </si>
  <si>
    <t>Wireless Display Adapter</t>
  </si>
  <si>
    <t>Microsoft Power BI Desktop</t>
  </si>
  <si>
    <t>Microsoft Power BI Report Builder</t>
  </si>
  <si>
    <t>Microsoft SOAP Toolkit 3.x</t>
  </si>
  <si>
    <t>Microsoft OpenJDK 11.x (NLRQ)</t>
  </si>
  <si>
    <t>Microsoft Azure Data Factory 2015 Tools for Visual Studio</t>
  </si>
  <si>
    <t>Microsoft Sysinternals Suite</t>
  </si>
  <si>
    <t>Desktop Save &amp; Restore</t>
  </si>
  <si>
    <t>Firefox 128 ESR</t>
  </si>
  <si>
    <t>Multimedia Package NextGen</t>
  </si>
  <si>
    <t>Node.js Foundation Node.js 20.x</t>
  </si>
  <si>
    <t>Obs Studio 29.x</t>
  </si>
  <si>
    <t>NDI-Streaming-Tools</t>
  </si>
  <si>
    <t>Client 19c 32Bits</t>
  </si>
  <si>
    <t>Hotfix Package for Oracle Client 19c 32Bits</t>
  </si>
  <si>
    <t>Client 19c 64Bits</t>
  </si>
  <si>
    <t>Oracle MySQL 8.x Router</t>
  </si>
  <si>
    <t>Oracle MySQL 8.x Workbench CE</t>
  </si>
  <si>
    <t>Hotfix Package for Oracle Client 19c 64Bits</t>
  </si>
  <si>
    <t>Pilz PNOZmulti Configurator 10</t>
  </si>
  <si>
    <t>Plantronics HUB</t>
  </si>
  <si>
    <t>PostgreSQL Global Development Group PostgreSQL 9.x</t>
  </si>
  <si>
    <t>PostgreSQL 9.4</t>
  </si>
  <si>
    <t>PuTTY</t>
  </si>
  <si>
    <t>Power BI Helper</t>
  </si>
  <si>
    <t>Realtek USB FE Family Controller</t>
  </si>
  <si>
    <t>OpenJDK 8 Redhat</t>
  </si>
  <si>
    <t>OpenJDK JRE 11.0.9-3-redhat</t>
  </si>
  <si>
    <t>OpenJDK 11 Red Hat</t>
  </si>
  <si>
    <t>OpenJDK 17 RedHat</t>
  </si>
  <si>
    <t>Riverbed Technology WinPcap 4.x</t>
  </si>
  <si>
    <t>SAP GUI 8.00 (32-bit)</t>
  </si>
  <si>
    <t>Engineering Client Viewer 10 for SAP GUI</t>
  </si>
  <si>
    <t>SAP GUI 8.00 (64-bit)</t>
  </si>
  <si>
    <t>Business Explorer BW - for SAP GUI 8.00</t>
  </si>
  <si>
    <t>Freemind 1.0.1</t>
  </si>
  <si>
    <t>SQLBI Bravo for Power BI</t>
  </si>
  <si>
    <t>Testo ComSoft Basic 5.x</t>
  </si>
  <si>
    <t xml:space="preserve">GIMP </t>
  </si>
  <si>
    <t>MATLAB Runtime Compiler R2019b</t>
  </si>
  <si>
    <t>MATLAB Runtime R2020b</t>
  </si>
  <si>
    <t>MATLAB Runtime R2022b</t>
  </si>
  <si>
    <t>The R Foundation for Statistical Computing R (programming language) 3.x</t>
  </si>
  <si>
    <t>UltraVNC 1.x</t>
  </si>
  <si>
    <t>Vector Driver Setup</t>
  </si>
  <si>
    <t>VideoLAN VLC Media Player 3.x</t>
  </si>
  <si>
    <t>VMware Tools</t>
  </si>
  <si>
    <t>Wireshark for SAW</t>
  </si>
  <si>
    <t>Wireshark Analyzer Tool</t>
  </si>
  <si>
    <t>Setup Utilities 1.x</t>
  </si>
  <si>
    <t>ZebraDesigner Essensials</t>
  </si>
  <si>
    <t>Communication Credits</t>
  </si>
  <si>
    <t>Product</t>
  </si>
  <si>
    <t>Number ofs Users</t>
  </si>
  <si>
    <t>License model</t>
  </si>
  <si>
    <t>OTC Perpetual License</t>
  </si>
  <si>
    <t>Annual Maintenance</t>
  </si>
  <si>
    <t>Total OTC</t>
  </si>
  <si>
    <t>Total Annual Maintenance</t>
  </si>
  <si>
    <t>1.</t>
  </si>
  <si>
    <t>2.</t>
  </si>
  <si>
    <t>3.</t>
  </si>
  <si>
    <t>4.</t>
  </si>
  <si>
    <t>5.</t>
  </si>
  <si>
    <t>6.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</si>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</sst>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ptos Narrow"/>
      <family val="2"/>
      <scheme val="minor"/>
    </font>
    <font>
      <sz val="14"/>
      <color rgb="FF000000"/>
      <name val="Bosch Sans"/>
      <family val="2"/>
    </font>
    <font>
      <sz val="1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0"/>
      <color rgb="FF000000"/>
      <name val="Arial"/>
      <family val="2"/>
      <charset val="1"/>
    </font>
    <font>
      <b/>
      <sz val="16"/>
      <color theme="1"/>
      <name val="Arial"/>
      <family val="2"/>
    </font>
    <font>
      <b/>
      <sz val="9"/>
      <color rgb="FFFFFFFF"/>
      <name val="Arial"/>
    </font>
    <font>
      <b/>
      <i/>
      <sz val="9"/>
      <color rgb="FF003C64"/>
      <name val="Arial"/>
    </font>
    <font>
      <b/>
      <i/>
      <sz val="9"/>
      <color rgb="FFE65100"/>
      <name val="Arial"/>
    </font>
    <font>
      <b/>
      <i/>
      <sz val="9"/>
      <color rgb="FF00783C"/>
      <name val="Arial"/>
    </font>
    <font>
      <b/>
      <i/>
      <sz val="9"/>
      <color rgb="FFDC0000"/>
      <name val="Arial"/>
    </font>
    <font>
      <b/>
      <i/>
      <sz val="9"/>
      <color rgb="FF795548"/>
      <name val="Arial"/>
    </font>
    <font>
      <b/>
      <i/>
      <sz val="9"/>
      <color rgb="FF6C757D"/>
      <name val="Arial"/>
    </font>
  </fonts>
  <fills count="6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A1A1A"/>
      </patternFill>
    </fill>
    <fill>
      <patternFill patternType="solid">
        <fgColor rgb="FFFFF9E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theme="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71">
    <xf numFmtId="0" fontId="0" fillId="0" borderId="0" xfId="0"/>
    <xf numFmtId="0" fontId="2" fillId="0" borderId="0" xfId="0" applyFont="1"/>
    <xf numFmtId="0" fontId="2" fillId="0" borderId="0" xfId="1" applyAlignment="1" applyProtection="1">
      <alignment horizontal="left" wrapText="1"/>
      <protection locked="0"/>
    </xf>
    <xf numFmtId="0" fontId="3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0" fillId="0" borderId="0" xfId="0" pivotButton="1"/>
    <xf numFmtId="0" fontId="8" fillId="0" borderId="0" xfId="0" applyFont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3" fontId="10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3" fontId="11" fillId="0" borderId="1" xfId="0" applyNumberFormat="1" applyFont="1" applyBorder="1" applyAlignment="1">
      <alignment horizontal="right" vertical="center"/>
    </xf>
    <xf numFmtId="3" fontId="4" fillId="2" borderId="1" xfId="0" applyNumberFormat="1" applyFont="1" applyFill="1" applyBorder="1" applyAlignment="1">
      <alignment vertical="center"/>
    </xf>
    <xf numFmtId="0" fontId="0" fillId="3" borderId="1" xfId="0" applyFill="1" applyBorder="1"/>
    <xf numFmtId="0" fontId="11" fillId="3" borderId="1" xfId="0" applyFont="1" applyFill="1" applyBorder="1" applyAlignment="1">
      <alignment vertical="center"/>
    </xf>
    <xf numFmtId="3" fontId="0" fillId="0" borderId="0" xfId="0" applyNumberFormat="1"/>
    <xf numFmtId="3" fontId="8" fillId="0" borderId="0" xfId="0" applyNumberFormat="1" applyFont="1"/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/>
    </xf>
    <xf numFmtId="0" fontId="8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horizontal="left"/>
    </xf>
    <xf numFmtId="0" fontId="8" fillId="0" borderId="0" xfId="0" applyFon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2" fillId="0" borderId="0" xfId="1" applyNumberFormat="1" applyAlignment="1" applyProtection="1">
      <alignment horizontal="left" wrapText="1"/>
      <protection locked="0"/>
    </xf>
    <xf numFmtId="0" fontId="0" fillId="0" borderId="0" xfId="1" applyFont="1" applyAlignment="1" applyProtection="1">
      <alignment horizontal="left" wrapText="1"/>
      <protection locked="0"/>
    </xf>
    <xf numFmtId="0" fontId="7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16" fontId="2" fillId="0" borderId="0" xfId="1" applyNumberFormat="1" applyAlignment="1" applyProtection="1">
      <alignment horizontal="left" wrapText="1"/>
      <protection locked="0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2" fillId="0" borderId="0" xfId="1" applyAlignment="1" applyProtection="1">
      <alignment horizontal="left" vertical="center" wrapText="1"/>
      <protection locked="0"/>
    </xf>
    <xf numFmtId="0" fontId="2" fillId="0" borderId="0" xfId="1" applyAlignment="1" applyProtection="1">
      <alignment horizontal="left" vertical="center"/>
      <protection locked="0"/>
    </xf>
    <xf numFmtId="0" fontId="5" fillId="0" borderId="0" xfId="2" applyAlignment="1">
      <alignment horizontal="left" vertical="center"/>
    </xf>
    <xf numFmtId="0" fontId="1" fillId="0" borderId="0" xfId="1" applyFont="1" applyAlignment="1" applyProtection="1">
      <alignment horizontal="left" vertical="center"/>
      <protection locked="0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4" fillId="4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3">
    <cellStyle name="Normal" xfId="0" builtinId="0"/>
    <cellStyle name="Normal 2" xfId="2" xr:uid="{00000000-0005-0000-0000-000002000000}"/>
    <cellStyle name="Standard 2" xfId="1" xr:uid="{00000000-0005-0000-0000-000001000000}"/>
  </cellStyles>
  <dxfs count="17">
    <dxf>
      <alignment horizontal="left" vertical="bottom" wrapText="1"/>
    </dxf>
    <dxf>
      <alignment horizontal="left" vertical="bottom" wrapText="1"/>
    </dxf>
    <dxf>
      <alignment horizontal="left" vertical="bottom" wrapText="1"/>
      <protection locked="0" hidden="0"/>
    </dxf>
    <dxf>
      <alignment horizontal="left" vertical="bottom" wrapText="1"/>
      <protection locked="0" hidden="0"/>
    </dxf>
    <dxf>
      <alignment vertical="bottom" wrapText="1"/>
    </dxf>
    <dxf>
      <font>
        <b/>
      </font>
      <alignment horizontal="left" vertical="bottom" wrapText="1"/>
    </dxf>
    <dxf>
      <alignment vertical="bottom" wrapText="1"/>
    </dxf>
    <dxf>
      <alignment vertical="bottom" wrapText="1"/>
    </dxf>
    <dxf>
      <alignment horizontal="left" vertical="center"/>
    </dxf>
    <dxf>
      <fill>
        <patternFill>
          <fgColor indexed="64"/>
          <bgColor indexed="65"/>
        </patternFill>
      </fill>
      <alignment horizontal="left" vertical="center"/>
      <protection locked="0" hidden="0"/>
    </dxf>
    <dxf>
      <alignment horizontal="left" vertical="center"/>
      <protection locked="0" hidden="0"/>
    </dxf>
    <dxf>
      <alignment horizontal="left" vertical="center"/>
      <protection locked="0" hidden="0"/>
    </dxf>
    <dxf>
      <alignment horizontal="left" vertical="center" wrapText="1"/>
      <protection locked="0" hidden="0"/>
    </dxf>
    <dxf>
      <alignment horizontal="left" vertical="center"/>
    </dxf>
    <dxf>
      <font>
        <b/>
      </font>
      <alignment horizontal="left" vertical="center"/>
    </dxf>
    <dxf>
      <alignment horizontal="left" vertical="center"/>
    </dxf>
    <dxf>
      <alignment horizontal="left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sova Anastasiya (IOB/CSM3)" refreshedDate="46071.445296527767" createdVersion="8" refreshedVersion="8" minRefreshableVersion="3" recordCount="151" xr:uid="{00000000-000A-0000-FFFF-FFFF01000000}">
  <cacheSource type="worksheet">
    <worksheetSource ref="A1:G1048576" sheet="Shopping List Astra 10.02.2026"/>
  </cacheSource>
  <cacheFields count="7">
    <cacheField name="Count" numFmtId="0">
      <sharedItems containsString="0" containsBlank="1" containsNumber="1" containsInteger="1" minValue="1" maxValue="150"/>
    </cacheField>
    <cacheField name="Vendor" numFmtId="0">
      <sharedItems containsBlank="1" count="33">
        <s v="Adobe"/>
        <s v="Altair"/>
        <s v="Anaconda"/>
        <s v="APIS Infromationstechnologie"/>
        <s v="Autodesk"/>
        <s v="Corel/Alludo "/>
        <s v="Dassault Systèmes"/>
        <s v="Hexagon"/>
        <s v="IBM"/>
        <s v="Irfan Skiljan"/>
        <s v="Learnpulse"/>
        <s v="MathWorks"/>
        <s v="Methodpark"/>
        <s v="Microsoft"/>
        <s v="Minitab"/>
        <s v="Mobatek"/>
        <s v="Open Text"/>
        <s v="Oracle (SAP)"/>
        <s v="PTC"/>
        <s v="Rocket Software"/>
        <s v="SAP"/>
        <s v="Siemens"/>
        <s v="Sparx Systems"/>
        <s v="TTS"/>
        <s v="Vector Informatik"/>
        <s v="Famos"/>
        <s v="Octoplant"/>
        <s v="Bensberg"/>
        <s v="Caresoft Global"/>
        <s v="Tenfold Securities"/>
        <s v="Digicert"/>
        <s v="Microsoft "/>
        <m/>
      </sharedItems>
    </cacheField>
    <cacheField name="Product name" numFmtId="0">
      <sharedItems containsBlank="1"/>
    </cacheField>
    <cacheField name="Quantity" numFmtId="0">
      <sharedItems containsBlank="1" containsMixedTypes="1" containsNumber="1" containsInteger="1" minValue="1" maxValue="600"/>
    </cacheField>
    <cacheField name="Metric " numFmtId="0">
      <sharedItems containsBlank="1"/>
    </cacheField>
    <cacheField name="Type of Payment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sova Anastasiya (IOB/CSM3)" refreshedDate="46063.762541203701" createdVersion="8" refreshedVersion="8" minRefreshableVersion="3" recordCount="567" xr:uid="{00000000-000A-0000-FFFF-FFFF00000000}">
  <cacheSource type="worksheet">
    <worksheetSource ref="B1:G1048576" sheet="License inventory for FOSS"/>
  </cacheSource>
  <cacheFields count="6">
    <cacheField name="Count" numFmtId="0">
      <sharedItems containsString="0" containsBlank="1" containsNumber="1" containsInteger="1" minValue="1" maxValue="122"/>
    </cacheField>
    <cacheField name="Vendor" numFmtId="0">
      <sharedItems containsBlank="1" count="80">
        <s v="Adobe"/>
        <s v="ALM Toolkit"/>
        <s v="Amazon"/>
        <s v="Anaconda"/>
        <s v="Andrea Vacondio"/>
        <s v="Ansgar Becker"/>
        <s v="Antoine Potten"/>
        <s v="Apple"/>
        <s v="Arduino DE"/>
        <s v="AT&amp;T"/>
        <s v="Atlassian"/>
        <s v="Autodesk"/>
        <s v="AutoHotkey Foundation LLC"/>
        <s v="Bambu Lab"/>
        <s v="Benito van der Zander "/>
        <s v="Synaptics"/>
        <s v="Broadcom "/>
        <s v="Bryce Harrington"/>
        <s v="Charles Lechasseur"/>
        <s v="Christian Schenk"/>
        <s v="Colin Mackie"/>
        <s v="DAX Studio"/>
        <s v="Dimitry Polivaev"/>
        <s v="Dominik Reichl"/>
        <s v="Don Ho"/>
        <s v="Eclipse Foundation"/>
        <s v="EWSoftware"/>
        <s v="Genotrance-Ganesh Viswanathan"/>
        <s v="Ghostgum Software"/>
        <s v="Git-Team"/>
        <s v="GlavSoft"/>
        <s v="Google"/>
        <s v="Gordon Lyon"/>
        <s v="GoTo"/>
        <s v="hikikomori82"/>
        <s v="Igor Pavlov"/>
        <s v="ImageWriter Developers"/>
        <s v="Inkscape/Bryce Harrington"/>
        <s v="item Industrietechnik"/>
        <s v="Jabra/GN Audio"/>
        <s v="Kaltura"/>
        <s v="Kapacity"/>
        <s v="Krzysztof Kowalczyk"/>
        <s v="Marek Jasinski"/>
        <s v="Martin Prikryl"/>
        <s v="MathWorks"/>
        <s v="Meltytech"/>
        <s v="Microsoft"/>
        <s v="Microsoft Sysinternals"/>
        <s v="Midox/Jamie O Connell"/>
        <s v="Mozilla"/>
        <s v="Multimedia"/>
        <s v="Node.js Foundation"/>
        <s v="OBS Studio Contributors"/>
        <s v="OBS Studio Contributors-TriCaster"/>
        <s v="Oracle"/>
        <s v="Pilz"/>
        <s v="Plantronics"/>
        <s v="PostgreSQL Global Development Group"/>
        <s v="PuTTY/Simon Tatham"/>
        <s v="RADACAD"/>
        <s v="Realtek"/>
        <s v="Red Hat"/>
        <s v="Riverbed Technology"/>
        <s v="SAP"/>
        <s v="SourceForge"/>
        <s v="SQLBI"/>
        <s v="Tabular Editor"/>
        <s v="Testo"/>
        <s v="The GIMP Team"/>
        <s v="The MathWorks"/>
        <s v="The R Foundation for Statistical Computing"/>
        <s v="UltraVNC"/>
        <s v="Vector Informatik"/>
        <s v="VideoLAN"/>
        <s v="VMware"/>
        <s v="Wireshark Development Team"/>
        <s v="Wireshark Foundation"/>
        <s v="Zebra Technologies"/>
        <m/>
      </sharedItems>
    </cacheField>
    <cacheField name="Product name" numFmtId="0">
      <sharedItems containsBlank="1"/>
    </cacheField>
    <cacheField name="Quantity" numFmtId="0">
      <sharedItems containsString="0" containsBlank="1" containsNumber="1" containsInteger="1" minValue="1" maxValue="448"/>
    </cacheField>
    <cacheField name="Free or OSS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51">
  <r>
    <n v="1"/>
    <x v="0"/>
    <s v="Acrobat Standard DC"/>
    <n v="12"/>
    <s v="User"/>
    <s v="subscription"/>
    <m/>
  </r>
  <r>
    <n v="2"/>
    <x v="0"/>
    <s v="Acrobat Professional DC "/>
    <n v="4"/>
    <s v="User"/>
    <s v="subscription"/>
    <m/>
  </r>
  <r>
    <n v="3"/>
    <x v="0"/>
    <s v="Illustrator CC"/>
    <n v="4"/>
    <s v="User"/>
    <s v="subscription"/>
    <m/>
  </r>
  <r>
    <n v="4"/>
    <x v="1"/>
    <s v="Altair Token"/>
    <s v="1 license +30 tokens"/>
    <s v=" token floating"/>
    <s v="subscription"/>
    <m/>
  </r>
  <r>
    <n v="5"/>
    <x v="1"/>
    <s v="Hyperworks"/>
    <s v="1 license +30 tokens"/>
    <s v="token floating"/>
    <s v="subscription"/>
    <m/>
  </r>
  <r>
    <n v="6"/>
    <x v="2"/>
    <s v="Python Enterprice"/>
    <n v="16"/>
    <s v="User"/>
    <m/>
    <m/>
  </r>
  <r>
    <n v="7"/>
    <x v="3"/>
    <s v="IQ-FMEA-L"/>
    <n v="4"/>
    <s v="floating "/>
    <s v="perpetual "/>
    <m/>
  </r>
  <r>
    <n v="8"/>
    <x v="4"/>
    <s v="AutoCAD "/>
    <n v="8"/>
    <s v="User"/>
    <s v="subscription"/>
    <m/>
  </r>
  <r>
    <n v="9"/>
    <x v="4"/>
    <s v="Inventor Professional "/>
    <n v="10"/>
    <s v="User"/>
    <s v="subscription"/>
    <m/>
  </r>
  <r>
    <n v="10"/>
    <x v="4"/>
    <s v="Vault Professional "/>
    <n v="2"/>
    <s v="User"/>
    <s v="subscription"/>
    <m/>
  </r>
  <r>
    <n v="11"/>
    <x v="5"/>
    <s v="MindManager"/>
    <n v="5"/>
    <s v="User"/>
    <s v="subscription"/>
    <m/>
  </r>
  <r>
    <n v="12"/>
    <x v="6"/>
    <s v="CATIA V5 "/>
    <n v="4"/>
    <s v="concurrent/floating"/>
    <s v="perpetual "/>
    <s v="Modules: MD2 and ST1"/>
  </r>
  <r>
    <n v="13"/>
    <x v="6"/>
    <s v="eDrawings Profesional "/>
    <n v="36"/>
    <s v="User"/>
    <s v="subscription"/>
    <m/>
  </r>
  <r>
    <n v="14"/>
    <x v="6"/>
    <s v="SolidWorks"/>
    <n v="13"/>
    <s v="User"/>
    <s v="subscription"/>
    <m/>
  </r>
  <r>
    <n v="15"/>
    <x v="6"/>
    <s v="Abaqus "/>
    <n v="4"/>
    <s v="concurrent"/>
    <s v="subscription"/>
    <m/>
  </r>
  <r>
    <n v="16"/>
    <x v="7"/>
    <s v="Q-DAS 14 Notebook"/>
    <n v="5"/>
    <m/>
    <m/>
    <m/>
  </r>
  <r>
    <n v="17"/>
    <x v="8"/>
    <s v="IBM Doors (&quot;IBM Engineering Requirements Management DOORS family Authorized User License + SW Subscription &amp; Support 12 Months&quot;)"/>
    <n v="2"/>
    <s v="User"/>
    <m/>
    <m/>
  </r>
  <r>
    <n v="18"/>
    <x v="9"/>
    <s v="IrfanView 4.x 64bit"/>
    <n v="210"/>
    <s v="enterprise/corporate"/>
    <m/>
    <m/>
  </r>
  <r>
    <n v="19"/>
    <x v="10"/>
    <s v="ScreenPresso Pro "/>
    <n v="435"/>
    <s v="enterprise/corporate"/>
    <m/>
    <m/>
  </r>
  <r>
    <n v="20"/>
    <x v="11"/>
    <s v="MATLAB"/>
    <n v="7"/>
    <s v="named/specific user"/>
    <s v="subscription"/>
    <m/>
  </r>
  <r>
    <n v="21"/>
    <x v="11"/>
    <s v="Signal_Toolbox"/>
    <n v="5"/>
    <s v="named/specific user"/>
    <s v="subscription"/>
    <m/>
  </r>
  <r>
    <n v="22"/>
    <x v="11"/>
    <s v="SIMULINK"/>
    <n v="5"/>
    <s v="named/specific user"/>
    <s v="subscription"/>
    <m/>
  </r>
  <r>
    <n v="23"/>
    <x v="11"/>
    <s v="Simscape"/>
    <n v="4"/>
    <s v="named/specific user"/>
    <s v="subscription"/>
    <m/>
  </r>
  <r>
    <n v="24"/>
    <x v="11"/>
    <s v="Power_System_Blocks"/>
    <n v="3"/>
    <s v="named/specific user"/>
    <s v="subscription"/>
    <m/>
  </r>
  <r>
    <n v="25"/>
    <x v="11"/>
    <s v="Signal_Blocks"/>
    <n v="3"/>
    <s v="named/specific user"/>
    <s v="subscription"/>
    <m/>
  </r>
  <r>
    <n v="26"/>
    <x v="11"/>
    <s v="Stateflow"/>
    <n v="3"/>
    <s v="named/specific user"/>
    <s v="subscription"/>
    <m/>
  </r>
  <r>
    <n v="27"/>
    <x v="11"/>
    <s v="Control_Toolbox"/>
    <n v="2"/>
    <s v="named/specific user"/>
    <s v="subscription"/>
    <m/>
  </r>
  <r>
    <n v="28"/>
    <x v="11"/>
    <s v="Fixed_Point_Toolbox"/>
    <n v="2"/>
    <s v="named/specific user"/>
    <s v="subscription"/>
    <m/>
  </r>
  <r>
    <n v="29"/>
    <x v="11"/>
    <s v="RF_Blockset"/>
    <n v="2"/>
    <s v="named/specific user"/>
    <s v="subscription"/>
    <m/>
  </r>
  <r>
    <n v="30"/>
    <x v="11"/>
    <s v="RF_Toolbox"/>
    <n v="2"/>
    <s v="named/specific user"/>
    <s v="subscription"/>
    <m/>
  </r>
  <r>
    <n v="31"/>
    <x v="11"/>
    <s v="SimDriveline"/>
    <n v="2"/>
    <s v="named/specific user"/>
    <s v="subscription"/>
    <m/>
  </r>
  <r>
    <n v="32"/>
    <x v="11"/>
    <s v="System_Composer"/>
    <n v="2"/>
    <s v="named/specific user"/>
    <s v="subscription"/>
    <m/>
  </r>
  <r>
    <n v="33"/>
    <x v="11"/>
    <s v="AUTOSAR_Blockset"/>
    <n v="1"/>
    <s v="named/specific user"/>
    <s v="subscription"/>
    <m/>
  </r>
  <r>
    <n v="34"/>
    <x v="11"/>
    <s v="Cert_Kit_IEC"/>
    <n v="1"/>
    <s v="named/specific user"/>
    <s v="subscription"/>
    <m/>
  </r>
  <r>
    <n v="35"/>
    <x v="11"/>
    <s v="Identification_Toolbox"/>
    <n v="1"/>
    <s v="named/specific user"/>
    <s v="subscription"/>
    <m/>
  </r>
  <r>
    <n v="36"/>
    <x v="11"/>
    <s v="MATLAB_Coder"/>
    <n v="1"/>
    <s v="named/specific user"/>
    <s v="subscription"/>
    <m/>
  </r>
  <r>
    <n v="37"/>
    <x v="11"/>
    <s v="MATLAB_Report_Gen"/>
    <n v="1"/>
    <s v="named/specific user"/>
    <s v="subscription"/>
    <m/>
  </r>
  <r>
    <n v="38"/>
    <x v="11"/>
    <s v="Motor_Control_Blockset"/>
    <n v="1"/>
    <s v="named/specific user"/>
    <s v="subscription"/>
    <m/>
  </r>
  <r>
    <n v="39"/>
    <x v="11"/>
    <s v="Qual_Kit_DO"/>
    <n v="1"/>
    <s v="named/specific user"/>
    <s v="subscription"/>
    <m/>
  </r>
  <r>
    <n v="40"/>
    <x v="11"/>
    <s v="Real-Time_Workshop"/>
    <n v="1"/>
    <s v="named/specific user"/>
    <s v="subscription"/>
    <m/>
  </r>
  <r>
    <n v="41"/>
    <x v="11"/>
    <s v="RTW_Embedded_Coder"/>
    <n v="1"/>
    <s v="named/specific user"/>
    <s v="subscription"/>
    <m/>
  </r>
  <r>
    <n v="42"/>
    <x v="11"/>
    <s v="SimMechanics"/>
    <n v="1"/>
    <s v="named/specific user"/>
    <s v="subscription"/>
    <m/>
  </r>
  <r>
    <n v="43"/>
    <x v="11"/>
    <s v="Simscape_Battery"/>
    <n v="1"/>
    <s v="named/specific user"/>
    <s v="subscription"/>
    <m/>
  </r>
  <r>
    <n v="44"/>
    <x v="11"/>
    <s v="Simulink_Control_Design"/>
    <n v="1"/>
    <s v="named/specific user"/>
    <s v="subscription"/>
    <m/>
  </r>
  <r>
    <n v="45"/>
    <x v="11"/>
    <s v="Simulink_Coverage"/>
    <n v="1"/>
    <s v="named/specific user"/>
    <s v="subscription"/>
    <m/>
  </r>
  <r>
    <n v="46"/>
    <x v="11"/>
    <s v="Simulink_Design_Verifier"/>
    <n v="1"/>
    <s v="named/specific user"/>
    <s v="subscription"/>
    <m/>
  </r>
  <r>
    <n v="47"/>
    <x v="11"/>
    <s v="Simulink_HDL_Coder"/>
    <n v="1"/>
    <s v="named/specific user"/>
    <s v="subscription"/>
    <m/>
  </r>
  <r>
    <n v="48"/>
    <x v="11"/>
    <s v="Simulink_PLC_Coder"/>
    <n v="1"/>
    <s v="named/specific user"/>
    <s v="subscription"/>
    <m/>
  </r>
  <r>
    <n v="49"/>
    <x v="11"/>
    <s v="Simulink_Requirements"/>
    <n v="1"/>
    <s v="named/specific user"/>
    <s v="subscription"/>
    <m/>
  </r>
  <r>
    <n v="50"/>
    <x v="11"/>
    <s v="Simulink_Test"/>
    <n v="1"/>
    <s v="named/specific user"/>
    <s v="subscription"/>
    <m/>
  </r>
  <r>
    <n v="51"/>
    <x v="11"/>
    <s v="SL_Verification_Validation"/>
    <n v="1"/>
    <s v="named/specific user"/>
    <s v="subscription"/>
    <m/>
  </r>
  <r>
    <n v="52"/>
    <x v="11"/>
    <s v="Statistics_Toolbox"/>
    <n v="1"/>
    <s v="named/specific user"/>
    <s v="subscription"/>
    <m/>
  </r>
  <r>
    <n v="53"/>
    <x v="11"/>
    <s v="Vehicle_Network_Toolbox"/>
    <n v="1"/>
    <s v="named/specific user"/>
    <s v="subscription"/>
    <m/>
  </r>
  <r>
    <n v="54"/>
    <x v="11"/>
    <s v="XPC_Target"/>
    <n v="1"/>
    <s v="named/specific user"/>
    <s v="subscription"/>
    <m/>
  </r>
  <r>
    <n v="55"/>
    <x v="12"/>
    <s v="Stages Server License"/>
    <n v="1"/>
    <s v="server"/>
    <m/>
    <m/>
  </r>
  <r>
    <n v="56"/>
    <x v="12"/>
    <s v="Stages active users"/>
    <n v="10"/>
    <s v="User"/>
    <m/>
    <m/>
  </r>
  <r>
    <n v="57"/>
    <x v="12"/>
    <s v="Process Modeler (MODEL): "/>
    <n v="1"/>
    <s v="concurrent/floating"/>
    <m/>
    <m/>
  </r>
  <r>
    <n v="58"/>
    <x v="12"/>
    <s v="Process Contributor "/>
    <n v="1"/>
    <s v="concurrent/floating"/>
    <m/>
    <m/>
  </r>
  <r>
    <n v="59"/>
    <x v="13"/>
    <s v="SQL Server Standard"/>
    <s v="5 servers x 4 cores"/>
    <s v="core"/>
    <m/>
    <s v="in clarification"/>
  </r>
  <r>
    <n v="60"/>
    <x v="13"/>
    <s v="Microsoft Defender Suite (Defender Suite Sub Per User)"/>
    <n v="500"/>
    <s v="User"/>
    <s v="subscription"/>
    <s v="required for M365 migration"/>
  </r>
  <r>
    <n v="61"/>
    <x v="13"/>
    <s v="Windows 11 Multilingual Userinterface"/>
    <n v="363"/>
    <m/>
    <m/>
    <s v="in clarification"/>
  </r>
  <r>
    <n v="62"/>
    <x v="13"/>
    <s v="Standard IT-User, M365 E3"/>
    <n v="500"/>
    <s v="User"/>
    <s v="subscription"/>
    <s v="required for M365 migration"/>
  </r>
  <r>
    <n v="63"/>
    <x v="13"/>
    <s v="Microsoft VisioPro 64-Bit Edition for Office 365 (Visio Professional ALng  with SA)"/>
    <n v="61"/>
    <s v="User"/>
    <s v="perpetual "/>
    <m/>
  </r>
  <r>
    <n v="64"/>
    <x v="13"/>
    <s v="Visual Studio Professional w. GitHub Enterprise (Visual Studio Pro with GitHub ALng ; only available in EA/EAS _x000a_alternatively Visual Studio Pro and GitHub Enterprise as stand-alone license)"/>
    <n v="12"/>
    <s v="User"/>
    <s v="perpetual "/>
    <m/>
  </r>
  <r>
    <n v="65"/>
    <x v="13"/>
    <s v="Microsoft SQL Server 2022 Express"/>
    <n v="6"/>
    <m/>
    <m/>
    <s v="in clarification"/>
  </r>
  <r>
    <n v="66"/>
    <x v="13"/>
    <s v="Windows Server 2025 Standard (Win Server Standard Core ALng 2CoreLic) =&gt; 28 Packs"/>
    <n v="56"/>
    <s v="core"/>
    <m/>
    <m/>
  </r>
  <r>
    <n v="67"/>
    <x v="13"/>
    <s v="Exchange Server on Premise (Enterprise) Exchange Server Enterprise ALng LSA"/>
    <n v="1"/>
    <m/>
    <m/>
    <m/>
  </r>
  <r>
    <n v="68"/>
    <x v="13"/>
    <s v="Microsoft Copilot Studio User License"/>
    <n v="2"/>
    <s v="User"/>
    <s v="subscription"/>
    <m/>
  </r>
  <r>
    <n v="69"/>
    <x v="13"/>
    <s v="Communication Credits"/>
    <n v="419"/>
    <s v="User"/>
    <s v="free of payment"/>
    <m/>
  </r>
  <r>
    <n v="70"/>
    <x v="13"/>
    <s v="Microsoft 365 Audio Conferencing Pay-Per-Minute (Audio Conferencing Pay Per Min Sub Per User)"/>
    <n v="377"/>
    <s v="User"/>
    <s v="subscription"/>
    <m/>
  </r>
  <r>
    <n v="71"/>
    <x v="13"/>
    <s v="Microsoft System Center Configuration Manager 2022 Client Management License OSE (unknown language) (Microsoft Endpoint Configuration Manager Client Management License per OSE)"/>
    <n v="600"/>
    <m/>
    <m/>
    <m/>
  </r>
  <r>
    <n v="72"/>
    <x v="13"/>
    <s v="Microsoft Teams Phone Standard User (Teams Phone Standard Sub Per User)"/>
    <n v="70"/>
    <s v="User"/>
    <s v="subscription"/>
    <m/>
  </r>
  <r>
    <n v="73"/>
    <x v="13"/>
    <s v="Microsoft Windows Professional"/>
    <n v="92"/>
    <s v="device"/>
    <s v="perpetual "/>
    <m/>
  </r>
  <r>
    <n v="74"/>
    <x v="13"/>
    <s v="Microsoft Exchange Online Plan 2 User (Exchange Online P2 Sub Per User)"/>
    <n v="37"/>
    <s v="User"/>
    <s v="subscription"/>
    <m/>
  </r>
  <r>
    <n v="75"/>
    <x v="13"/>
    <s v="Microsoft Visio Plan 2 (Visio P2 Sub Per User)"/>
    <n v="23"/>
    <s v="User"/>
    <s v="subscription"/>
    <m/>
  </r>
  <r>
    <n v="76"/>
    <x v="13"/>
    <s v="Microsoft Windows 11 Professional (unknown language) (Windows 11 Pro (Per Device))"/>
    <n v="22"/>
    <s v="device"/>
    <s v="subscription"/>
    <m/>
  </r>
  <r>
    <n v="77"/>
    <x v="13"/>
    <s v="Microsoft Project Plan 3 User (Planner &amp; Project P3 Sub Per User)"/>
    <n v="18"/>
    <s v="User"/>
    <s v="subscription"/>
    <m/>
  </r>
  <r>
    <n v="78"/>
    <x v="13"/>
    <s v="Microsoft Project Professional for Office 365 Client User Application (Project Professional Alng with SA)"/>
    <n v="20"/>
    <s v="User"/>
    <s v="perpetual "/>
    <m/>
  </r>
  <r>
    <n v="79"/>
    <x v="13"/>
    <s v="Microsoft Visual Studio Professional (Visual Studio Professional Subscription)"/>
    <n v="15"/>
    <s v="User"/>
    <s v="subscription"/>
    <m/>
  </r>
  <r>
    <n v="80"/>
    <x v="13"/>
    <s v="Windows Server 2025 Data Center Edition (Win Server Datacenter Core ALng 2CoreLic) =&gt; 192 packs"/>
    <n v="384"/>
    <s v="core"/>
    <m/>
    <m/>
  </r>
  <r>
    <n v="81"/>
    <x v="13"/>
    <s v="Microsoft Power BI Professional User (Power BI Pro Sub Per User)"/>
    <s v="4"/>
    <s v="User"/>
    <s v="subscription"/>
    <m/>
  </r>
  <r>
    <n v="82"/>
    <x v="13"/>
    <s v=" Planner Plan 1 (Web-Version) oder Planner &amp; Project P3"/>
    <n v="9"/>
    <s v="User"/>
    <s v="subscription"/>
    <s v="in clarification"/>
  </r>
  <r>
    <n v="83"/>
    <x v="13"/>
    <s v="Microsoft Visual Studio 2022 Enterprise (Visual Studio Ent MSDN 2026 Alng)"/>
    <n v="1"/>
    <s v="User"/>
    <s v="subscription"/>
    <m/>
  </r>
  <r>
    <n v="84"/>
    <x v="13"/>
    <s v="RDS CALs with Software Assurance"/>
    <n v="40"/>
    <s v="User"/>
    <m/>
    <m/>
  </r>
  <r>
    <n v="85"/>
    <x v="14"/>
    <s v="Minitab Statistical 22 "/>
    <n v="23"/>
    <s v="User"/>
    <s v="subscription"/>
    <m/>
  </r>
  <r>
    <n v="86"/>
    <x v="15"/>
    <s v="MobaXterm Professional "/>
    <n v="2"/>
    <s v="User"/>
    <s v="perpetual "/>
    <m/>
  </r>
  <r>
    <n v="87"/>
    <x v="16"/>
    <s v="Opentext Imaging Windows Viewer"/>
    <n v="439"/>
    <s v="enterprise/corporate"/>
    <m/>
    <m/>
  </r>
  <r>
    <n v="88"/>
    <x v="16"/>
    <s v="OpenText Enterprise Scan 22"/>
    <n v="5"/>
    <s v="enterprise/corporate"/>
    <m/>
    <m/>
  </r>
  <r>
    <n v="89"/>
    <x v="17"/>
    <s v="Database Enterprise Edition"/>
    <n v="375"/>
    <s v="named user"/>
    <s v="Perpetual or Term License"/>
    <s v="TSA"/>
  </r>
  <r>
    <n v="90"/>
    <x v="17"/>
    <s v="Tuning Pack"/>
    <n v="375"/>
    <s v="named user"/>
    <s v="Perpetual or Term License"/>
    <s v="TSA"/>
  </r>
  <r>
    <n v="91"/>
    <x v="17"/>
    <s v="Partinioning"/>
    <n v="375"/>
    <s v="named user"/>
    <s v="Perpetual or Term License"/>
    <s v="TSA"/>
  </r>
  <r>
    <n v="92"/>
    <x v="17"/>
    <s v="Advanced Compression"/>
    <n v="375"/>
    <s v="named user"/>
    <s v="Perpetual or Term License"/>
    <s v="TSA"/>
  </r>
  <r>
    <n v="93"/>
    <x v="17"/>
    <s v="Diagnostics Pack"/>
    <n v="375"/>
    <s v="named user"/>
    <s v="Perpetual or Term License"/>
    <s v="TSA"/>
  </r>
  <r>
    <n v="94"/>
    <x v="17"/>
    <s v="Database-In-Memory (auf PFK und PF5)"/>
    <n v="375"/>
    <s v="named user"/>
    <s v="Perpetual or Term License"/>
    <s v="TSA"/>
  </r>
  <r>
    <n v="95"/>
    <x v="17"/>
    <s v="Oracle Database Server"/>
    <n v="2"/>
    <s v="core"/>
    <m/>
    <s v="TSA"/>
  </r>
  <r>
    <n v="96"/>
    <x v="18"/>
    <s v="Creo (Advanced T2)"/>
    <n v="30"/>
    <s v="floating"/>
    <s v="subscription"/>
    <m/>
  </r>
  <r>
    <n v="97"/>
    <x v="18"/>
    <s v="PTC-WindchillPDMLink-Creo (•_x0009_Windchill Base_x000a_•_x0009_Windchill Creo Data Management &amp; Visualization_x000a_)"/>
    <n v="30"/>
    <s v="User"/>
    <s v="subscription"/>
    <m/>
  </r>
  <r>
    <n v="98"/>
    <x v="18"/>
    <s v="PTC Creo Standalone (•_x0009_Creo Advanced Assembly Extension - Global License_x000a_•_x0009_Creo Design Essentials Global (no PLM included)_x000a_)"/>
    <n v="6"/>
    <s v="User"/>
    <s v="subscription"/>
    <m/>
  </r>
  <r>
    <n v="99"/>
    <x v="18"/>
    <s v="PTC-WindchillPDMLink-eBOM-Creo"/>
    <n v="12"/>
    <s v="User"/>
    <s v="subscription"/>
    <m/>
  </r>
  <r>
    <n v="100"/>
    <x v="18"/>
    <s v="PTC-WindchillPDMLink-Contributor (Contributor License)"/>
    <n v="9"/>
    <s v="User"/>
    <s v="subscription"/>
    <m/>
  </r>
  <r>
    <n v="101"/>
    <x v="18"/>
    <s v="MathCAD Prime"/>
    <n v="3"/>
    <s v="User"/>
    <s v="subscription"/>
    <m/>
  </r>
  <r>
    <n v="102"/>
    <x v="19"/>
    <s v="Remote Desktop 2024 "/>
    <n v="1"/>
    <s v="enterprise/corporate"/>
    <m/>
    <m/>
  </r>
  <r>
    <n v="103"/>
    <x v="20"/>
    <s v="Professional User"/>
    <n v="241"/>
    <s v="User"/>
    <m/>
    <s v="in clarification, BD terms and conditions applicable"/>
  </r>
  <r>
    <n v="104"/>
    <x v="20"/>
    <s v="7017272 SAP S/4HANA Cloud Private Edition, product lifecycle management"/>
    <n v="127"/>
    <s v="User"/>
    <m/>
    <s v="in clarification, BD terms and conditions applicable"/>
  </r>
  <r>
    <n v="105"/>
    <x v="20"/>
    <s v="Logistic User"/>
    <n v="62"/>
    <s v="User"/>
    <m/>
    <s v="in clarification, BD terms and conditions applicable"/>
  </r>
  <r>
    <n v="106"/>
    <x v="20"/>
    <s v="Worker User"/>
    <n v="60"/>
    <s v="User"/>
    <m/>
    <s v="in clarification, BD terms and conditions applicable"/>
  </r>
  <r>
    <n v="107"/>
    <x v="20"/>
    <s v="7018211 SAP Enterprise Product Engineering"/>
    <n v="27"/>
    <s v="User"/>
    <m/>
    <s v="in clarification, BD terms and conditions applicable"/>
  </r>
  <r>
    <n v="108"/>
    <x v="20"/>
    <s v="Development User"/>
    <n v="12"/>
    <s v="User"/>
    <m/>
    <s v="in clarificationin clarification, BD terms and conditions applicable"/>
  </r>
  <r>
    <n v="109"/>
    <x v="20"/>
    <s v="7017375 SAP Shared Service Framework, Human Resources"/>
    <n v="5"/>
    <s v="User"/>
    <m/>
    <s v="in clarification, BD terms and conditions applicable"/>
  </r>
  <r>
    <n v="110"/>
    <x v="20"/>
    <s v="7017523 SAP Just-in-time Inbound Process for Auto"/>
    <n v="1"/>
    <s v="Calls"/>
    <m/>
    <s v="in clarificationin clarification, BD terms and conditions applicable"/>
  </r>
  <r>
    <n v="111"/>
    <x v="21"/>
    <s v="TC Visualization Pro Plus"/>
    <n v="30"/>
    <s v="concurrent/floating"/>
    <s v="subscription"/>
    <m/>
  </r>
  <r>
    <n v="112"/>
    <x v="21"/>
    <s v="JT Bi-Directional Translator for STEP"/>
    <n v="15"/>
    <s v="concurrent/floating"/>
    <s v="subscription"/>
    <m/>
  </r>
  <r>
    <n v="113"/>
    <x v="21"/>
    <s v="DXF File Open for TC Vis"/>
    <n v="2"/>
    <s v="concurrent/floating"/>
    <s v="subscription"/>
    <m/>
  </r>
  <r>
    <n v="114"/>
    <x v="21"/>
    <s v="_x0009_IGES File Open for TC Vis"/>
    <n v="1"/>
    <s v="concurrent"/>
    <s v="subscription"/>
    <m/>
  </r>
  <r>
    <n v="115"/>
    <x v="21"/>
    <s v="Teamcenter Author"/>
    <n v="1"/>
    <s v="User"/>
    <s v="subscription"/>
    <m/>
  </r>
  <r>
    <n v="116"/>
    <x v="21"/>
    <s v="NX Gateway"/>
    <n v="1"/>
    <s v="User"/>
    <s v="subscription"/>
    <m/>
  </r>
  <r>
    <n v="117"/>
    <x v="21"/>
    <s v="NX Assembly"/>
    <n v="1"/>
    <s v="User"/>
    <s v="subscription"/>
    <m/>
  </r>
  <r>
    <n v="118"/>
    <x v="21"/>
    <s v="NX Drafting"/>
    <n v="1"/>
    <s v="User"/>
    <s v="subscription"/>
    <m/>
  </r>
  <r>
    <n v="119"/>
    <x v="21"/>
    <s v="NX Solid Modeling"/>
    <n v="1"/>
    <s v="User"/>
    <s v="subscription"/>
    <m/>
  </r>
  <r>
    <n v="120"/>
    <x v="21"/>
    <s v="NX Features Modeling"/>
    <n v="1"/>
    <s v="User"/>
    <s v="subscription"/>
    <m/>
  </r>
  <r>
    <n v="121"/>
    <x v="21"/>
    <s v="NX DXFDWG Translator"/>
    <n v="1"/>
    <s v="User"/>
    <s v="subscription"/>
    <m/>
  </r>
  <r>
    <n v="122"/>
    <x v="21"/>
    <s v="NX STEP AP214 Translator"/>
    <n v="1"/>
    <s v="User"/>
    <s v="subscription"/>
    <m/>
  </r>
  <r>
    <n v="123"/>
    <x v="21"/>
    <s v="NX Render"/>
    <n v="1"/>
    <s v="User"/>
    <s v="subscription"/>
    <m/>
  </r>
  <r>
    <n v="124"/>
    <x v="21"/>
    <s v="NX Visualize Shape"/>
    <n v="1"/>
    <s v="User"/>
    <s v="subscription"/>
    <m/>
  </r>
  <r>
    <n v="125"/>
    <x v="21"/>
    <s v="JT Bi-Directional Translator for CATIA V"/>
    <n v="1"/>
    <s v="concurrent/floating"/>
    <s v="subscription"/>
    <m/>
  </r>
  <r>
    <n v="126"/>
    <x v="22"/>
    <s v="Enterprise Architect Corporate"/>
    <n v="9"/>
    <s v="floating "/>
    <s v="perpetual +maintanance"/>
    <m/>
  </r>
  <r>
    <n v="127"/>
    <x v="23"/>
    <s v="Quick Access Enhanced with Recording (TTSPS)"/>
    <n v="441"/>
    <s v="device"/>
    <s v="subscription"/>
    <m/>
  </r>
  <r>
    <n v="128"/>
    <x v="24"/>
    <s v="CANape"/>
    <n v="3"/>
    <s v="name user, name user devise "/>
    <s v="perpetual +maintanance"/>
    <m/>
  </r>
  <r>
    <n v="129"/>
    <x v="24"/>
    <s v="CANdb++ "/>
    <n v="11"/>
    <s v="name user, name user devise "/>
    <s v="perpetual +maintanance"/>
    <m/>
  </r>
  <r>
    <n v="130"/>
    <x v="24"/>
    <s v="vTESTstudio "/>
    <n v="11"/>
    <s v="name user, name user devise "/>
    <s v="perpetual +maintanance"/>
    <m/>
  </r>
  <r>
    <n v="131"/>
    <x v="24"/>
    <s v="vFlash 7 Standard Win"/>
    <n v="2"/>
    <s v="name user, name user devise "/>
    <s v="perpetual +maintanance"/>
    <m/>
  </r>
  <r>
    <n v="132"/>
    <x v="24"/>
    <s v="CANoe PRO"/>
    <n v="2"/>
    <s v="name user, name user devise "/>
    <s v="perpetual +maintanance"/>
    <m/>
  </r>
  <r>
    <n v="133"/>
    <x v="25"/>
    <s v="IMC Famos Professional"/>
    <n v="10"/>
    <m/>
    <m/>
    <m/>
  </r>
  <r>
    <n v="134"/>
    <x v="25"/>
    <s v="IMC Studio Professional"/>
    <n v="8"/>
    <m/>
    <m/>
    <m/>
  </r>
  <r>
    <n v="135"/>
    <x v="13"/>
    <s v="Insider Risk Management"/>
    <n v="500"/>
    <s v="User"/>
    <m/>
    <m/>
  </r>
  <r>
    <n v="136"/>
    <x v="26"/>
    <s v="VersionDog"/>
    <s v="6 computers, 1500 components"/>
    <m/>
    <m/>
    <m/>
  </r>
  <r>
    <n v="137"/>
    <x v="20"/>
    <s v="ACS 109 - Streckenabwicklung SD"/>
    <n v="1"/>
    <s v="corporate license"/>
    <m/>
    <s v="quote available"/>
  </r>
  <r>
    <n v="138"/>
    <x v="20"/>
    <s v="ACS 109_3  -  Streckenabwicklung JIT"/>
    <n v="1"/>
    <s v="corporate license"/>
    <m/>
    <s v="quote available"/>
  </r>
  <r>
    <n v="139"/>
    <x v="20"/>
    <s v="ACS 39 - EDI Monitor Lieferavise"/>
    <n v="1"/>
    <s v="corporate license"/>
    <m/>
    <s v="quote available"/>
  </r>
  <r>
    <n v="140"/>
    <x v="20"/>
    <s v="ACS 216 - VDA Formular 4939"/>
    <n v="1"/>
    <s v="corporate license"/>
    <m/>
    <s v="quote available"/>
  </r>
  <r>
    <n v="141"/>
    <x v="20"/>
    <s v="ACS 132  - QM Cockpit"/>
    <n v="1"/>
    <s v="corporate license"/>
    <m/>
    <s v="quote available"/>
  </r>
  <r>
    <n v="142"/>
    <x v="20"/>
    <s v="ACS 133 - QM Customer 8D"/>
    <n v="1"/>
    <s v="corporate license"/>
    <m/>
    <s v="quote available"/>
  </r>
  <r>
    <n v="143"/>
    <x v="20"/>
    <s v="ACS 134  - QM Supplier 8D"/>
    <n v="1"/>
    <s v="corporate license"/>
    <m/>
    <s v="quote available"/>
  </r>
  <r>
    <n v="144"/>
    <x v="20"/>
    <s v="ACS 138  - QM DMS"/>
    <n v="1"/>
    <s v="corporate license"/>
    <m/>
    <s v="quote available"/>
  </r>
  <r>
    <n v="145"/>
    <x v="13"/>
    <s v="Microsoft SQL Server 2019 Express"/>
    <n v="3"/>
    <m/>
    <m/>
    <s v="in clarification"/>
  </r>
  <r>
    <n v="146"/>
    <x v="27"/>
    <s v="Angebot – Mandant P1C (Bosch AS, Vendôme)"/>
    <s v="see quote"/>
    <m/>
    <m/>
    <s v="quote available"/>
  </r>
  <r>
    <n v="147"/>
    <x v="28"/>
    <s v="Iceberg benchmark portal "/>
    <m/>
    <m/>
    <m/>
    <s v="in clarification"/>
  </r>
  <r>
    <n v="148"/>
    <x v="29"/>
    <s v="IAM tool"/>
    <m/>
    <m/>
    <m/>
    <s v="securiry related, no procurement required"/>
  </r>
  <r>
    <n v="149"/>
    <x v="30"/>
    <s v="Encryption Software"/>
    <n v="350"/>
    <m/>
    <m/>
    <s v="security related, already ordered, no procurement required "/>
  </r>
  <r>
    <n v="150"/>
    <x v="31"/>
    <s v="Microsoft Office 2016 Professional Plus (unknown language)"/>
    <n v="17"/>
    <s v="User"/>
    <s v="perpetual "/>
    <m/>
  </r>
  <r>
    <m/>
    <x v="32"/>
    <m/>
    <m/>
    <m/>
    <m/>
    <m/>
  </r>
</pivotCacheRecords>
</file>

<file path=xl/pivotCache/pivotCacheRecords2.xml><?xml version="1.0" encoding="utf-8"?>
<pivotCacheRecords xmlns="http://schemas.openxmlformats.org/spreadsheetml/2006/main" count="151">
  <r>
    <n v="1"/>
    <x v="0"/>
    <s v="Acrobat Standard DC"/>
    <n v="12"/>
    <s v="User"/>
    <s v="subscription"/>
    <m/>
  </r>
  <r>
    <n v="2"/>
    <x v="0"/>
    <s v="Acrobat Professional DC "/>
    <n v="4"/>
    <s v="User"/>
    <s v="subscription"/>
    <m/>
  </r>
  <r>
    <n v="3"/>
    <x v="0"/>
    <s v="Illustrator CC"/>
    <n v="4"/>
    <s v="User"/>
    <s v="subscription"/>
    <m/>
  </r>
  <r>
    <n v="4"/>
    <x v="1"/>
    <s v="Altair Token"/>
    <s v="1 license +30 tokens"/>
    <s v=" token floating"/>
    <s v="subscription"/>
    <m/>
  </r>
  <r>
    <n v="5"/>
    <x v="1"/>
    <s v="Hyperworks"/>
    <s v="1 license +30 tokens"/>
    <s v="token floating"/>
    <s v="subscription"/>
    <m/>
  </r>
  <r>
    <n v="6"/>
    <x v="2"/>
    <s v="Python Enterprice"/>
    <n v="16"/>
    <s v="User"/>
    <m/>
    <m/>
  </r>
  <r>
    <n v="7"/>
    <x v="3"/>
    <s v="IQ-FMEA-L"/>
    <n v="4"/>
    <s v="floating "/>
    <s v="perpetual "/>
    <m/>
  </r>
  <r>
    <n v="8"/>
    <x v="4"/>
    <s v="AutoCAD "/>
    <n v="8"/>
    <s v="User"/>
    <s v="subscription"/>
    <m/>
  </r>
  <r>
    <n v="9"/>
    <x v="4"/>
    <s v="Inventor Professional "/>
    <n v="10"/>
    <s v="User"/>
    <s v="subscription"/>
    <m/>
  </r>
  <r>
    <n v="10"/>
    <x v="4"/>
    <s v="Vault Professional "/>
    <n v="2"/>
    <s v="User"/>
    <s v="subscription"/>
    <m/>
  </r>
  <r>
    <n v="11"/>
    <x v="5"/>
    <s v="MindManager"/>
    <n v="5"/>
    <s v="User"/>
    <s v="subscription"/>
    <m/>
  </r>
  <r>
    <n v="12"/>
    <x v="6"/>
    <s v="CATIA V5 "/>
    <n v="4"/>
    <s v="concurrent/floating"/>
    <s v="perpetual "/>
    <s v="Modules: MD2 and ST1"/>
  </r>
  <r>
    <n v="13"/>
    <x v="6"/>
    <s v="eDrawings Profesional "/>
    <n v="36"/>
    <s v="User"/>
    <s v="subscription"/>
    <m/>
  </r>
  <r>
    <n v="14"/>
    <x v="6"/>
    <s v="SolidWorks"/>
    <n v="13"/>
    <s v="User"/>
    <s v="subscription"/>
    <m/>
  </r>
  <r>
    <n v="15"/>
    <x v="6"/>
    <s v="Abaqus "/>
    <n v="4"/>
    <s v="concurrent"/>
    <s v="subscription"/>
    <m/>
  </r>
  <r>
    <n v="16"/>
    <x v="7"/>
    <s v="Q-DAS 14 Notebook"/>
    <n v="5"/>
    <m/>
    <m/>
    <m/>
  </r>
  <r>
    <n v="17"/>
    <x v="8"/>
    <s v="IBM Doors (&quot;IBM Engineering Requirements Management DOORS family Authorized User License + SW Subscription &amp; Support 12 Months&quot;)"/>
    <n v="2"/>
    <s v="User"/>
    <m/>
    <m/>
  </r>
  <r>
    <n v="18"/>
    <x v="9"/>
    <s v="IrfanView 4.x 64bit"/>
    <n v="210"/>
    <s v="enterprise/corporate"/>
    <m/>
    <m/>
  </r>
  <r>
    <n v="19"/>
    <x v="10"/>
    <s v="ScreenPresso Pro "/>
    <n v="435"/>
    <s v="enterprise/corporate"/>
    <m/>
    <m/>
  </r>
  <r>
    <n v="20"/>
    <x v="11"/>
    <s v="MATLAB"/>
    <n v="7"/>
    <s v="named/specific user"/>
    <s v="subscription"/>
    <m/>
  </r>
  <r>
    <n v="21"/>
    <x v="11"/>
    <s v="Signal_Toolbox"/>
    <n v="5"/>
    <s v="named/specific user"/>
    <s v="subscription"/>
    <m/>
  </r>
  <r>
    <n v="22"/>
    <x v="11"/>
    <s v="SIMULINK"/>
    <n v="5"/>
    <s v="named/specific user"/>
    <s v="subscription"/>
    <m/>
  </r>
  <r>
    <n v="23"/>
    <x v="11"/>
    <s v="Simscape"/>
    <n v="4"/>
    <s v="named/specific user"/>
    <s v="subscription"/>
    <m/>
  </r>
  <r>
    <n v="24"/>
    <x v="11"/>
    <s v="Power_System_Blocks"/>
    <n v="3"/>
    <s v="named/specific user"/>
    <s v="subscription"/>
    <m/>
  </r>
  <r>
    <n v="25"/>
    <x v="11"/>
    <s v="Signal_Blocks"/>
    <n v="3"/>
    <s v="named/specific user"/>
    <s v="subscription"/>
    <m/>
  </r>
  <r>
    <n v="26"/>
    <x v="11"/>
    <s v="Stateflow"/>
    <n v="3"/>
    <s v="named/specific user"/>
    <s v="subscription"/>
    <m/>
  </r>
  <r>
    <n v="27"/>
    <x v="11"/>
    <s v="Control_Toolbox"/>
    <n v="2"/>
    <s v="named/specific user"/>
    <s v="subscription"/>
    <m/>
  </r>
  <r>
    <n v="28"/>
    <x v="11"/>
    <s v="Fixed_Point_Toolbox"/>
    <n v="2"/>
    <s v="named/specific user"/>
    <s v="subscription"/>
    <m/>
  </r>
  <r>
    <n v="29"/>
    <x v="11"/>
    <s v="RF_Blockset"/>
    <n v="2"/>
    <s v="named/specific user"/>
    <s v="subscription"/>
    <m/>
  </r>
  <r>
    <n v="30"/>
    <x v="11"/>
    <s v="RF_Toolbox"/>
    <n v="2"/>
    <s v="named/specific user"/>
    <s v="subscription"/>
    <m/>
  </r>
  <r>
    <n v="31"/>
    <x v="11"/>
    <s v="SimDriveline"/>
    <n v="2"/>
    <s v="named/specific user"/>
    <s v="subscription"/>
    <m/>
  </r>
  <r>
    <n v="32"/>
    <x v="11"/>
    <s v="System_Composer"/>
    <n v="2"/>
    <s v="named/specific user"/>
    <s v="subscription"/>
    <m/>
  </r>
  <r>
    <n v="33"/>
    <x v="11"/>
    <s v="AUTOSAR_Blockset"/>
    <n v="1"/>
    <s v="named/specific user"/>
    <s v="subscription"/>
    <m/>
  </r>
  <r>
    <n v="34"/>
    <x v="11"/>
    <s v="Cert_Kit_IEC"/>
    <n v="1"/>
    <s v="named/specific user"/>
    <s v="subscription"/>
    <m/>
  </r>
  <r>
    <n v="35"/>
    <x v="11"/>
    <s v="Identification_Toolbox"/>
    <n v="1"/>
    <s v="named/specific user"/>
    <s v="subscription"/>
    <m/>
  </r>
  <r>
    <n v="36"/>
    <x v="11"/>
    <s v="MATLAB_Coder"/>
    <n v="1"/>
    <s v="named/specific user"/>
    <s v="subscription"/>
    <m/>
  </r>
  <r>
    <n v="37"/>
    <x v="11"/>
    <s v="MATLAB_Report_Gen"/>
    <n v="1"/>
    <s v="named/specific user"/>
    <s v="subscription"/>
    <m/>
  </r>
  <r>
    <n v="38"/>
    <x v="11"/>
    <s v="Motor_Control_Blockset"/>
    <n v="1"/>
    <s v="named/specific user"/>
    <s v="subscription"/>
    <m/>
  </r>
  <r>
    <n v="39"/>
    <x v="11"/>
    <s v="Qual_Kit_DO"/>
    <n v="1"/>
    <s v="named/specific user"/>
    <s v="subscription"/>
    <m/>
  </r>
  <r>
    <n v="40"/>
    <x v="11"/>
    <s v="Real-Time_Workshop"/>
    <n v="1"/>
    <s v="named/specific user"/>
    <s v="subscription"/>
    <m/>
  </r>
  <r>
    <n v="41"/>
    <x v="11"/>
    <s v="RTW_Embedded_Coder"/>
    <n v="1"/>
    <s v="named/specific user"/>
    <s v="subscription"/>
    <m/>
  </r>
  <r>
    <n v="42"/>
    <x v="11"/>
    <s v="SimMechanics"/>
    <n v="1"/>
    <s v="named/specific user"/>
    <s v="subscription"/>
    <m/>
  </r>
  <r>
    <n v="43"/>
    <x v="11"/>
    <s v="Simscape_Battery"/>
    <n v="1"/>
    <s v="named/specific user"/>
    <s v="subscription"/>
    <m/>
  </r>
  <r>
    <n v="44"/>
    <x v="11"/>
    <s v="Simulink_Control_Design"/>
    <n v="1"/>
    <s v="named/specific user"/>
    <s v="subscription"/>
    <m/>
  </r>
  <r>
    <n v="45"/>
    <x v="11"/>
    <s v="Simulink_Coverage"/>
    <n v="1"/>
    <s v="named/specific user"/>
    <s v="subscription"/>
    <m/>
  </r>
  <r>
    <n v="46"/>
    <x v="11"/>
    <s v="Simulink_Design_Verifier"/>
    <n v="1"/>
    <s v="named/specific user"/>
    <s v="subscription"/>
    <m/>
  </r>
  <r>
    <n v="47"/>
    <x v="11"/>
    <s v="Simulink_HDL_Coder"/>
    <n v="1"/>
    <s v="named/specific user"/>
    <s v="subscription"/>
    <m/>
  </r>
  <r>
    <n v="48"/>
    <x v="11"/>
    <s v="Simulink_PLC_Coder"/>
    <n v="1"/>
    <s v="named/specific user"/>
    <s v="subscription"/>
    <m/>
  </r>
  <r>
    <n v="49"/>
    <x v="11"/>
    <s v="Simulink_Requirements"/>
    <n v="1"/>
    <s v="named/specific user"/>
    <s v="subscription"/>
    <m/>
  </r>
  <r>
    <n v="50"/>
    <x v="11"/>
    <s v="Simulink_Test"/>
    <n v="1"/>
    <s v="named/specific user"/>
    <s v="subscription"/>
    <m/>
  </r>
  <r>
    <n v="51"/>
    <x v="11"/>
    <s v="SL_Verification_Validation"/>
    <n v="1"/>
    <s v="named/specific user"/>
    <s v="subscription"/>
    <m/>
  </r>
  <r>
    <n v="52"/>
    <x v="11"/>
    <s v="Statistics_Toolbox"/>
    <n v="1"/>
    <s v="named/specific user"/>
    <s v="subscription"/>
    <m/>
  </r>
  <r>
    <n v="53"/>
    <x v="11"/>
    <s v="Vehicle_Network_Toolbox"/>
    <n v="1"/>
    <s v="named/specific user"/>
    <s v="subscription"/>
    <m/>
  </r>
  <r>
    <n v="54"/>
    <x v="11"/>
    <s v="XPC_Target"/>
    <n v="1"/>
    <s v="named/specific user"/>
    <s v="subscription"/>
    <m/>
  </r>
  <r>
    <n v="55"/>
    <x v="12"/>
    <s v="Stages Server License"/>
    <n v="1"/>
    <s v="server"/>
    <m/>
    <m/>
  </r>
  <r>
    <n v="56"/>
    <x v="12"/>
    <s v="Stages active users"/>
    <n v="10"/>
    <s v="User"/>
    <m/>
    <m/>
  </r>
  <r>
    <n v="57"/>
    <x v="12"/>
    <s v="Process Modeler (MODEL): "/>
    <n v="1"/>
    <s v="concurrent/floating"/>
    <m/>
    <m/>
  </r>
  <r>
    <n v="58"/>
    <x v="12"/>
    <s v="Process Contributor "/>
    <n v="1"/>
    <s v="concurrent/floating"/>
    <m/>
    <m/>
  </r>
  <r>
    <n v="59"/>
    <x v="13"/>
    <s v="SQL Server Standard"/>
    <s v="5 servers x 4 cores"/>
    <s v="core"/>
    <m/>
    <s v="in clarification"/>
  </r>
  <r>
    <n v="60"/>
    <x v="13"/>
    <s v="Microsoft Defender Suite (Defender Suite Sub Per User)"/>
    <n v="500"/>
    <s v="User"/>
    <s v="subscription"/>
    <s v="required for M365 migration"/>
  </r>
  <r>
    <n v="61"/>
    <x v="13"/>
    <s v="Windows 11 Multilingual Userinterface"/>
    <n v="363"/>
    <m/>
    <m/>
    <s v="in clarification"/>
  </r>
  <r>
    <n v="62"/>
    <x v="13"/>
    <s v="Standard IT-User, M365 E3"/>
    <n v="500"/>
    <s v="User"/>
    <s v="subscription"/>
    <s v="required for M365 migration"/>
  </r>
  <r>
    <n v="63"/>
    <x v="13"/>
    <s v="Microsoft VisioPro 64-Bit Edition for Office 365 (Visio Professional ALng  with SA)"/>
    <n v="61"/>
    <s v="User"/>
    <s v="perpetual "/>
    <m/>
  </r>
  <r>
    <n v="64"/>
    <x v="13"/>
    <s v="Visual Studio Professional w. GitHub Enterprise (Visual Studio Pro with GitHub ALng ; only available in EA/EAS _x000a_alternatively Visual Studio Pro and GitHub Enterprise as stand-alone license)"/>
    <n v="12"/>
    <s v="User"/>
    <s v="perpetual "/>
    <m/>
  </r>
  <r>
    <n v="65"/>
    <x v="13"/>
    <s v="Microsoft SQL Server 2022 Express"/>
    <n v="6"/>
    <m/>
    <m/>
    <s v="in clarification"/>
  </r>
  <r>
    <n v="66"/>
    <x v="13"/>
    <s v="Windows Server 2025 Standard (Win Server Standard Core ALng 2CoreLic) =&gt; 28 Packs"/>
    <n v="56"/>
    <s v="core"/>
    <m/>
    <m/>
  </r>
  <r>
    <n v="67"/>
    <x v="13"/>
    <s v="Exchange Server on Premise (Enterprise) Exchange Server Enterprise ALng LSA"/>
    <n v="1"/>
    <m/>
    <m/>
    <m/>
  </r>
  <r>
    <n v="68"/>
    <x v="13"/>
    <s v="Microsoft Copilot Studio User License"/>
    <n v="2"/>
    <s v="User"/>
    <s v="subscription"/>
    <m/>
  </r>
  <r>
    <n v="69"/>
    <x v="13"/>
    <s v="Communication Credits"/>
    <n v="419"/>
    <s v="User"/>
    <s v="free of payment"/>
    <m/>
  </r>
  <r>
    <n v="70"/>
    <x v="13"/>
    <s v="Microsoft 365 Audio Conferencing Pay-Per-Minute (Audio Conferencing Pay Per Min Sub Per User)"/>
    <n v="377"/>
    <s v="User"/>
    <s v="subscription"/>
    <m/>
  </r>
  <r>
    <n v="71"/>
    <x v="13"/>
    <s v="Microsoft System Center Configuration Manager 2022 Client Management License OSE (unknown language) (Microsoft Endpoint Configuration Manager Client Management License per OSE)"/>
    <n v="600"/>
    <m/>
    <m/>
    <m/>
  </r>
  <r>
    <n v="72"/>
    <x v="13"/>
    <s v="Microsoft Teams Phone Standard User (Teams Phone Standard Sub Per User)"/>
    <n v="70"/>
    <s v="User"/>
    <s v="subscription"/>
    <m/>
  </r>
  <r>
    <n v="73"/>
    <x v="13"/>
    <s v="Microsoft Windows Professional"/>
    <n v="92"/>
    <s v="device"/>
    <s v="perpetual "/>
    <m/>
  </r>
  <r>
    <n v="74"/>
    <x v="13"/>
    <s v="Microsoft Exchange Online Plan 2 User (Exchange Online P2 Sub Per User)"/>
    <n v="37"/>
    <s v="User"/>
    <s v="subscription"/>
    <m/>
  </r>
  <r>
    <n v="75"/>
    <x v="13"/>
    <s v="Microsoft Visio Plan 2 (Visio P2 Sub Per User)"/>
    <n v="23"/>
    <s v="User"/>
    <s v="subscription"/>
    <m/>
  </r>
  <r>
    <n v="76"/>
    <x v="13"/>
    <s v="Microsoft Windows 11 Professional (unknown language) (Windows 11 Pro (Per Device))"/>
    <n v="22"/>
    <s v="device"/>
    <s v="subscription"/>
    <m/>
  </r>
  <r>
    <n v="77"/>
    <x v="13"/>
    <s v="Microsoft Project Plan 3 User (Planner &amp; Project P3 Sub Per User)"/>
    <n v="18"/>
    <s v="User"/>
    <s v="subscription"/>
    <m/>
  </r>
  <r>
    <n v="78"/>
    <x v="13"/>
    <s v="Microsoft Project Professional for Office 365 Client User Application (Project Professional Alng with SA)"/>
    <n v="20"/>
    <s v="User"/>
    <s v="perpetual "/>
    <m/>
  </r>
  <r>
    <n v="79"/>
    <x v="13"/>
    <s v="Microsoft Visual Studio Professional (Visual Studio Professional Subscription)"/>
    <n v="15"/>
    <s v="User"/>
    <s v="subscription"/>
    <m/>
  </r>
  <r>
    <n v="80"/>
    <x v="13"/>
    <s v="Windows Server 2025 Data Center Edition (Win Server Datacenter Core ALng 2CoreLic) =&gt; 192 packs"/>
    <n v="384"/>
    <s v="core"/>
    <m/>
    <m/>
  </r>
  <r>
    <n v="81"/>
    <x v="13"/>
    <s v="Microsoft Power BI Professional User (Power BI Pro Sub Per User)"/>
    <s v="4"/>
    <s v="User"/>
    <s v="subscription"/>
    <m/>
  </r>
  <r>
    <n v="82"/>
    <x v="13"/>
    <s v=" Planner Plan 1 (Web-Version) oder Planner &amp; Project P3"/>
    <n v="9"/>
    <s v="User"/>
    <s v="subscription"/>
    <s v="in clarification"/>
  </r>
  <r>
    <n v="83"/>
    <x v="13"/>
    <s v="Microsoft Visual Studio 2022 Enterprise (Visual Studio Ent MSDN 2026 Alng)"/>
    <n v="1"/>
    <s v="User"/>
    <s v="subscription"/>
    <m/>
  </r>
  <r>
    <n v="84"/>
    <x v="13"/>
    <s v="RDS CALs with Software Assurance"/>
    <n v="40"/>
    <s v="User"/>
    <m/>
    <m/>
  </r>
  <r>
    <n v="85"/>
    <x v="14"/>
    <s v="Minitab Statistical 22 "/>
    <n v="23"/>
    <s v="User"/>
    <s v="subscription"/>
    <m/>
  </r>
  <r>
    <n v="86"/>
    <x v="15"/>
    <s v="MobaXterm Professional "/>
    <n v="2"/>
    <s v="User"/>
    <s v="perpetual "/>
    <m/>
  </r>
  <r>
    <n v="87"/>
    <x v="16"/>
    <s v="Opentext Imaging Windows Viewer"/>
    <n v="439"/>
    <s v="enterprise/corporate"/>
    <m/>
    <m/>
  </r>
  <r>
    <n v="88"/>
    <x v="16"/>
    <s v="OpenText Enterprise Scan 22"/>
    <n v="5"/>
    <s v="enterprise/corporate"/>
    <m/>
    <m/>
  </r>
  <r>
    <n v="89"/>
    <x v="17"/>
    <s v="Database Enterprise Edition"/>
    <n v="375"/>
    <s v="named user"/>
    <s v="Perpetual or Term License"/>
    <s v="TSA"/>
  </r>
  <r>
    <n v="90"/>
    <x v="17"/>
    <s v="Tuning Pack"/>
    <n v="375"/>
    <s v="named user"/>
    <s v="Perpetual or Term License"/>
    <s v="TSA"/>
  </r>
  <r>
    <n v="91"/>
    <x v="17"/>
    <s v="Partinioning"/>
    <n v="375"/>
    <s v="named user"/>
    <s v="Perpetual or Term License"/>
    <s v="TSA"/>
  </r>
  <r>
    <n v="92"/>
    <x v="17"/>
    <s v="Advanced Compression"/>
    <n v="375"/>
    <s v="named user"/>
    <s v="Perpetual or Term License"/>
    <s v="TSA"/>
  </r>
  <r>
    <n v="93"/>
    <x v="17"/>
    <s v="Diagnostics Pack"/>
    <n v="375"/>
    <s v="named user"/>
    <s v="Perpetual or Term License"/>
    <s v="TSA"/>
  </r>
  <r>
    <n v="94"/>
    <x v="17"/>
    <s v="Database-In-Memory (auf PFK und PF5)"/>
    <n v="375"/>
    <s v="named user"/>
    <s v="Perpetual or Term License"/>
    <s v="TSA"/>
  </r>
  <r>
    <n v="95"/>
    <x v="17"/>
    <s v="Oracle Database Server"/>
    <n v="2"/>
    <s v="core"/>
    <m/>
    <s v="TSA"/>
  </r>
  <r>
    <n v="96"/>
    <x v="18"/>
    <s v="Creo (Advanced T2)"/>
    <n v="30"/>
    <s v="floating"/>
    <s v="subscription"/>
    <m/>
  </r>
  <r>
    <n v="97"/>
    <x v="18"/>
    <s v="PTC-WindchillPDMLink-Creo (•_x0009_Windchill Base_x000a_•_x0009_Windchill Creo Data Management &amp; Visualization_x000a_)"/>
    <n v="30"/>
    <s v="User"/>
    <s v="subscription"/>
    <m/>
  </r>
  <r>
    <n v="98"/>
    <x v="18"/>
    <s v="PTC Creo Standalone (•_x0009_Creo Advanced Assembly Extension - Global License_x000a_•_x0009_Creo Design Essentials Global (no PLM included)_x000a_)"/>
    <n v="6"/>
    <s v="User"/>
    <s v="subscription"/>
    <m/>
  </r>
  <r>
    <n v="99"/>
    <x v="18"/>
    <s v="PTC-WindchillPDMLink-eBOM-Creo"/>
    <n v="12"/>
    <s v="User"/>
    <s v="subscription"/>
    <m/>
  </r>
  <r>
    <n v="100"/>
    <x v="18"/>
    <s v="PTC-WindchillPDMLink-Contributor (Contributor License)"/>
    <n v="9"/>
    <s v="User"/>
    <s v="subscription"/>
    <m/>
  </r>
  <r>
    <n v="101"/>
    <x v="18"/>
    <s v="MathCAD Prime"/>
    <n v="3"/>
    <s v="User"/>
    <s v="subscription"/>
    <m/>
  </r>
  <r>
    <n v="102"/>
    <x v="19"/>
    <s v="Remote Desktop 2024 "/>
    <n v="1"/>
    <s v="enterprise/corporate"/>
    <m/>
    <m/>
  </r>
  <r>
    <n v="103"/>
    <x v="20"/>
    <s v="Professional User"/>
    <n v="241"/>
    <s v="User"/>
    <m/>
    <s v="in clarification, BD terms and conditions applicable"/>
  </r>
  <r>
    <n v="104"/>
    <x v="20"/>
    <s v="7017272 SAP S/4HANA Cloud Private Edition, product lifecycle management"/>
    <n v="127"/>
    <s v="User"/>
    <m/>
    <s v="in clarification, BD terms and conditions applicable"/>
  </r>
  <r>
    <n v="105"/>
    <x v="20"/>
    <s v="Logistic User"/>
    <n v="62"/>
    <s v="User"/>
    <m/>
    <s v="in clarification, BD terms and conditions applicable"/>
  </r>
  <r>
    <n v="106"/>
    <x v="20"/>
    <s v="Worker User"/>
    <n v="60"/>
    <s v="User"/>
    <m/>
    <s v="in clarification, BD terms and conditions applicable"/>
  </r>
  <r>
    <n v="107"/>
    <x v="20"/>
    <s v="7018211 SAP Enterprise Product Engineering"/>
    <n v="27"/>
    <s v="User"/>
    <m/>
    <s v="in clarification, BD terms and conditions applicable"/>
  </r>
  <r>
    <n v="108"/>
    <x v="20"/>
    <s v="Development User"/>
    <n v="12"/>
    <s v="User"/>
    <m/>
    <s v="in clarificationin clarification, BD terms and conditions applicable"/>
  </r>
  <r>
    <n v="109"/>
    <x v="20"/>
    <s v="7017375 SAP Shared Service Framework, Human Resources"/>
    <n v="5"/>
    <s v="User"/>
    <m/>
    <s v="in clarification, BD terms and conditions applicable"/>
  </r>
  <r>
    <n v="110"/>
    <x v="20"/>
    <s v="7017523 SAP Just-in-time Inbound Process for Auto"/>
    <n v="1"/>
    <s v="Calls"/>
    <m/>
    <s v="in clarificationin clarification, BD terms and conditions applicable"/>
  </r>
  <r>
    <n v="111"/>
    <x v="21"/>
    <s v="TC Visualization Pro Plus"/>
    <n v="30"/>
    <s v="concurrent/floating"/>
    <s v="subscription"/>
    <m/>
  </r>
  <r>
    <n v="112"/>
    <x v="21"/>
    <s v="JT Bi-Directional Translator for STEP"/>
    <n v="15"/>
    <s v="concurrent/floating"/>
    <s v="subscription"/>
    <m/>
  </r>
  <r>
    <n v="113"/>
    <x v="21"/>
    <s v="DXF File Open for TC Vis"/>
    <n v="2"/>
    <s v="concurrent/floating"/>
    <s v="subscription"/>
    <m/>
  </r>
  <r>
    <n v="114"/>
    <x v="21"/>
    <s v="_x0009_IGES File Open for TC Vis"/>
    <n v="1"/>
    <s v="concurrent"/>
    <s v="subscription"/>
    <m/>
  </r>
  <r>
    <n v="115"/>
    <x v="21"/>
    <s v="Teamcenter Author"/>
    <n v="1"/>
    <s v="User"/>
    <s v="subscription"/>
    <m/>
  </r>
  <r>
    <n v="116"/>
    <x v="21"/>
    <s v="NX Gateway"/>
    <n v="1"/>
    <s v="User"/>
    <s v="subscription"/>
    <m/>
  </r>
  <r>
    <n v="117"/>
    <x v="21"/>
    <s v="NX Assembly"/>
    <n v="1"/>
    <s v="User"/>
    <s v="subscription"/>
    <m/>
  </r>
  <r>
    <n v="118"/>
    <x v="21"/>
    <s v="NX Drafting"/>
    <n v="1"/>
    <s v="User"/>
    <s v="subscription"/>
    <m/>
  </r>
  <r>
    <n v="119"/>
    <x v="21"/>
    <s v="NX Solid Modeling"/>
    <n v="1"/>
    <s v="User"/>
    <s v="subscription"/>
    <m/>
  </r>
  <r>
    <n v="120"/>
    <x v="21"/>
    <s v="NX Features Modeling"/>
    <n v="1"/>
    <s v="User"/>
    <s v="subscription"/>
    <m/>
  </r>
  <r>
    <n v="121"/>
    <x v="21"/>
    <s v="NX DXFDWG Translator"/>
    <n v="1"/>
    <s v="User"/>
    <s v="subscription"/>
    <m/>
  </r>
  <r>
    <n v="122"/>
    <x v="21"/>
    <s v="NX STEP AP214 Translator"/>
    <n v="1"/>
    <s v="User"/>
    <s v="subscription"/>
    <m/>
  </r>
  <r>
    <n v="123"/>
    <x v="21"/>
    <s v="NX Render"/>
    <n v="1"/>
    <s v="User"/>
    <s v="subscription"/>
    <m/>
  </r>
  <r>
    <n v="124"/>
    <x v="21"/>
    <s v="NX Visualize Shape"/>
    <n v="1"/>
    <s v="User"/>
    <s v="subscription"/>
    <m/>
  </r>
  <r>
    <n v="125"/>
    <x v="21"/>
    <s v="JT Bi-Directional Translator for CATIA V"/>
    <n v="1"/>
    <s v="concurrent/floating"/>
    <s v="subscription"/>
    <m/>
  </r>
  <r>
    <n v="126"/>
    <x v="22"/>
    <s v="Enterprise Architect Corporate"/>
    <n v="9"/>
    <s v="floating "/>
    <s v="perpetual +maintanance"/>
    <m/>
  </r>
  <r>
    <n v="127"/>
    <x v="23"/>
    <s v="Quick Access Enhanced with Recording (TTSPS)"/>
    <n v="441"/>
    <s v="device"/>
    <s v="subscription"/>
    <m/>
  </r>
  <r>
    <n v="128"/>
    <x v="24"/>
    <s v="CANape"/>
    <n v="3"/>
    <s v="name user, name user devise "/>
    <s v="perpetual +maintanance"/>
    <m/>
  </r>
  <r>
    <n v="129"/>
    <x v="24"/>
    <s v="CANdb++ "/>
    <n v="11"/>
    <s v="name user, name user devise "/>
    <s v="perpetual +maintanance"/>
    <m/>
  </r>
  <r>
    <n v="130"/>
    <x v="24"/>
    <s v="vTESTstudio "/>
    <n v="11"/>
    <s v="name user, name user devise "/>
    <s v="perpetual +maintanance"/>
    <m/>
  </r>
  <r>
    <n v="131"/>
    <x v="24"/>
    <s v="vFlash 7 Standard Win"/>
    <n v="2"/>
    <s v="name user, name user devise "/>
    <s v="perpetual +maintanance"/>
    <m/>
  </r>
  <r>
    <n v="132"/>
    <x v="24"/>
    <s v="CANoe PRO"/>
    <n v="2"/>
    <s v="name user, name user devise "/>
    <s v="perpetual +maintanance"/>
    <m/>
  </r>
  <r>
    <n v="133"/>
    <x v="25"/>
    <s v="IMC Famos Professional"/>
    <n v="10"/>
    <m/>
    <m/>
    <m/>
  </r>
  <r>
    <n v="134"/>
    <x v="25"/>
    <s v="IMC Studio Professional"/>
    <n v="8"/>
    <m/>
    <m/>
    <m/>
  </r>
  <r>
    <n v="135"/>
    <x v="13"/>
    <s v="Insider Risk Management"/>
    <n v="500"/>
    <s v="User"/>
    <m/>
    <m/>
  </r>
  <r>
    <n v="136"/>
    <x v="26"/>
    <s v="VersionDog"/>
    <s v="6 computers, 1500 components"/>
    <m/>
    <m/>
    <m/>
  </r>
  <r>
    <n v="137"/>
    <x v="20"/>
    <s v="ACS 109 - Streckenabwicklung SD"/>
    <n v="1"/>
    <s v="corporate license"/>
    <m/>
    <s v="quote available"/>
  </r>
  <r>
    <n v="138"/>
    <x v="20"/>
    <s v="ACS 109_3  -  Streckenabwicklung JIT"/>
    <n v="1"/>
    <s v="corporate license"/>
    <m/>
    <s v="quote available"/>
  </r>
  <r>
    <n v="139"/>
    <x v="20"/>
    <s v="ACS 39 - EDI Monitor Lieferavise"/>
    <n v="1"/>
    <s v="corporate license"/>
    <m/>
    <s v="quote available"/>
  </r>
  <r>
    <n v="140"/>
    <x v="20"/>
    <s v="ACS 216 - VDA Formular 4939"/>
    <n v="1"/>
    <s v="corporate license"/>
    <m/>
    <s v="quote available"/>
  </r>
  <r>
    <n v="141"/>
    <x v="20"/>
    <s v="ACS 132  - QM Cockpit"/>
    <n v="1"/>
    <s v="corporate license"/>
    <m/>
    <s v="quote available"/>
  </r>
  <r>
    <n v="142"/>
    <x v="20"/>
    <s v="ACS 133 - QM Customer 8D"/>
    <n v="1"/>
    <s v="corporate license"/>
    <m/>
    <s v="quote available"/>
  </r>
  <r>
    <n v="143"/>
    <x v="20"/>
    <s v="ACS 134  - QM Supplier 8D"/>
    <n v="1"/>
    <s v="corporate license"/>
    <m/>
    <s v="quote available"/>
  </r>
  <r>
    <n v="144"/>
    <x v="20"/>
    <s v="ACS 138  - QM DMS"/>
    <n v="1"/>
    <s v="corporate license"/>
    <m/>
    <s v="quote available"/>
  </r>
  <r>
    <n v="145"/>
    <x v="13"/>
    <s v="Microsoft SQL Server 2019 Express"/>
    <n v="3"/>
    <m/>
    <m/>
    <s v="in clarification"/>
  </r>
  <r>
    <n v="146"/>
    <x v="27"/>
    <s v="Angebot – Mandant P1C (Bosch AS, Vendôme)"/>
    <s v="see quote"/>
    <m/>
    <m/>
    <s v="quote available"/>
  </r>
  <r>
    <n v="147"/>
    <x v="28"/>
    <s v="Iceberg benchmark portal "/>
    <m/>
    <m/>
    <m/>
    <s v="in clarification"/>
  </r>
  <r>
    <n v="148"/>
    <x v="29"/>
    <s v="IAM tool"/>
    <m/>
    <m/>
    <m/>
    <s v="securiry related, no procurement required"/>
  </r>
  <r>
    <n v="149"/>
    <x v="30"/>
    <s v="Encryption Software"/>
    <n v="350"/>
    <m/>
    <m/>
    <s v="security related, already ordered, no procurement required "/>
  </r>
  <r>
    <n v="150"/>
    <x v="31"/>
    <s v="Microsoft Office 2016 Professional Plus (unknown language)"/>
    <n v="17"/>
    <s v="User"/>
    <s v="perpetual "/>
    <m/>
  </r>
  <r>
    <m/>
    <x v="3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7" firstHeaderRow="1" firstDataRow="1" firstDataCol="1"/>
  <pivotFields count="7">
    <pivotField showAll="0"/>
    <pivotField axis="axisRow" showAll="0">
      <items count="34">
        <item x="11"/>
        <item x="13"/>
        <item x="20"/>
        <item x="21"/>
        <item x="17"/>
        <item x="18"/>
        <item x="24"/>
        <item x="12"/>
        <item x="6"/>
        <item x="0"/>
        <item x="4"/>
        <item x="1"/>
        <item x="16"/>
        <item x="25"/>
        <item x="7"/>
        <item x="2"/>
        <item x="3"/>
        <item x="5"/>
        <item x="8"/>
        <item x="9"/>
        <item x="10"/>
        <item x="14"/>
        <item x="15"/>
        <item x="26"/>
        <item x="19"/>
        <item x="22"/>
        <item x="23"/>
        <item x="32"/>
        <item x="27"/>
        <item x="28"/>
        <item x="29"/>
        <item x="30"/>
        <item x="3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Product name" fld="2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4" firstHeaderRow="1" firstDataRow="1" firstDataCol="1"/>
  <pivotFields count="6">
    <pivotField showAll="0"/>
    <pivotField axis="axisRow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15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rowItems>
  <colItems count="1">
    <i/>
  </colItems>
  <dataFields count="1">
    <dataField name="Count of Product name" fld="2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8" displayName="Tabelle18" ref="A9:G157" totalsRowShown="0" headerRowDxfId="16" dataDxfId="15">
  <autoFilter ref="A9:G157" xr:uid="{00000000-0009-0000-0100-000001000000}"/>
  <tableColumns count="7">
    <tableColumn id="15" xr3:uid="{00000000-0010-0000-0000-00000F000000}" name="#" dataDxfId="14"/>
    <tableColumn id="2" xr3:uid="{00000000-0010-0000-0000-000002000000}" name="Vendor" dataDxfId="13"/>
    <tableColumn id="3" xr3:uid="{00000000-0010-0000-0000-000003000000}" name="Product name" dataDxfId="12" dataCellStyle="Standard 2"/>
    <tableColumn id="4" xr3:uid="{00000000-0010-0000-0000-000004000000}" name="Quantity" dataDxfId="11" dataCellStyle="Standard 2"/>
    <tableColumn id="7" xr3:uid="{00000000-0010-0000-0000-000007000000}" name="Metric " dataDxfId="10" dataCellStyle="Standard 2"/>
    <tableColumn id="11" xr3:uid="{00000000-0010-0000-0000-00000B000000}" name="Type of Payment*" dataDxfId="9" dataCellStyle="Standard 2"/>
    <tableColumn id="13" xr3:uid="{00000000-0010-0000-0000-00000D000000}" name="Note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e19" displayName="Tabelle19" ref="B7:G130" totalsRowShown="0" headerRowDxfId="7" dataDxfId="6">
  <autoFilter ref="B7:G130" xr:uid="{00000000-0009-0000-0100-000002000000}"/>
  <tableColumns count="6">
    <tableColumn id="23" xr3:uid="{00000000-0010-0000-0100-000017000000}" name="#" dataDxfId="5"/>
    <tableColumn id="2" xr3:uid="{00000000-0010-0000-0100-000002000000}" name="Vendor" dataDxfId="4"/>
    <tableColumn id="3" xr3:uid="{00000000-0010-0000-0100-000003000000}" name="Product name" dataDxfId="3" dataCellStyle="Standard 2"/>
    <tableColumn id="4" xr3:uid="{00000000-0010-0000-0100-000004000000}" name="Quantity" dataDxfId="2" dataCellStyle="Standard 2"/>
    <tableColumn id="18" xr3:uid="{00000000-0010-0000-0100-000012000000}" name="Free or OSS" dataDxfId="1"/>
    <tableColumn id="15" xr3:uid="{00000000-0010-0000-0100-00000F000000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B10" sqref="B10"/>
    </sheetView>
  </sheetViews>
  <sheetFormatPr defaultColWidth="8.88671875" defaultRowHeight="13.2" x14ac:dyDescent="0.25"/>
  <cols>
    <col min="1" max="1" width="25.44140625" bestFit="1" customWidth="1"/>
    <col min="2" max="2" width="21.6640625" bestFit="1" customWidth="1"/>
  </cols>
  <sheetData>
    <row r="1" spans="1:2" x14ac:dyDescent="0.25">
      <c r="A1" s="66" t="s">
        <v>0</v>
      </c>
      <c r="B1" s="67"/>
    </row>
    <row r="3" spans="1:2" x14ac:dyDescent="0.25">
      <c r="A3" s="6" t="s">
        <v>1</v>
      </c>
      <c r="B3" t="s">
        <v>2</v>
      </c>
    </row>
    <row r="4" spans="1:2" x14ac:dyDescent="0.25">
      <c r="A4" s="58" t="s">
        <v>3</v>
      </c>
      <c r="B4">
        <v>35</v>
      </c>
    </row>
    <row r="5" spans="1:2" x14ac:dyDescent="0.25">
      <c r="A5" s="58" t="s">
        <v>4</v>
      </c>
      <c r="B5">
        <v>28</v>
      </c>
    </row>
    <row r="6" spans="1:2" x14ac:dyDescent="0.25">
      <c r="A6" s="58" t="s">
        <v>5</v>
      </c>
      <c r="B6">
        <v>16</v>
      </c>
    </row>
    <row r="7" spans="1:2" x14ac:dyDescent="0.25">
      <c r="A7" s="58" t="s">
        <v>6</v>
      </c>
      <c r="B7">
        <v>15</v>
      </c>
    </row>
    <row r="8" spans="1:2" x14ac:dyDescent="0.25">
      <c r="A8" s="58" t="s">
        <v>7</v>
      </c>
      <c r="B8">
        <v>7</v>
      </c>
    </row>
    <row r="9" spans="1:2" x14ac:dyDescent="0.25">
      <c r="A9" s="58" t="s">
        <v>8</v>
      </c>
      <c r="B9">
        <v>6</v>
      </c>
    </row>
    <row r="10" spans="1:2" x14ac:dyDescent="0.25">
      <c r="A10" s="58" t="s">
        <v>9</v>
      </c>
      <c r="B10">
        <v>5</v>
      </c>
    </row>
    <row r="11" spans="1:2" x14ac:dyDescent="0.25">
      <c r="A11" s="58" t="s">
        <v>10</v>
      </c>
      <c r="B11">
        <v>4</v>
      </c>
    </row>
    <row r="12" spans="1:2" x14ac:dyDescent="0.25">
      <c r="A12" s="58" t="s">
        <v>11</v>
      </c>
      <c r="B12">
        <v>4</v>
      </c>
    </row>
    <row r="13" spans="1:2" x14ac:dyDescent="0.25">
      <c r="A13" s="58" t="s">
        <v>12</v>
      </c>
      <c r="B13">
        <v>3</v>
      </c>
    </row>
    <row r="14" spans="1:2" x14ac:dyDescent="0.25">
      <c r="A14" s="58" t="s">
        <v>13</v>
      </c>
      <c r="B14">
        <v>3</v>
      </c>
    </row>
    <row r="15" spans="1:2" x14ac:dyDescent="0.25">
      <c r="A15" s="58" t="s">
        <v>14</v>
      </c>
      <c r="B15">
        <v>2</v>
      </c>
    </row>
    <row r="16" spans="1:2" x14ac:dyDescent="0.25">
      <c r="A16" s="58" t="s">
        <v>15</v>
      </c>
      <c r="B16">
        <v>2</v>
      </c>
    </row>
    <row r="17" spans="1:2" x14ac:dyDescent="0.25">
      <c r="A17" s="58" t="s">
        <v>16</v>
      </c>
      <c r="B17">
        <v>2</v>
      </c>
    </row>
    <row r="18" spans="1:2" x14ac:dyDescent="0.25">
      <c r="A18" s="58" t="s">
        <v>17</v>
      </c>
      <c r="B18">
        <v>1</v>
      </c>
    </row>
    <row r="19" spans="1:2" x14ac:dyDescent="0.25">
      <c r="A19" s="58" t="s">
        <v>18</v>
      </c>
      <c r="B19">
        <v>1</v>
      </c>
    </row>
    <row r="20" spans="1:2" x14ac:dyDescent="0.25">
      <c r="A20" s="58" t="s">
        <v>19</v>
      </c>
      <c r="B20">
        <v>1</v>
      </c>
    </row>
    <row r="21" spans="1:2" x14ac:dyDescent="0.25">
      <c r="A21" s="58" t="s">
        <v>20</v>
      </c>
      <c r="B21">
        <v>1</v>
      </c>
    </row>
    <row r="22" spans="1:2" x14ac:dyDescent="0.25">
      <c r="A22" s="58" t="s">
        <v>21</v>
      </c>
      <c r="B22">
        <v>1</v>
      </c>
    </row>
    <row r="23" spans="1:2" x14ac:dyDescent="0.25">
      <c r="A23" s="58" t="s">
        <v>22</v>
      </c>
      <c r="B23">
        <v>1</v>
      </c>
    </row>
    <row r="24" spans="1:2" x14ac:dyDescent="0.25">
      <c r="A24" s="58" t="s">
        <v>23</v>
      </c>
      <c r="B24">
        <v>1</v>
      </c>
    </row>
    <row r="25" spans="1:2" x14ac:dyDescent="0.25">
      <c r="A25" s="58" t="s">
        <v>24</v>
      </c>
      <c r="B25">
        <v>1</v>
      </c>
    </row>
    <row r="26" spans="1:2" x14ac:dyDescent="0.25">
      <c r="A26" s="58" t="s">
        <v>25</v>
      </c>
      <c r="B26">
        <v>1</v>
      </c>
    </row>
    <row r="27" spans="1:2" x14ac:dyDescent="0.25">
      <c r="A27" s="58" t="s">
        <v>26</v>
      </c>
      <c r="B27">
        <v>1</v>
      </c>
    </row>
    <row r="28" spans="1:2" x14ac:dyDescent="0.25">
      <c r="A28" s="58" t="s">
        <v>27</v>
      </c>
      <c r="B28">
        <v>1</v>
      </c>
    </row>
    <row r="29" spans="1:2" x14ac:dyDescent="0.25">
      <c r="A29" s="58" t="s">
        <v>28</v>
      </c>
      <c r="B29">
        <v>1</v>
      </c>
    </row>
    <row r="30" spans="1:2" x14ac:dyDescent="0.25">
      <c r="A30" s="58" t="s">
        <v>29</v>
      </c>
      <c r="B30">
        <v>1</v>
      </c>
    </row>
    <row r="31" spans="1:2" hidden="1" x14ac:dyDescent="0.25">
      <c r="A31" s="58" t="s">
        <v>30</v>
      </c>
    </row>
    <row r="32" spans="1:2" x14ac:dyDescent="0.25">
      <c r="A32" s="58" t="s">
        <v>31</v>
      </c>
      <c r="B32">
        <v>1</v>
      </c>
    </row>
    <row r="33" spans="1:2" x14ac:dyDescent="0.25">
      <c r="A33" s="58" t="s">
        <v>32</v>
      </c>
      <c r="B33">
        <v>1</v>
      </c>
    </row>
    <row r="34" spans="1:2" x14ac:dyDescent="0.25">
      <c r="A34" s="58" t="s">
        <v>33</v>
      </c>
      <c r="B34">
        <v>1</v>
      </c>
    </row>
    <row r="35" spans="1:2" x14ac:dyDescent="0.25">
      <c r="A35" s="58" t="s">
        <v>34</v>
      </c>
      <c r="B35">
        <v>1</v>
      </c>
    </row>
    <row r="36" spans="1:2" x14ac:dyDescent="0.25">
      <c r="A36" s="58" t="s">
        <v>35</v>
      </c>
      <c r="B36">
        <v>1</v>
      </c>
    </row>
    <row r="37" spans="1:2" x14ac:dyDescent="0.25">
      <c r="A37" s="58" t="s">
        <v>36</v>
      </c>
      <c r="B37">
        <v>150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4"/>
  <sheetViews>
    <sheetView workbookViewId="0">
      <selection activeCell="I29" sqref="I29"/>
    </sheetView>
  </sheetViews>
  <sheetFormatPr defaultColWidth="8.88671875" defaultRowHeight="13.2" x14ac:dyDescent="0.25"/>
  <cols>
    <col min="1" max="1" width="36.44140625" bestFit="1" customWidth="1"/>
    <col min="2" max="2" width="21.5546875" bestFit="1" customWidth="1"/>
  </cols>
  <sheetData>
    <row r="1" spans="1:2" x14ac:dyDescent="0.25">
      <c r="A1" s="7" t="s">
        <v>37</v>
      </c>
    </row>
    <row r="3" spans="1:2" x14ac:dyDescent="0.25">
      <c r="A3" s="6" t="s">
        <v>1</v>
      </c>
      <c r="B3" t="s">
        <v>2</v>
      </c>
    </row>
    <row r="4" spans="1:2" x14ac:dyDescent="0.25">
      <c r="A4" s="58" t="s">
        <v>12</v>
      </c>
      <c r="B4">
        <v>2</v>
      </c>
    </row>
    <row r="5" spans="1:2" x14ac:dyDescent="0.25">
      <c r="A5" s="58" t="s">
        <v>38</v>
      </c>
      <c r="B5">
        <v>1</v>
      </c>
    </row>
    <row r="6" spans="1:2" x14ac:dyDescent="0.25">
      <c r="A6" s="58" t="s">
        <v>39</v>
      </c>
      <c r="B6">
        <v>1</v>
      </c>
    </row>
    <row r="7" spans="1:2" x14ac:dyDescent="0.25">
      <c r="A7" s="58" t="s">
        <v>18</v>
      </c>
      <c r="B7">
        <v>1</v>
      </c>
    </row>
    <row r="8" spans="1:2" x14ac:dyDescent="0.25">
      <c r="A8" s="58" t="s">
        <v>40</v>
      </c>
      <c r="B8">
        <v>1</v>
      </c>
    </row>
    <row r="9" spans="1:2" x14ac:dyDescent="0.25">
      <c r="A9" s="58" t="s">
        <v>41</v>
      </c>
      <c r="B9">
        <v>1</v>
      </c>
    </row>
    <row r="10" spans="1:2" x14ac:dyDescent="0.25">
      <c r="A10" s="58" t="s">
        <v>42</v>
      </c>
      <c r="B10">
        <v>1</v>
      </c>
    </row>
    <row r="11" spans="1:2" x14ac:dyDescent="0.25">
      <c r="A11" s="58" t="s">
        <v>43</v>
      </c>
      <c r="B11">
        <v>1</v>
      </c>
    </row>
    <row r="12" spans="1:2" x14ac:dyDescent="0.25">
      <c r="A12" s="58" t="s">
        <v>44</v>
      </c>
      <c r="B12">
        <v>1</v>
      </c>
    </row>
    <row r="13" spans="1:2" x14ac:dyDescent="0.25">
      <c r="A13" s="58" t="s">
        <v>45</v>
      </c>
      <c r="B13">
        <v>1</v>
      </c>
    </row>
    <row r="14" spans="1:2" x14ac:dyDescent="0.25">
      <c r="A14" s="58" t="s">
        <v>46</v>
      </c>
      <c r="B14">
        <v>1</v>
      </c>
    </row>
    <row r="15" spans="1:2" x14ac:dyDescent="0.25">
      <c r="A15" s="58" t="s">
        <v>13</v>
      </c>
      <c r="B15">
        <v>3</v>
      </c>
    </row>
    <row r="16" spans="1:2" x14ac:dyDescent="0.25">
      <c r="A16" s="58" t="s">
        <v>47</v>
      </c>
      <c r="B16">
        <v>1</v>
      </c>
    </row>
    <row r="17" spans="1:2" x14ac:dyDescent="0.25">
      <c r="A17" s="58" t="s">
        <v>48</v>
      </c>
      <c r="B17">
        <v>1</v>
      </c>
    </row>
    <row r="18" spans="1:2" x14ac:dyDescent="0.25">
      <c r="A18" s="58" t="s">
        <v>49</v>
      </c>
      <c r="B18">
        <v>1</v>
      </c>
    </row>
    <row r="19" spans="1:2" x14ac:dyDescent="0.25">
      <c r="A19" s="58" t="s">
        <v>50</v>
      </c>
      <c r="B19">
        <v>2</v>
      </c>
    </row>
    <row r="20" spans="1:2" x14ac:dyDescent="0.25">
      <c r="A20" s="58" t="s">
        <v>51</v>
      </c>
      <c r="B20">
        <v>1</v>
      </c>
    </row>
    <row r="21" spans="1:2" x14ac:dyDescent="0.25">
      <c r="A21" s="58" t="s">
        <v>52</v>
      </c>
      <c r="B21">
        <v>1</v>
      </c>
    </row>
    <row r="22" spans="1:2" x14ac:dyDescent="0.25">
      <c r="A22" s="58" t="s">
        <v>53</v>
      </c>
      <c r="B22">
        <v>1</v>
      </c>
    </row>
    <row r="23" spans="1:2" x14ac:dyDescent="0.25">
      <c r="A23" s="58" t="s">
        <v>54</v>
      </c>
      <c r="B23">
        <v>1</v>
      </c>
    </row>
    <row r="24" spans="1:2" x14ac:dyDescent="0.25">
      <c r="A24" s="58" t="s">
        <v>55</v>
      </c>
      <c r="B24">
        <v>1</v>
      </c>
    </row>
    <row r="25" spans="1:2" x14ac:dyDescent="0.25">
      <c r="A25" s="58" t="s">
        <v>56</v>
      </c>
      <c r="B25">
        <v>1</v>
      </c>
    </row>
    <row r="26" spans="1:2" x14ac:dyDescent="0.25">
      <c r="A26" s="58" t="s">
        <v>57</v>
      </c>
      <c r="B26">
        <v>1</v>
      </c>
    </row>
    <row r="27" spans="1:2" x14ac:dyDescent="0.25">
      <c r="A27" s="58" t="s">
        <v>58</v>
      </c>
      <c r="B27">
        <v>1</v>
      </c>
    </row>
    <row r="28" spans="1:2" x14ac:dyDescent="0.25">
      <c r="A28" s="58" t="s">
        <v>59</v>
      </c>
      <c r="B28">
        <v>1</v>
      </c>
    </row>
    <row r="29" spans="1:2" x14ac:dyDescent="0.25">
      <c r="A29" s="58" t="s">
        <v>60</v>
      </c>
      <c r="B29">
        <v>1</v>
      </c>
    </row>
    <row r="30" spans="1:2" x14ac:dyDescent="0.25">
      <c r="A30" s="58" t="s">
        <v>61</v>
      </c>
      <c r="B30">
        <v>1</v>
      </c>
    </row>
    <row r="31" spans="1:2" x14ac:dyDescent="0.25">
      <c r="A31" s="58" t="s">
        <v>62</v>
      </c>
      <c r="B31">
        <v>1</v>
      </c>
    </row>
    <row r="32" spans="1:2" x14ac:dyDescent="0.25">
      <c r="A32" s="58" t="s">
        <v>63</v>
      </c>
      <c r="B32">
        <v>1</v>
      </c>
    </row>
    <row r="33" spans="1:2" x14ac:dyDescent="0.25">
      <c r="A33" s="58" t="s">
        <v>64</v>
      </c>
      <c r="B33">
        <v>1</v>
      </c>
    </row>
    <row r="34" spans="1:2" x14ac:dyDescent="0.25">
      <c r="A34" s="58" t="s">
        <v>65</v>
      </c>
      <c r="B34">
        <v>1</v>
      </c>
    </row>
    <row r="35" spans="1:2" x14ac:dyDescent="0.25">
      <c r="A35" s="58" t="s">
        <v>66</v>
      </c>
      <c r="B35">
        <v>1</v>
      </c>
    </row>
    <row r="36" spans="1:2" x14ac:dyDescent="0.25">
      <c r="A36" s="58" t="s">
        <v>67</v>
      </c>
      <c r="B36">
        <v>1</v>
      </c>
    </row>
    <row r="37" spans="1:2" x14ac:dyDescent="0.25">
      <c r="A37" s="58" t="s">
        <v>68</v>
      </c>
      <c r="B37">
        <v>1</v>
      </c>
    </row>
    <row r="38" spans="1:2" x14ac:dyDescent="0.25">
      <c r="A38" s="58" t="s">
        <v>69</v>
      </c>
      <c r="B38">
        <v>1</v>
      </c>
    </row>
    <row r="39" spans="1:2" x14ac:dyDescent="0.25">
      <c r="A39" s="58" t="s">
        <v>70</v>
      </c>
      <c r="B39">
        <v>1</v>
      </c>
    </row>
    <row r="40" spans="1:2" x14ac:dyDescent="0.25">
      <c r="A40" s="58" t="s">
        <v>71</v>
      </c>
      <c r="B40">
        <v>1</v>
      </c>
    </row>
    <row r="41" spans="1:2" x14ac:dyDescent="0.25">
      <c r="A41" s="58" t="s">
        <v>72</v>
      </c>
      <c r="B41">
        <v>1</v>
      </c>
    </row>
    <row r="42" spans="1:2" x14ac:dyDescent="0.25">
      <c r="A42" s="58" t="s">
        <v>73</v>
      </c>
      <c r="B42">
        <v>2</v>
      </c>
    </row>
    <row r="43" spans="1:2" x14ac:dyDescent="0.25">
      <c r="A43" s="58" t="s">
        <v>74</v>
      </c>
      <c r="B43">
        <v>1</v>
      </c>
    </row>
    <row r="44" spans="1:2" x14ac:dyDescent="0.25">
      <c r="A44" s="58" t="s">
        <v>75</v>
      </c>
      <c r="B44">
        <v>1</v>
      </c>
    </row>
    <row r="45" spans="1:2" x14ac:dyDescent="0.25">
      <c r="A45" s="58" t="s">
        <v>76</v>
      </c>
      <c r="B45">
        <v>1</v>
      </c>
    </row>
    <row r="46" spans="1:2" x14ac:dyDescent="0.25">
      <c r="A46" s="58" t="s">
        <v>77</v>
      </c>
      <c r="B46">
        <v>1</v>
      </c>
    </row>
    <row r="47" spans="1:2" x14ac:dyDescent="0.25">
      <c r="A47" s="58" t="s">
        <v>78</v>
      </c>
      <c r="B47">
        <v>1</v>
      </c>
    </row>
    <row r="48" spans="1:2" x14ac:dyDescent="0.25">
      <c r="A48" s="58" t="s">
        <v>3</v>
      </c>
      <c r="B48">
        <v>2</v>
      </c>
    </row>
    <row r="49" spans="1:2" x14ac:dyDescent="0.25">
      <c r="A49" s="58" t="s">
        <v>79</v>
      </c>
      <c r="B49">
        <v>1</v>
      </c>
    </row>
    <row r="50" spans="1:2" x14ac:dyDescent="0.25">
      <c r="A50" s="58" t="s">
        <v>4</v>
      </c>
      <c r="B50">
        <v>22</v>
      </c>
    </row>
    <row r="51" spans="1:2" x14ac:dyDescent="0.25">
      <c r="A51" s="58" t="s">
        <v>80</v>
      </c>
      <c r="B51">
        <v>1</v>
      </c>
    </row>
    <row r="52" spans="1:2" x14ac:dyDescent="0.25">
      <c r="A52" s="58" t="s">
        <v>81</v>
      </c>
      <c r="B52">
        <v>1</v>
      </c>
    </row>
    <row r="53" spans="1:2" x14ac:dyDescent="0.25">
      <c r="A53" s="58" t="s">
        <v>82</v>
      </c>
      <c r="B53">
        <v>1</v>
      </c>
    </row>
    <row r="54" spans="1:2" x14ac:dyDescent="0.25">
      <c r="A54" s="58" t="s">
        <v>83</v>
      </c>
      <c r="B54">
        <v>1</v>
      </c>
    </row>
    <row r="55" spans="1:2" x14ac:dyDescent="0.25">
      <c r="A55" s="58" t="s">
        <v>84</v>
      </c>
      <c r="B55">
        <v>1</v>
      </c>
    </row>
    <row r="56" spans="1:2" x14ac:dyDescent="0.25">
      <c r="A56" s="58" t="s">
        <v>85</v>
      </c>
      <c r="B56">
        <v>1</v>
      </c>
    </row>
    <row r="57" spans="1:2" x14ac:dyDescent="0.25">
      <c r="A57" s="58" t="s">
        <v>86</v>
      </c>
      <c r="B57">
        <v>1</v>
      </c>
    </row>
    <row r="58" spans="1:2" x14ac:dyDescent="0.25">
      <c r="A58" s="58" t="s">
        <v>87</v>
      </c>
      <c r="B58">
        <v>6</v>
      </c>
    </row>
    <row r="59" spans="1:2" x14ac:dyDescent="0.25">
      <c r="A59" s="58" t="s">
        <v>88</v>
      </c>
      <c r="B59">
        <v>1</v>
      </c>
    </row>
    <row r="60" spans="1:2" x14ac:dyDescent="0.25">
      <c r="A60" s="58" t="s">
        <v>89</v>
      </c>
      <c r="B60">
        <v>1</v>
      </c>
    </row>
    <row r="61" spans="1:2" x14ac:dyDescent="0.25">
      <c r="A61" s="58" t="s">
        <v>90</v>
      </c>
      <c r="B61">
        <v>2</v>
      </c>
    </row>
    <row r="62" spans="1:2" x14ac:dyDescent="0.25">
      <c r="A62" s="58" t="s">
        <v>91</v>
      </c>
      <c r="B62">
        <v>1</v>
      </c>
    </row>
    <row r="63" spans="1:2" x14ac:dyDescent="0.25">
      <c r="A63" s="58" t="s">
        <v>92</v>
      </c>
      <c r="B63">
        <v>1</v>
      </c>
    </row>
    <row r="64" spans="1:2" x14ac:dyDescent="0.25">
      <c r="A64" s="58" t="s">
        <v>93</v>
      </c>
      <c r="B64">
        <v>1</v>
      </c>
    </row>
    <row r="65" spans="1:2" x14ac:dyDescent="0.25">
      <c r="A65" s="58" t="s">
        <v>94</v>
      </c>
      <c r="B65">
        <v>4</v>
      </c>
    </row>
    <row r="66" spans="1:2" x14ac:dyDescent="0.25">
      <c r="A66" s="58" t="s">
        <v>95</v>
      </c>
      <c r="B66">
        <v>1</v>
      </c>
    </row>
    <row r="67" spans="1:2" x14ac:dyDescent="0.25">
      <c r="A67" s="58" t="s">
        <v>5</v>
      </c>
      <c r="B67">
        <v>5</v>
      </c>
    </row>
    <row r="68" spans="1:2" x14ac:dyDescent="0.25">
      <c r="A68" s="58" t="s">
        <v>96</v>
      </c>
      <c r="B68">
        <v>1</v>
      </c>
    </row>
    <row r="69" spans="1:2" x14ac:dyDescent="0.25">
      <c r="A69" s="58" t="s">
        <v>97</v>
      </c>
      <c r="B69">
        <v>1</v>
      </c>
    </row>
    <row r="70" spans="1:2" x14ac:dyDescent="0.25">
      <c r="A70" s="58" t="s">
        <v>98</v>
      </c>
      <c r="B70">
        <v>1</v>
      </c>
    </row>
    <row r="71" spans="1:2" x14ac:dyDescent="0.25">
      <c r="A71" s="58" t="s">
        <v>99</v>
      </c>
      <c r="B71">
        <v>1</v>
      </c>
    </row>
    <row r="72" spans="1:2" x14ac:dyDescent="0.25">
      <c r="A72" s="58" t="s">
        <v>100</v>
      </c>
      <c r="B72">
        <v>1</v>
      </c>
    </row>
    <row r="73" spans="1:2" x14ac:dyDescent="0.25">
      <c r="A73" s="58" t="s">
        <v>101</v>
      </c>
      <c r="B73">
        <v>1</v>
      </c>
    </row>
    <row r="74" spans="1:2" x14ac:dyDescent="0.25">
      <c r="A74" s="58" t="s">
        <v>102</v>
      </c>
      <c r="B74">
        <v>3</v>
      </c>
    </row>
    <row r="75" spans="1:2" x14ac:dyDescent="0.25">
      <c r="A75" s="58" t="s">
        <v>103</v>
      </c>
      <c r="B75">
        <v>1</v>
      </c>
    </row>
    <row r="76" spans="1:2" x14ac:dyDescent="0.25">
      <c r="A76" s="58" t="s">
        <v>104</v>
      </c>
      <c r="B76">
        <v>1</v>
      </c>
    </row>
    <row r="77" spans="1:2" x14ac:dyDescent="0.25">
      <c r="A77" s="58" t="s">
        <v>9</v>
      </c>
      <c r="B77">
        <v>1</v>
      </c>
    </row>
    <row r="78" spans="1:2" x14ac:dyDescent="0.25">
      <c r="A78" s="58" t="s">
        <v>105</v>
      </c>
      <c r="B78">
        <v>1</v>
      </c>
    </row>
    <row r="79" spans="1:2" x14ac:dyDescent="0.25">
      <c r="A79" s="58" t="s">
        <v>106</v>
      </c>
      <c r="B79">
        <v>1</v>
      </c>
    </row>
    <row r="80" spans="1:2" x14ac:dyDescent="0.25">
      <c r="A80" s="58" t="s">
        <v>107</v>
      </c>
      <c r="B80">
        <v>1</v>
      </c>
    </row>
    <row r="81" spans="1:2" x14ac:dyDescent="0.25">
      <c r="A81" s="58" t="s">
        <v>108</v>
      </c>
      <c r="B81">
        <v>1</v>
      </c>
    </row>
    <row r="82" spans="1:2" x14ac:dyDescent="0.25">
      <c r="A82" s="58" t="s">
        <v>109</v>
      </c>
      <c r="B82">
        <v>2</v>
      </c>
    </row>
    <row r="83" spans="1:2" hidden="1" x14ac:dyDescent="0.25">
      <c r="A83" s="58" t="s">
        <v>30</v>
      </c>
    </row>
    <row r="84" spans="1:2" x14ac:dyDescent="0.25">
      <c r="A84" s="58" t="s">
        <v>36</v>
      </c>
      <c r="B84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157"/>
  <sheetViews>
    <sheetView showGridLines="0" tabSelected="1" zoomScaleNormal="100" workbookViewId="0">
      <selection activeCell="C16" sqref="C16"/>
    </sheetView>
  </sheetViews>
  <sheetFormatPr defaultColWidth="11.44140625" defaultRowHeight="13.2" x14ac:dyDescent="0.25"/>
  <cols>
    <col min="1" max="1" width="11.88671875" style="4" customWidth="1"/>
    <col min="2" max="2" width="23.5546875" customWidth="1"/>
    <col min="3" max="3" width="66" style="27" customWidth="1"/>
    <col min="4" max="4" width="21.6640625" style="4" customWidth="1"/>
    <col min="5" max="5" width="25.5546875" style="4" customWidth="1"/>
    <col min="6" max="6" width="26.88671875" style="4" customWidth="1"/>
    <col min="7" max="7" width="52" customWidth="1"/>
    <col min="8" max="8" width="3.88671875" customWidth="1"/>
    <col min="9" max="13" width="22" customWidth="1"/>
  </cols>
  <sheetData>
    <row r="2" spans="1:9" ht="21" customHeight="1" x14ac:dyDescent="0.25">
      <c r="A2" s="32" t="s">
        <v>110</v>
      </c>
    </row>
    <row r="3" spans="1:9" x14ac:dyDescent="0.25">
      <c r="A3" s="33" t="s">
        <v>111</v>
      </c>
      <c r="B3" s="28"/>
      <c r="C3" s="29"/>
      <c r="D3" s="30"/>
      <c r="E3" s="30"/>
      <c r="F3" s="30"/>
      <c r="G3" s="28"/>
    </row>
    <row r="4" spans="1:9" x14ac:dyDescent="0.25">
      <c r="A4" s="31"/>
    </row>
    <row r="5" spans="1:9" x14ac:dyDescent="0.25">
      <c r="A5" s="68" t="s">
        <v>112</v>
      </c>
      <c r="B5" s="67"/>
      <c r="C5" s="69"/>
    </row>
    <row r="6" spans="1:9" x14ac:dyDescent="0.25">
      <c r="A6" s="68" t="s">
        <v>113</v>
      </c>
      <c r="B6" s="67"/>
      <c r="C6" s="69"/>
    </row>
    <row r="7" spans="1:9" x14ac:dyDescent="0.25">
      <c r="A7" s="58"/>
    </row>
    <row r="8" spans="1:9" x14ac:dyDescent="0.25">
      <c r="A8" s="58"/>
    </row>
    <row r="9" spans="1:9" x14ac:dyDescent="0.25">
      <c r="A9" s="54" t="s">
        <v>114</v>
      </c>
      <c r="B9" s="57" t="s">
        <v>115</v>
      </c>
      <c r="C9" s="44" t="s">
        <v>116</v>
      </c>
      <c r="D9" s="57" t="s">
        <v>117</v>
      </c>
      <c r="E9" s="57" t="s">
        <v>118</v>
      </c>
      <c r="F9" s="57" t="s">
        <v>119</v>
      </c>
      <c r="G9" s="45" t="s">
        <v>120</v>
      </c>
      <c r="I9" s="59" t="s">
        <v>121</v>
      </c>
    </row>
    <row r="10" spans="1:9" ht="12.6" customHeight="1" x14ac:dyDescent="0.25">
      <c r="A10" s="54">
        <v>1</v>
      </c>
      <c r="B10" s="57" t="s">
        <v>12</v>
      </c>
      <c r="C10" s="46" t="s">
        <v>122</v>
      </c>
      <c r="D10" s="47">
        <v>12</v>
      </c>
      <c r="E10" s="47" t="s">
        <v>123</v>
      </c>
      <c r="F10" s="47" t="s">
        <v>124</v>
      </c>
      <c r="G10" s="57"/>
      <c r="I10" s="60" t="s">
        <v>125</v>
      </c>
    </row>
    <row r="11" spans="1:9" ht="12.6" customHeight="1" x14ac:dyDescent="0.25">
      <c r="A11" s="54">
        <f t="shared" ref="A11:A42" si="0">A10+1</f>
        <v>2</v>
      </c>
      <c r="B11" s="57" t="s">
        <v>12</v>
      </c>
      <c r="C11" s="46" t="s">
        <v>126</v>
      </c>
      <c r="D11" s="47">
        <v>4</v>
      </c>
      <c r="E11" s="47" t="s">
        <v>123</v>
      </c>
      <c r="F11" s="47" t="s">
        <v>124</v>
      </c>
      <c r="G11" s="57"/>
      <c r="I11" s="60" t="s">
        <v>125</v>
      </c>
    </row>
    <row r="12" spans="1:9" ht="12.6" customHeight="1" x14ac:dyDescent="0.25">
      <c r="A12" s="54">
        <f t="shared" si="0"/>
        <v>3</v>
      </c>
      <c r="B12" s="57" t="s">
        <v>12</v>
      </c>
      <c r="C12" s="46" t="s">
        <v>127</v>
      </c>
      <c r="D12" s="47">
        <v>4</v>
      </c>
      <c r="E12" s="47" t="s">
        <v>123</v>
      </c>
      <c r="F12" s="47" t="s">
        <v>124</v>
      </c>
      <c r="G12" s="57"/>
      <c r="I12" s="60" t="s">
        <v>125</v>
      </c>
    </row>
    <row r="13" spans="1:9" ht="12.6" customHeight="1" x14ac:dyDescent="0.25">
      <c r="A13" s="54">
        <f t="shared" si="0"/>
        <v>4</v>
      </c>
      <c r="B13" s="57" t="s">
        <v>14</v>
      </c>
      <c r="C13" s="46" t="s">
        <v>128</v>
      </c>
      <c r="D13" s="47" t="s">
        <v>129</v>
      </c>
      <c r="E13" s="47" t="s">
        <v>130</v>
      </c>
      <c r="F13" s="47" t="s">
        <v>124</v>
      </c>
      <c r="G13" s="57"/>
      <c r="I13" s="61" t="s">
        <v>131</v>
      </c>
    </row>
    <row r="14" spans="1:9" ht="12.6" customHeight="1" x14ac:dyDescent="0.25">
      <c r="A14" s="54">
        <f t="shared" si="0"/>
        <v>5</v>
      </c>
      <c r="B14" s="57" t="s">
        <v>14</v>
      </c>
      <c r="C14" s="46" t="s">
        <v>132</v>
      </c>
      <c r="D14" s="47" t="s">
        <v>129</v>
      </c>
      <c r="E14" s="47" t="s">
        <v>133</v>
      </c>
      <c r="F14" s="47" t="s">
        <v>124</v>
      </c>
      <c r="G14" s="57"/>
      <c r="I14" s="61" t="s">
        <v>131</v>
      </c>
    </row>
    <row r="15" spans="1:9" ht="12.6" customHeight="1" x14ac:dyDescent="0.25">
      <c r="A15" s="54">
        <f t="shared" si="0"/>
        <v>6</v>
      </c>
      <c r="B15" s="57" t="s">
        <v>18</v>
      </c>
      <c r="C15" s="46" t="s">
        <v>134</v>
      </c>
      <c r="D15" s="47">
        <v>16</v>
      </c>
      <c r="E15" s="47" t="s">
        <v>123</v>
      </c>
      <c r="F15" s="47" t="s">
        <v>135</v>
      </c>
      <c r="G15" s="57"/>
      <c r="I15" s="61" t="s">
        <v>131</v>
      </c>
    </row>
    <row r="16" spans="1:9" ht="12.6" customHeight="1" x14ac:dyDescent="0.25">
      <c r="A16" s="54">
        <f t="shared" si="0"/>
        <v>7</v>
      </c>
      <c r="B16" s="47" t="s">
        <v>19</v>
      </c>
      <c r="C16" s="46" t="s">
        <v>136</v>
      </c>
      <c r="D16" s="47">
        <v>4</v>
      </c>
      <c r="E16" s="47" t="s">
        <v>137</v>
      </c>
      <c r="F16" s="47" t="s">
        <v>138</v>
      </c>
      <c r="G16" s="57"/>
      <c r="I16" s="60" t="s">
        <v>125</v>
      </c>
    </row>
    <row r="17" spans="1:9" ht="12.6" customHeight="1" x14ac:dyDescent="0.25">
      <c r="A17" s="54">
        <f t="shared" si="0"/>
        <v>8</v>
      </c>
      <c r="B17" s="57" t="s">
        <v>13</v>
      </c>
      <c r="C17" s="46" t="s">
        <v>139</v>
      </c>
      <c r="D17" s="47">
        <v>8</v>
      </c>
      <c r="E17" s="47" t="s">
        <v>123</v>
      </c>
      <c r="F17" s="47" t="s">
        <v>124</v>
      </c>
      <c r="G17" s="57"/>
      <c r="I17" s="61" t="s">
        <v>131</v>
      </c>
    </row>
    <row r="18" spans="1:9" ht="12.6" customHeight="1" x14ac:dyDescent="0.25">
      <c r="A18" s="54">
        <f t="shared" si="0"/>
        <v>9</v>
      </c>
      <c r="B18" s="57" t="s">
        <v>13</v>
      </c>
      <c r="C18" s="46" t="s">
        <v>140</v>
      </c>
      <c r="D18" s="47">
        <v>10</v>
      </c>
      <c r="E18" s="47" t="s">
        <v>123</v>
      </c>
      <c r="F18" s="47" t="s">
        <v>124</v>
      </c>
      <c r="G18" s="57"/>
      <c r="I18" s="61" t="s">
        <v>131</v>
      </c>
    </row>
    <row r="19" spans="1:9" ht="12.6" customHeight="1" x14ac:dyDescent="0.25">
      <c r="A19" s="54">
        <f t="shared" si="0"/>
        <v>10</v>
      </c>
      <c r="B19" s="57" t="s">
        <v>13</v>
      </c>
      <c r="C19" s="46" t="s">
        <v>141</v>
      </c>
      <c r="D19" s="47">
        <v>2</v>
      </c>
      <c r="E19" s="47" t="s">
        <v>123</v>
      </c>
      <c r="F19" s="47" t="s">
        <v>124</v>
      </c>
      <c r="G19" s="57"/>
      <c r="I19" s="61" t="s">
        <v>131</v>
      </c>
    </row>
    <row r="20" spans="1:9" ht="12.6" customHeight="1" x14ac:dyDescent="0.25">
      <c r="A20" s="54">
        <f t="shared" si="0"/>
        <v>11</v>
      </c>
      <c r="B20" s="57" t="s">
        <v>20</v>
      </c>
      <c r="C20" s="46" t="s">
        <v>142</v>
      </c>
      <c r="D20" s="47">
        <v>5</v>
      </c>
      <c r="E20" s="47" t="s">
        <v>123</v>
      </c>
      <c r="F20" s="47" t="s">
        <v>124</v>
      </c>
      <c r="G20" s="57"/>
      <c r="I20" s="60" t="s">
        <v>125</v>
      </c>
    </row>
    <row r="21" spans="1:9" ht="12.6" customHeight="1" x14ac:dyDescent="0.25">
      <c r="A21" s="54">
        <f t="shared" si="0"/>
        <v>12</v>
      </c>
      <c r="B21" s="57" t="s">
        <v>11</v>
      </c>
      <c r="C21" s="46" t="s">
        <v>143</v>
      </c>
      <c r="D21" s="47">
        <v>4</v>
      </c>
      <c r="E21" s="47" t="s">
        <v>144</v>
      </c>
      <c r="F21" s="47" t="s">
        <v>138</v>
      </c>
      <c r="G21" s="57"/>
      <c r="I21" s="61" t="s">
        <v>131</v>
      </c>
    </row>
    <row r="22" spans="1:9" ht="12.6" customHeight="1" x14ac:dyDescent="0.25">
      <c r="A22" s="54">
        <f t="shared" si="0"/>
        <v>13</v>
      </c>
      <c r="B22" s="57" t="s">
        <v>11</v>
      </c>
      <c r="C22" s="46" t="s">
        <v>145</v>
      </c>
      <c r="D22" s="47">
        <v>36</v>
      </c>
      <c r="E22" s="47" t="s">
        <v>123</v>
      </c>
      <c r="F22" s="47" t="s">
        <v>124</v>
      </c>
      <c r="G22" s="57"/>
      <c r="I22" s="61" t="s">
        <v>131</v>
      </c>
    </row>
    <row r="23" spans="1:9" ht="12.6" customHeight="1" x14ac:dyDescent="0.25">
      <c r="A23" s="54">
        <f t="shared" si="0"/>
        <v>14</v>
      </c>
      <c r="B23" s="57" t="s">
        <v>11</v>
      </c>
      <c r="C23" s="46" t="s">
        <v>146</v>
      </c>
      <c r="D23" s="47">
        <v>13</v>
      </c>
      <c r="E23" s="47" t="s">
        <v>123</v>
      </c>
      <c r="F23" s="47" t="s">
        <v>124</v>
      </c>
      <c r="G23" s="57"/>
      <c r="I23" s="61" t="s">
        <v>131</v>
      </c>
    </row>
    <row r="24" spans="1:9" ht="12.6" customHeight="1" x14ac:dyDescent="0.25">
      <c r="A24" s="54">
        <f t="shared" si="0"/>
        <v>15</v>
      </c>
      <c r="B24" s="57" t="s">
        <v>11</v>
      </c>
      <c r="C24" s="46" t="s">
        <v>147</v>
      </c>
      <c r="D24" s="47">
        <v>4</v>
      </c>
      <c r="E24" s="47" t="s">
        <v>148</v>
      </c>
      <c r="F24" s="47" t="s">
        <v>124</v>
      </c>
      <c r="G24" s="57"/>
      <c r="I24" s="61" t="s">
        <v>131</v>
      </c>
    </row>
    <row r="25" spans="1:9" ht="12.6" customHeight="1" x14ac:dyDescent="0.25">
      <c r="A25" s="54">
        <f t="shared" si="0"/>
        <v>16</v>
      </c>
      <c r="B25" s="57" t="s">
        <v>17</v>
      </c>
      <c r="C25" s="46" t="s">
        <v>149</v>
      </c>
      <c r="D25" s="47">
        <v>5</v>
      </c>
      <c r="E25" s="47" t="s">
        <v>135</v>
      </c>
      <c r="F25" s="47" t="s">
        <v>135</v>
      </c>
      <c r="G25" s="57"/>
      <c r="I25" s="62" t="s">
        <v>150</v>
      </c>
    </row>
    <row r="26" spans="1:9" ht="12.6" customHeight="1" x14ac:dyDescent="0.25">
      <c r="A26" s="54">
        <f t="shared" si="0"/>
        <v>17</v>
      </c>
      <c r="B26" s="57" t="s">
        <v>21</v>
      </c>
      <c r="C26" s="46" t="s">
        <v>151</v>
      </c>
      <c r="D26" s="47">
        <v>2</v>
      </c>
      <c r="E26" s="47" t="s">
        <v>123</v>
      </c>
      <c r="F26" s="47" t="s">
        <v>135</v>
      </c>
      <c r="G26" s="57"/>
      <c r="I26" s="60" t="s">
        <v>125</v>
      </c>
    </row>
    <row r="27" spans="1:9" ht="12.6" customHeight="1" x14ac:dyDescent="0.25">
      <c r="A27" s="54">
        <f t="shared" si="0"/>
        <v>18</v>
      </c>
      <c r="B27" s="57" t="s">
        <v>22</v>
      </c>
      <c r="C27" s="46" t="s">
        <v>152</v>
      </c>
      <c r="D27" s="47">
        <v>210</v>
      </c>
      <c r="E27" s="47" t="s">
        <v>153</v>
      </c>
      <c r="F27" s="47" t="s">
        <v>135</v>
      </c>
      <c r="G27" s="57"/>
      <c r="I27" s="60" t="s">
        <v>125</v>
      </c>
    </row>
    <row r="28" spans="1:9" ht="12.6" customHeight="1" x14ac:dyDescent="0.25">
      <c r="A28" s="54">
        <f t="shared" si="0"/>
        <v>19</v>
      </c>
      <c r="B28" s="57" t="s">
        <v>23</v>
      </c>
      <c r="C28" s="46" t="s">
        <v>154</v>
      </c>
      <c r="D28" s="47">
        <v>435</v>
      </c>
      <c r="E28" s="47" t="s">
        <v>153</v>
      </c>
      <c r="F28" s="47" t="s">
        <v>135</v>
      </c>
      <c r="G28" s="57"/>
      <c r="I28" s="60" t="s">
        <v>125</v>
      </c>
    </row>
    <row r="29" spans="1:9" ht="12.6" customHeight="1" x14ac:dyDescent="0.25">
      <c r="A29" s="54">
        <f t="shared" si="0"/>
        <v>20</v>
      </c>
      <c r="B29" s="57" t="s">
        <v>3</v>
      </c>
      <c r="C29" s="46" t="s">
        <v>155</v>
      </c>
      <c r="D29" s="48">
        <v>7</v>
      </c>
      <c r="E29" s="47" t="s">
        <v>156</v>
      </c>
      <c r="F29" s="47" t="s">
        <v>124</v>
      </c>
      <c r="G29" s="57"/>
      <c r="I29" s="61" t="s">
        <v>131</v>
      </c>
    </row>
    <row r="30" spans="1:9" ht="12.6" customHeight="1" x14ac:dyDescent="0.25">
      <c r="A30" s="54">
        <f t="shared" si="0"/>
        <v>21</v>
      </c>
      <c r="B30" s="57" t="s">
        <v>3</v>
      </c>
      <c r="C30" s="46" t="s">
        <v>157</v>
      </c>
      <c r="D30" s="48">
        <v>5</v>
      </c>
      <c r="E30" s="47" t="s">
        <v>156</v>
      </c>
      <c r="F30" s="47" t="s">
        <v>124</v>
      </c>
      <c r="G30" s="57"/>
      <c r="I30" s="61" t="s">
        <v>131</v>
      </c>
    </row>
    <row r="31" spans="1:9" ht="12.6" customHeight="1" x14ac:dyDescent="0.25">
      <c r="A31" s="54">
        <f t="shared" si="0"/>
        <v>22</v>
      </c>
      <c r="B31" s="57" t="s">
        <v>3</v>
      </c>
      <c r="C31" s="46" t="s">
        <v>158</v>
      </c>
      <c r="D31" s="48">
        <v>5</v>
      </c>
      <c r="E31" s="47" t="s">
        <v>156</v>
      </c>
      <c r="F31" s="47" t="s">
        <v>124</v>
      </c>
      <c r="G31" s="57"/>
      <c r="I31" s="61" t="s">
        <v>131</v>
      </c>
    </row>
    <row r="32" spans="1:9" ht="12.6" customHeight="1" x14ac:dyDescent="0.25">
      <c r="A32" s="54">
        <f t="shared" si="0"/>
        <v>23</v>
      </c>
      <c r="B32" s="57" t="s">
        <v>3</v>
      </c>
      <c r="C32" s="46" t="s">
        <v>159</v>
      </c>
      <c r="D32" s="48">
        <v>4</v>
      </c>
      <c r="E32" s="47" t="s">
        <v>156</v>
      </c>
      <c r="F32" s="47" t="s">
        <v>124</v>
      </c>
      <c r="G32" s="57"/>
      <c r="I32" s="61" t="s">
        <v>131</v>
      </c>
    </row>
    <row r="33" spans="1:9" ht="12.6" customHeight="1" x14ac:dyDescent="0.25">
      <c r="A33" s="54">
        <f t="shared" si="0"/>
        <v>24</v>
      </c>
      <c r="B33" s="57" t="s">
        <v>3</v>
      </c>
      <c r="C33" s="46" t="s">
        <v>160</v>
      </c>
      <c r="D33" s="48">
        <v>3</v>
      </c>
      <c r="E33" s="47" t="s">
        <v>156</v>
      </c>
      <c r="F33" s="47" t="s">
        <v>124</v>
      </c>
      <c r="G33" s="57"/>
      <c r="I33" s="61" t="s">
        <v>131</v>
      </c>
    </row>
    <row r="34" spans="1:9" ht="12.6" customHeight="1" x14ac:dyDescent="0.25">
      <c r="A34" s="54">
        <f t="shared" si="0"/>
        <v>25</v>
      </c>
      <c r="B34" s="57" t="s">
        <v>3</v>
      </c>
      <c r="C34" s="46" t="s">
        <v>161</v>
      </c>
      <c r="D34" s="48">
        <v>3</v>
      </c>
      <c r="E34" s="47" t="s">
        <v>156</v>
      </c>
      <c r="F34" s="47" t="s">
        <v>124</v>
      </c>
      <c r="G34" s="57"/>
      <c r="I34" s="61" t="s">
        <v>131</v>
      </c>
    </row>
    <row r="35" spans="1:9" ht="12.6" customHeight="1" x14ac:dyDescent="0.25">
      <c r="A35" s="54">
        <f t="shared" si="0"/>
        <v>26</v>
      </c>
      <c r="B35" s="57" t="s">
        <v>3</v>
      </c>
      <c r="C35" s="46" t="s">
        <v>162</v>
      </c>
      <c r="D35" s="48">
        <v>3</v>
      </c>
      <c r="E35" s="47" t="s">
        <v>156</v>
      </c>
      <c r="F35" s="47" t="s">
        <v>124</v>
      </c>
      <c r="G35" s="57"/>
      <c r="I35" s="61" t="s">
        <v>131</v>
      </c>
    </row>
    <row r="36" spans="1:9" ht="12.6" customHeight="1" x14ac:dyDescent="0.25">
      <c r="A36" s="54">
        <f t="shared" si="0"/>
        <v>27</v>
      </c>
      <c r="B36" s="57" t="s">
        <v>3</v>
      </c>
      <c r="C36" s="46" t="s">
        <v>163</v>
      </c>
      <c r="D36" s="48">
        <v>2</v>
      </c>
      <c r="E36" s="47" t="s">
        <v>156</v>
      </c>
      <c r="F36" s="47" t="s">
        <v>124</v>
      </c>
      <c r="G36" s="57"/>
      <c r="I36" s="61" t="s">
        <v>131</v>
      </c>
    </row>
    <row r="37" spans="1:9" ht="12.6" customHeight="1" x14ac:dyDescent="0.25">
      <c r="A37" s="54">
        <f t="shared" si="0"/>
        <v>28</v>
      </c>
      <c r="B37" s="57" t="s">
        <v>3</v>
      </c>
      <c r="C37" s="46" t="s">
        <v>164</v>
      </c>
      <c r="D37" s="48">
        <v>2</v>
      </c>
      <c r="E37" s="47" t="s">
        <v>156</v>
      </c>
      <c r="F37" s="47" t="s">
        <v>124</v>
      </c>
      <c r="G37" s="57"/>
      <c r="I37" s="61" t="s">
        <v>131</v>
      </c>
    </row>
    <row r="38" spans="1:9" ht="12.6" customHeight="1" x14ac:dyDescent="0.25">
      <c r="A38" s="54">
        <f t="shared" si="0"/>
        <v>29</v>
      </c>
      <c r="B38" s="57" t="s">
        <v>3</v>
      </c>
      <c r="C38" s="46" t="s">
        <v>165</v>
      </c>
      <c r="D38" s="48">
        <v>2</v>
      </c>
      <c r="E38" s="47" t="s">
        <v>156</v>
      </c>
      <c r="F38" s="47" t="s">
        <v>124</v>
      </c>
      <c r="G38" s="57"/>
      <c r="I38" s="61" t="s">
        <v>131</v>
      </c>
    </row>
    <row r="39" spans="1:9" ht="12.6" customHeight="1" x14ac:dyDescent="0.25">
      <c r="A39" s="54">
        <f t="shared" si="0"/>
        <v>30</v>
      </c>
      <c r="B39" s="57" t="s">
        <v>3</v>
      </c>
      <c r="C39" s="46" t="s">
        <v>166</v>
      </c>
      <c r="D39" s="48">
        <v>2</v>
      </c>
      <c r="E39" s="47" t="s">
        <v>156</v>
      </c>
      <c r="F39" s="47" t="s">
        <v>124</v>
      </c>
      <c r="G39" s="57"/>
      <c r="I39" s="61" t="s">
        <v>131</v>
      </c>
    </row>
    <row r="40" spans="1:9" ht="12.6" customHeight="1" x14ac:dyDescent="0.25">
      <c r="A40" s="54">
        <f t="shared" si="0"/>
        <v>31</v>
      </c>
      <c r="B40" s="57" t="s">
        <v>3</v>
      </c>
      <c r="C40" s="46" t="s">
        <v>167</v>
      </c>
      <c r="D40" s="48">
        <v>2</v>
      </c>
      <c r="E40" s="47" t="s">
        <v>156</v>
      </c>
      <c r="F40" s="47" t="s">
        <v>124</v>
      </c>
      <c r="G40" s="57"/>
      <c r="I40" s="61" t="s">
        <v>131</v>
      </c>
    </row>
    <row r="41" spans="1:9" ht="12.6" customHeight="1" x14ac:dyDescent="0.25">
      <c r="A41" s="54">
        <f t="shared" si="0"/>
        <v>32</v>
      </c>
      <c r="B41" s="57" t="s">
        <v>3</v>
      </c>
      <c r="C41" s="46" t="s">
        <v>168</v>
      </c>
      <c r="D41" s="48">
        <v>2</v>
      </c>
      <c r="E41" s="47" t="s">
        <v>156</v>
      </c>
      <c r="F41" s="47" t="s">
        <v>124</v>
      </c>
      <c r="G41" s="57"/>
      <c r="I41" s="61" t="s">
        <v>131</v>
      </c>
    </row>
    <row r="42" spans="1:9" ht="12.6" customHeight="1" x14ac:dyDescent="0.25">
      <c r="A42" s="54">
        <f t="shared" si="0"/>
        <v>33</v>
      </c>
      <c r="B42" s="57" t="s">
        <v>3</v>
      </c>
      <c r="C42" s="46" t="s">
        <v>169</v>
      </c>
      <c r="D42" s="48">
        <v>1</v>
      </c>
      <c r="E42" s="47" t="s">
        <v>156</v>
      </c>
      <c r="F42" s="47" t="s">
        <v>124</v>
      </c>
      <c r="G42" s="57"/>
      <c r="I42" s="61" t="s">
        <v>131</v>
      </c>
    </row>
    <row r="43" spans="1:9" ht="12.6" customHeight="1" x14ac:dyDescent="0.25">
      <c r="A43" s="54">
        <f t="shared" ref="A43:A74" si="1">A42+1</f>
        <v>34</v>
      </c>
      <c r="B43" s="57" t="s">
        <v>3</v>
      </c>
      <c r="C43" s="46" t="s">
        <v>170</v>
      </c>
      <c r="D43" s="48">
        <v>1</v>
      </c>
      <c r="E43" s="47" t="s">
        <v>156</v>
      </c>
      <c r="F43" s="47" t="s">
        <v>124</v>
      </c>
      <c r="G43" s="57"/>
      <c r="I43" s="61" t="s">
        <v>131</v>
      </c>
    </row>
    <row r="44" spans="1:9" ht="12.6" customHeight="1" x14ac:dyDescent="0.25">
      <c r="A44" s="54">
        <f t="shared" si="1"/>
        <v>35</v>
      </c>
      <c r="B44" s="57" t="s">
        <v>3</v>
      </c>
      <c r="C44" s="46" t="s">
        <v>171</v>
      </c>
      <c r="D44" s="48">
        <v>1</v>
      </c>
      <c r="E44" s="47" t="s">
        <v>156</v>
      </c>
      <c r="F44" s="47" t="s">
        <v>124</v>
      </c>
      <c r="G44" s="57"/>
      <c r="I44" s="61" t="s">
        <v>131</v>
      </c>
    </row>
    <row r="45" spans="1:9" ht="12.6" customHeight="1" x14ac:dyDescent="0.25">
      <c r="A45" s="54">
        <f t="shared" si="1"/>
        <v>36</v>
      </c>
      <c r="B45" s="57" t="s">
        <v>3</v>
      </c>
      <c r="C45" s="46" t="s">
        <v>172</v>
      </c>
      <c r="D45" s="48">
        <v>1</v>
      </c>
      <c r="E45" s="47" t="s">
        <v>156</v>
      </c>
      <c r="F45" s="47" t="s">
        <v>124</v>
      </c>
      <c r="G45" s="57"/>
      <c r="I45" s="61" t="s">
        <v>131</v>
      </c>
    </row>
    <row r="46" spans="1:9" ht="12.6" customHeight="1" x14ac:dyDescent="0.25">
      <c r="A46" s="54">
        <f t="shared" si="1"/>
        <v>37</v>
      </c>
      <c r="B46" s="57" t="s">
        <v>3</v>
      </c>
      <c r="C46" s="46" t="s">
        <v>173</v>
      </c>
      <c r="D46" s="48">
        <v>1</v>
      </c>
      <c r="E46" s="47" t="s">
        <v>156</v>
      </c>
      <c r="F46" s="47" t="s">
        <v>124</v>
      </c>
      <c r="G46" s="57"/>
      <c r="I46" s="61" t="s">
        <v>131</v>
      </c>
    </row>
    <row r="47" spans="1:9" ht="12.6" customHeight="1" x14ac:dyDescent="0.25">
      <c r="A47" s="54">
        <f t="shared" si="1"/>
        <v>38</v>
      </c>
      <c r="B47" s="57" t="s">
        <v>3</v>
      </c>
      <c r="C47" s="46" t="s">
        <v>174</v>
      </c>
      <c r="D47" s="48">
        <v>1</v>
      </c>
      <c r="E47" s="47" t="s">
        <v>156</v>
      </c>
      <c r="F47" s="47" t="s">
        <v>124</v>
      </c>
      <c r="G47" s="57"/>
      <c r="I47" s="61" t="s">
        <v>131</v>
      </c>
    </row>
    <row r="48" spans="1:9" ht="12.6" customHeight="1" x14ac:dyDescent="0.25">
      <c r="A48" s="54">
        <f t="shared" si="1"/>
        <v>39</v>
      </c>
      <c r="B48" s="57" t="s">
        <v>3</v>
      </c>
      <c r="C48" s="46" t="s">
        <v>175</v>
      </c>
      <c r="D48" s="48">
        <v>1</v>
      </c>
      <c r="E48" s="47" t="s">
        <v>156</v>
      </c>
      <c r="F48" s="47" t="s">
        <v>124</v>
      </c>
      <c r="G48" s="57"/>
      <c r="I48" s="61" t="s">
        <v>131</v>
      </c>
    </row>
    <row r="49" spans="1:9" ht="12.6" customHeight="1" x14ac:dyDescent="0.25">
      <c r="A49" s="54">
        <f t="shared" si="1"/>
        <v>40</v>
      </c>
      <c r="B49" s="57" t="s">
        <v>3</v>
      </c>
      <c r="C49" s="46" t="s">
        <v>176</v>
      </c>
      <c r="D49" s="48">
        <v>1</v>
      </c>
      <c r="E49" s="47" t="s">
        <v>156</v>
      </c>
      <c r="F49" s="47" t="s">
        <v>124</v>
      </c>
      <c r="G49" s="57"/>
      <c r="I49" s="61" t="s">
        <v>131</v>
      </c>
    </row>
    <row r="50" spans="1:9" ht="12.6" customHeight="1" x14ac:dyDescent="0.25">
      <c r="A50" s="54">
        <f t="shared" si="1"/>
        <v>41</v>
      </c>
      <c r="B50" s="57" t="s">
        <v>3</v>
      </c>
      <c r="C50" s="46" t="s">
        <v>177</v>
      </c>
      <c r="D50" s="48">
        <v>1</v>
      </c>
      <c r="E50" s="47" t="s">
        <v>156</v>
      </c>
      <c r="F50" s="47" t="s">
        <v>124</v>
      </c>
      <c r="G50" s="57"/>
      <c r="I50" s="61" t="s">
        <v>131</v>
      </c>
    </row>
    <row r="51" spans="1:9" ht="12.6" customHeight="1" x14ac:dyDescent="0.25">
      <c r="A51" s="54">
        <f t="shared" si="1"/>
        <v>42</v>
      </c>
      <c r="B51" s="57" t="s">
        <v>3</v>
      </c>
      <c r="C51" s="46" t="s">
        <v>178</v>
      </c>
      <c r="D51" s="48">
        <v>1</v>
      </c>
      <c r="E51" s="47" t="s">
        <v>156</v>
      </c>
      <c r="F51" s="47" t="s">
        <v>124</v>
      </c>
      <c r="G51" s="57"/>
      <c r="I51" s="61" t="s">
        <v>131</v>
      </c>
    </row>
    <row r="52" spans="1:9" ht="12.6" customHeight="1" x14ac:dyDescent="0.25">
      <c r="A52" s="54">
        <f t="shared" si="1"/>
        <v>43</v>
      </c>
      <c r="B52" s="57" t="s">
        <v>3</v>
      </c>
      <c r="C52" s="46" t="s">
        <v>179</v>
      </c>
      <c r="D52" s="48">
        <v>1</v>
      </c>
      <c r="E52" s="47" t="s">
        <v>156</v>
      </c>
      <c r="F52" s="47" t="s">
        <v>124</v>
      </c>
      <c r="G52" s="57"/>
      <c r="I52" s="61" t="s">
        <v>131</v>
      </c>
    </row>
    <row r="53" spans="1:9" ht="12.6" customHeight="1" x14ac:dyDescent="0.25">
      <c r="A53" s="54">
        <f t="shared" si="1"/>
        <v>44</v>
      </c>
      <c r="B53" s="57" t="s">
        <v>3</v>
      </c>
      <c r="C53" s="46" t="s">
        <v>180</v>
      </c>
      <c r="D53" s="48">
        <v>1</v>
      </c>
      <c r="E53" s="47" t="s">
        <v>156</v>
      </c>
      <c r="F53" s="47" t="s">
        <v>124</v>
      </c>
      <c r="G53" s="57"/>
      <c r="I53" s="61" t="s">
        <v>131</v>
      </c>
    </row>
    <row r="54" spans="1:9" ht="12.6" customHeight="1" x14ac:dyDescent="0.25">
      <c r="A54" s="54">
        <f t="shared" si="1"/>
        <v>45</v>
      </c>
      <c r="B54" s="57" t="s">
        <v>3</v>
      </c>
      <c r="C54" s="46" t="s">
        <v>181</v>
      </c>
      <c r="D54" s="48">
        <v>1</v>
      </c>
      <c r="E54" s="47" t="s">
        <v>156</v>
      </c>
      <c r="F54" s="47" t="s">
        <v>124</v>
      </c>
      <c r="G54" s="57"/>
      <c r="I54" s="61" t="s">
        <v>131</v>
      </c>
    </row>
    <row r="55" spans="1:9" ht="12.6" customHeight="1" x14ac:dyDescent="0.25">
      <c r="A55" s="54">
        <f t="shared" si="1"/>
        <v>46</v>
      </c>
      <c r="B55" s="57" t="s">
        <v>3</v>
      </c>
      <c r="C55" s="46" t="s">
        <v>182</v>
      </c>
      <c r="D55" s="48">
        <v>1</v>
      </c>
      <c r="E55" s="47" t="s">
        <v>156</v>
      </c>
      <c r="F55" s="47" t="s">
        <v>124</v>
      </c>
      <c r="G55" s="57"/>
      <c r="I55" s="61" t="s">
        <v>131</v>
      </c>
    </row>
    <row r="56" spans="1:9" ht="12.6" customHeight="1" x14ac:dyDescent="0.25">
      <c r="A56" s="54">
        <f t="shared" si="1"/>
        <v>47</v>
      </c>
      <c r="B56" s="57" t="s">
        <v>3</v>
      </c>
      <c r="C56" s="46" t="s">
        <v>183</v>
      </c>
      <c r="D56" s="48">
        <v>1</v>
      </c>
      <c r="E56" s="47" t="s">
        <v>156</v>
      </c>
      <c r="F56" s="47" t="s">
        <v>124</v>
      </c>
      <c r="G56" s="57"/>
      <c r="I56" s="61" t="s">
        <v>131</v>
      </c>
    </row>
    <row r="57" spans="1:9" ht="12.6" customHeight="1" x14ac:dyDescent="0.25">
      <c r="A57" s="54">
        <f t="shared" si="1"/>
        <v>48</v>
      </c>
      <c r="B57" s="57" t="s">
        <v>3</v>
      </c>
      <c r="C57" s="46" t="s">
        <v>184</v>
      </c>
      <c r="D57" s="48">
        <v>1</v>
      </c>
      <c r="E57" s="47" t="s">
        <v>156</v>
      </c>
      <c r="F57" s="47" t="s">
        <v>124</v>
      </c>
      <c r="G57" s="57"/>
      <c r="I57" s="61" t="s">
        <v>131</v>
      </c>
    </row>
    <row r="58" spans="1:9" ht="12.6" customHeight="1" x14ac:dyDescent="0.25">
      <c r="A58" s="54">
        <f t="shared" si="1"/>
        <v>49</v>
      </c>
      <c r="B58" s="57" t="s">
        <v>3</v>
      </c>
      <c r="C58" s="46" t="s">
        <v>185</v>
      </c>
      <c r="D58" s="48">
        <v>1</v>
      </c>
      <c r="E58" s="47" t="s">
        <v>156</v>
      </c>
      <c r="F58" s="47" t="s">
        <v>124</v>
      </c>
      <c r="G58" s="57"/>
      <c r="I58" s="61" t="s">
        <v>131</v>
      </c>
    </row>
    <row r="59" spans="1:9" ht="12.6" customHeight="1" x14ac:dyDescent="0.25">
      <c r="A59" s="54">
        <f t="shared" si="1"/>
        <v>50</v>
      </c>
      <c r="B59" s="57" t="s">
        <v>3</v>
      </c>
      <c r="C59" s="46" t="s">
        <v>186</v>
      </c>
      <c r="D59" s="48">
        <v>1</v>
      </c>
      <c r="E59" s="47" t="s">
        <v>156</v>
      </c>
      <c r="F59" s="47" t="s">
        <v>124</v>
      </c>
      <c r="G59" s="57"/>
      <c r="I59" s="61" t="s">
        <v>131</v>
      </c>
    </row>
    <row r="60" spans="1:9" ht="12.6" customHeight="1" x14ac:dyDescent="0.25">
      <c r="A60" s="54">
        <f t="shared" si="1"/>
        <v>51</v>
      </c>
      <c r="B60" s="57" t="s">
        <v>3</v>
      </c>
      <c r="C60" s="46" t="s">
        <v>187</v>
      </c>
      <c r="D60" s="48">
        <v>1</v>
      </c>
      <c r="E60" s="47" t="s">
        <v>156</v>
      </c>
      <c r="F60" s="47" t="s">
        <v>124</v>
      </c>
      <c r="G60" s="57"/>
      <c r="I60" s="61" t="s">
        <v>131</v>
      </c>
    </row>
    <row r="61" spans="1:9" ht="12.6" customHeight="1" x14ac:dyDescent="0.25">
      <c r="A61" s="54">
        <f t="shared" si="1"/>
        <v>52</v>
      </c>
      <c r="B61" s="57" t="s">
        <v>3</v>
      </c>
      <c r="C61" s="46" t="s">
        <v>188</v>
      </c>
      <c r="D61" s="48">
        <v>1</v>
      </c>
      <c r="E61" s="47" t="s">
        <v>156</v>
      </c>
      <c r="F61" s="47" t="s">
        <v>124</v>
      </c>
      <c r="G61" s="57"/>
      <c r="I61" s="61" t="s">
        <v>131</v>
      </c>
    </row>
    <row r="62" spans="1:9" ht="12.6" customHeight="1" x14ac:dyDescent="0.25">
      <c r="A62" s="54">
        <f t="shared" si="1"/>
        <v>53</v>
      </c>
      <c r="B62" s="57" t="s">
        <v>3</v>
      </c>
      <c r="C62" s="46" t="s">
        <v>189</v>
      </c>
      <c r="D62" s="48">
        <v>1</v>
      </c>
      <c r="E62" s="47" t="s">
        <v>156</v>
      </c>
      <c r="F62" s="47" t="s">
        <v>124</v>
      </c>
      <c r="G62" s="57"/>
      <c r="I62" s="61" t="s">
        <v>131</v>
      </c>
    </row>
    <row r="63" spans="1:9" ht="12.6" customHeight="1" x14ac:dyDescent="0.25">
      <c r="A63" s="54">
        <f t="shared" si="1"/>
        <v>54</v>
      </c>
      <c r="B63" s="57" t="s">
        <v>3</v>
      </c>
      <c r="C63" s="46" t="s">
        <v>190</v>
      </c>
      <c r="D63" s="48">
        <v>1</v>
      </c>
      <c r="E63" s="47" t="s">
        <v>156</v>
      </c>
      <c r="F63" s="47" t="s">
        <v>124</v>
      </c>
      <c r="G63" s="57"/>
      <c r="I63" s="61" t="s">
        <v>131</v>
      </c>
    </row>
    <row r="64" spans="1:9" ht="12.6" customHeight="1" x14ac:dyDescent="0.25">
      <c r="A64" s="54">
        <f t="shared" si="1"/>
        <v>55</v>
      </c>
      <c r="B64" s="57" t="s">
        <v>10</v>
      </c>
      <c r="C64" s="46" t="s">
        <v>191</v>
      </c>
      <c r="D64" s="47">
        <v>1</v>
      </c>
      <c r="E64" s="47" t="s">
        <v>192</v>
      </c>
      <c r="F64" s="47" t="s">
        <v>135</v>
      </c>
      <c r="G64" s="57"/>
      <c r="I64" s="62" t="s">
        <v>150</v>
      </c>
    </row>
    <row r="65" spans="1:9" ht="14.85" customHeight="1" x14ac:dyDescent="0.25">
      <c r="A65" s="54">
        <f t="shared" si="1"/>
        <v>56</v>
      </c>
      <c r="B65" s="57" t="s">
        <v>10</v>
      </c>
      <c r="C65" s="46" t="s">
        <v>193</v>
      </c>
      <c r="D65" s="47">
        <v>10</v>
      </c>
      <c r="E65" s="47" t="s">
        <v>123</v>
      </c>
      <c r="F65" s="47" t="s">
        <v>135</v>
      </c>
      <c r="G65" s="57"/>
      <c r="I65" s="62" t="s">
        <v>150</v>
      </c>
    </row>
    <row r="66" spans="1:9" ht="12.6" customHeight="1" x14ac:dyDescent="0.25">
      <c r="A66" s="54">
        <f t="shared" si="1"/>
        <v>57</v>
      </c>
      <c r="B66" s="57" t="s">
        <v>10</v>
      </c>
      <c r="C66" s="46" t="s">
        <v>194</v>
      </c>
      <c r="D66" s="47">
        <v>1</v>
      </c>
      <c r="E66" s="47" t="s">
        <v>144</v>
      </c>
      <c r="F66" s="47" t="s">
        <v>135</v>
      </c>
      <c r="G66" s="57"/>
      <c r="I66" s="62" t="s">
        <v>150</v>
      </c>
    </row>
    <row r="67" spans="1:9" ht="12.6" customHeight="1" x14ac:dyDescent="0.25">
      <c r="A67" s="54">
        <f t="shared" si="1"/>
        <v>58</v>
      </c>
      <c r="B67" s="57" t="s">
        <v>10</v>
      </c>
      <c r="C67" s="46" t="s">
        <v>195</v>
      </c>
      <c r="D67" s="47">
        <v>1</v>
      </c>
      <c r="E67" s="47" t="s">
        <v>144</v>
      </c>
      <c r="F67" s="47" t="s">
        <v>135</v>
      </c>
      <c r="G67" s="57"/>
      <c r="I67" s="62" t="s">
        <v>150</v>
      </c>
    </row>
    <row r="68" spans="1:9" ht="12.6" customHeight="1" x14ac:dyDescent="0.25">
      <c r="A68" s="54">
        <f t="shared" si="1"/>
        <v>59</v>
      </c>
      <c r="B68" s="57" t="s">
        <v>4</v>
      </c>
      <c r="C68" s="46" t="s">
        <v>196</v>
      </c>
      <c r="D68" s="47" t="s">
        <v>197</v>
      </c>
      <c r="E68" s="47" t="s">
        <v>198</v>
      </c>
      <c r="F68" s="47" t="s">
        <v>135</v>
      </c>
      <c r="G68" s="57" t="s">
        <v>199</v>
      </c>
      <c r="I68" s="60" t="s">
        <v>125</v>
      </c>
    </row>
    <row r="69" spans="1:9" ht="12.6" customHeight="1" x14ac:dyDescent="0.25">
      <c r="A69" s="54">
        <f t="shared" si="1"/>
        <v>60</v>
      </c>
      <c r="B69" s="57" t="s">
        <v>4</v>
      </c>
      <c r="C69" s="46" t="s">
        <v>200</v>
      </c>
      <c r="D69" s="47">
        <v>500</v>
      </c>
      <c r="E69" s="47" t="s">
        <v>123</v>
      </c>
      <c r="F69" s="47" t="s">
        <v>124</v>
      </c>
      <c r="G69" s="57" t="s">
        <v>201</v>
      </c>
      <c r="I69" s="60" t="s">
        <v>125</v>
      </c>
    </row>
    <row r="70" spans="1:9" ht="12.6" customHeight="1" x14ac:dyDescent="0.25">
      <c r="A70" s="54">
        <f t="shared" si="1"/>
        <v>61</v>
      </c>
      <c r="B70" s="57" t="s">
        <v>4</v>
      </c>
      <c r="C70" s="46" t="s">
        <v>202</v>
      </c>
      <c r="D70" s="47">
        <v>500</v>
      </c>
      <c r="E70" s="47" t="s">
        <v>123</v>
      </c>
      <c r="F70" s="47" t="s">
        <v>124</v>
      </c>
      <c r="G70" s="57" t="s">
        <v>203</v>
      </c>
      <c r="I70" s="60" t="s">
        <v>125</v>
      </c>
    </row>
    <row r="71" spans="1:9" ht="12.6" customHeight="1" x14ac:dyDescent="0.25">
      <c r="A71" s="54">
        <f t="shared" si="1"/>
        <v>62</v>
      </c>
      <c r="B71" s="57" t="s">
        <v>4</v>
      </c>
      <c r="C71" s="46" t="s">
        <v>204</v>
      </c>
      <c r="D71" s="47">
        <v>61</v>
      </c>
      <c r="E71" s="47" t="s">
        <v>123</v>
      </c>
      <c r="F71" s="47" t="s">
        <v>138</v>
      </c>
      <c r="G71" s="57"/>
      <c r="I71" s="60" t="s">
        <v>125</v>
      </c>
    </row>
    <row r="72" spans="1:9" ht="12.6" customHeight="1" x14ac:dyDescent="0.25">
      <c r="A72" s="54">
        <f t="shared" si="1"/>
        <v>63</v>
      </c>
      <c r="B72" s="57" t="s">
        <v>4</v>
      </c>
      <c r="C72" s="46" t="s">
        <v>205</v>
      </c>
      <c r="D72" s="47">
        <v>12</v>
      </c>
      <c r="E72" s="47" t="s">
        <v>123</v>
      </c>
      <c r="F72" s="47" t="s">
        <v>138</v>
      </c>
      <c r="G72" s="57"/>
      <c r="I72" s="60" t="s">
        <v>125</v>
      </c>
    </row>
    <row r="73" spans="1:9" ht="12.6" customHeight="1" x14ac:dyDescent="0.25">
      <c r="A73" s="54">
        <f t="shared" si="1"/>
        <v>64</v>
      </c>
      <c r="B73" s="57" t="s">
        <v>4</v>
      </c>
      <c r="C73" s="46" t="s">
        <v>206</v>
      </c>
      <c r="D73" s="47">
        <v>6</v>
      </c>
      <c r="E73" s="47" t="s">
        <v>135</v>
      </c>
      <c r="F73" s="47" t="s">
        <v>135</v>
      </c>
      <c r="G73" s="57" t="s">
        <v>199</v>
      </c>
      <c r="I73" s="60" t="s">
        <v>125</v>
      </c>
    </row>
    <row r="74" spans="1:9" ht="12.6" customHeight="1" x14ac:dyDescent="0.25">
      <c r="A74" s="54">
        <f t="shared" si="1"/>
        <v>65</v>
      </c>
      <c r="B74" s="57" t="s">
        <v>4</v>
      </c>
      <c r="C74" s="46" t="s">
        <v>207</v>
      </c>
      <c r="D74" s="47">
        <v>56</v>
      </c>
      <c r="E74" s="47" t="s">
        <v>198</v>
      </c>
      <c r="F74" s="47" t="s">
        <v>135</v>
      </c>
      <c r="G74" s="57"/>
      <c r="I74" s="60" t="s">
        <v>125</v>
      </c>
    </row>
    <row r="75" spans="1:9" ht="12.6" customHeight="1" x14ac:dyDescent="0.25">
      <c r="A75" s="54">
        <f t="shared" ref="A75:A106" si="2">A74+1</f>
        <v>66</v>
      </c>
      <c r="B75" s="57" t="s">
        <v>4</v>
      </c>
      <c r="C75" s="46" t="s">
        <v>208</v>
      </c>
      <c r="D75" s="47">
        <v>1</v>
      </c>
      <c r="E75" s="47" t="s">
        <v>135</v>
      </c>
      <c r="F75" s="47" t="s">
        <v>135</v>
      </c>
      <c r="G75" s="57"/>
      <c r="I75" s="60" t="s">
        <v>125</v>
      </c>
    </row>
    <row r="76" spans="1:9" ht="12.6" customHeight="1" x14ac:dyDescent="0.25">
      <c r="A76" s="54">
        <f t="shared" si="2"/>
        <v>67</v>
      </c>
      <c r="B76" s="57" t="s">
        <v>4</v>
      </c>
      <c r="C76" s="46" t="s">
        <v>209</v>
      </c>
      <c r="D76" s="47">
        <v>2</v>
      </c>
      <c r="E76" s="47" t="s">
        <v>123</v>
      </c>
      <c r="F76" s="47" t="s">
        <v>124</v>
      </c>
      <c r="G76" s="57"/>
      <c r="I76" s="60" t="s">
        <v>125</v>
      </c>
    </row>
    <row r="77" spans="1:9" ht="12.6" customHeight="1" x14ac:dyDescent="0.25">
      <c r="A77" s="54">
        <f t="shared" si="2"/>
        <v>68</v>
      </c>
      <c r="B77" s="57" t="s">
        <v>4</v>
      </c>
      <c r="C77" s="46" t="s">
        <v>210</v>
      </c>
      <c r="D77" s="47">
        <v>377</v>
      </c>
      <c r="E77" s="47" t="s">
        <v>123</v>
      </c>
      <c r="F77" s="47" t="s">
        <v>124</v>
      </c>
      <c r="G77" s="57"/>
      <c r="H77" s="5"/>
      <c r="I77" s="60" t="s">
        <v>125</v>
      </c>
    </row>
    <row r="78" spans="1:9" ht="12.6" customHeight="1" x14ac:dyDescent="0.25">
      <c r="A78" s="54">
        <f t="shared" si="2"/>
        <v>69</v>
      </c>
      <c r="B78" s="57" t="s">
        <v>4</v>
      </c>
      <c r="C78" s="46" t="s">
        <v>211</v>
      </c>
      <c r="D78" s="47">
        <v>600</v>
      </c>
      <c r="E78" s="47" t="s">
        <v>123</v>
      </c>
      <c r="F78" s="47" t="s">
        <v>135</v>
      </c>
      <c r="G78" s="57"/>
      <c r="I78" s="60" t="s">
        <v>125</v>
      </c>
    </row>
    <row r="79" spans="1:9" ht="12.6" customHeight="1" x14ac:dyDescent="0.25">
      <c r="A79" s="54">
        <f t="shared" si="2"/>
        <v>70</v>
      </c>
      <c r="B79" s="57" t="s">
        <v>4</v>
      </c>
      <c r="C79" s="46" t="s">
        <v>212</v>
      </c>
      <c r="D79" s="47">
        <v>70</v>
      </c>
      <c r="E79" s="47" t="s">
        <v>123</v>
      </c>
      <c r="F79" s="47" t="s">
        <v>124</v>
      </c>
      <c r="G79" s="57"/>
      <c r="I79" s="60" t="s">
        <v>125</v>
      </c>
    </row>
    <row r="80" spans="1:9" ht="12.6" customHeight="1" x14ac:dyDescent="0.25">
      <c r="A80" s="54">
        <f t="shared" si="2"/>
        <v>71</v>
      </c>
      <c r="B80" s="57" t="s">
        <v>4</v>
      </c>
      <c r="C80" s="46" t="s">
        <v>213</v>
      </c>
      <c r="D80" s="47">
        <v>92</v>
      </c>
      <c r="E80" s="47" t="s">
        <v>214</v>
      </c>
      <c r="F80" s="47" t="s">
        <v>138</v>
      </c>
      <c r="G80" s="57"/>
      <c r="I80" s="60" t="s">
        <v>125</v>
      </c>
    </row>
    <row r="81" spans="1:9" ht="12.6" customHeight="1" x14ac:dyDescent="0.25">
      <c r="A81" s="54">
        <f t="shared" si="2"/>
        <v>72</v>
      </c>
      <c r="B81" s="57" t="s">
        <v>4</v>
      </c>
      <c r="C81" s="46" t="s">
        <v>215</v>
      </c>
      <c r="D81" s="47">
        <v>37</v>
      </c>
      <c r="E81" s="47" t="s">
        <v>123</v>
      </c>
      <c r="F81" s="47" t="s">
        <v>124</v>
      </c>
      <c r="G81" s="57"/>
      <c r="I81" s="60" t="s">
        <v>125</v>
      </c>
    </row>
    <row r="82" spans="1:9" ht="12.6" customHeight="1" x14ac:dyDescent="0.25">
      <c r="A82" s="54">
        <f t="shared" si="2"/>
        <v>73</v>
      </c>
      <c r="B82" s="57" t="s">
        <v>4</v>
      </c>
      <c r="C82" s="46" t="s">
        <v>216</v>
      </c>
      <c r="D82" s="49">
        <v>23</v>
      </c>
      <c r="E82" s="47" t="s">
        <v>123</v>
      </c>
      <c r="F82" s="47" t="s">
        <v>124</v>
      </c>
      <c r="G82" s="57"/>
      <c r="I82" s="60" t="s">
        <v>125</v>
      </c>
    </row>
    <row r="83" spans="1:9" ht="12.6" customHeight="1" x14ac:dyDescent="0.25">
      <c r="A83" s="54">
        <f t="shared" si="2"/>
        <v>74</v>
      </c>
      <c r="B83" s="57" t="s">
        <v>4</v>
      </c>
      <c r="C83" s="46" t="s">
        <v>217</v>
      </c>
      <c r="D83" s="47">
        <v>22</v>
      </c>
      <c r="E83" s="47" t="s">
        <v>214</v>
      </c>
      <c r="F83" s="47" t="s">
        <v>124</v>
      </c>
      <c r="G83" s="57"/>
      <c r="I83" s="60" t="s">
        <v>125</v>
      </c>
    </row>
    <row r="84" spans="1:9" ht="12.6" customHeight="1" x14ac:dyDescent="0.25">
      <c r="A84" s="54">
        <f t="shared" si="2"/>
        <v>75</v>
      </c>
      <c r="B84" s="57" t="s">
        <v>4</v>
      </c>
      <c r="C84" s="46" t="s">
        <v>218</v>
      </c>
      <c r="D84" s="47">
        <v>18</v>
      </c>
      <c r="E84" s="47" t="s">
        <v>123</v>
      </c>
      <c r="F84" s="47" t="s">
        <v>124</v>
      </c>
      <c r="G84" s="57"/>
      <c r="I84" s="60" t="s">
        <v>125</v>
      </c>
    </row>
    <row r="85" spans="1:9" ht="12.6" customHeight="1" x14ac:dyDescent="0.25">
      <c r="A85" s="54">
        <f t="shared" si="2"/>
        <v>76</v>
      </c>
      <c r="B85" s="57" t="s">
        <v>4</v>
      </c>
      <c r="C85" s="46" t="s">
        <v>219</v>
      </c>
      <c r="D85" s="47">
        <v>20</v>
      </c>
      <c r="E85" s="47" t="s">
        <v>123</v>
      </c>
      <c r="F85" s="47" t="s">
        <v>138</v>
      </c>
      <c r="G85" s="57"/>
      <c r="I85" s="60" t="s">
        <v>125</v>
      </c>
    </row>
    <row r="86" spans="1:9" ht="12.6" customHeight="1" x14ac:dyDescent="0.25">
      <c r="A86" s="54">
        <f t="shared" si="2"/>
        <v>77</v>
      </c>
      <c r="B86" s="57" t="s">
        <v>4</v>
      </c>
      <c r="C86" s="46" t="s">
        <v>220</v>
      </c>
      <c r="D86" s="47">
        <v>15</v>
      </c>
      <c r="E86" s="47" t="s">
        <v>123</v>
      </c>
      <c r="F86" s="47" t="s">
        <v>124</v>
      </c>
      <c r="G86" s="46"/>
      <c r="I86" s="60" t="s">
        <v>125</v>
      </c>
    </row>
    <row r="87" spans="1:9" ht="12.6" customHeight="1" x14ac:dyDescent="0.25">
      <c r="A87" s="54">
        <f t="shared" si="2"/>
        <v>78</v>
      </c>
      <c r="B87" s="57" t="s">
        <v>4</v>
      </c>
      <c r="C87" s="46" t="s">
        <v>221</v>
      </c>
      <c r="D87" s="47">
        <v>384</v>
      </c>
      <c r="E87" s="47" t="s">
        <v>198</v>
      </c>
      <c r="F87" s="47" t="s">
        <v>135</v>
      </c>
      <c r="G87" s="57"/>
      <c r="I87" s="60" t="s">
        <v>125</v>
      </c>
    </row>
    <row r="88" spans="1:9" ht="12.6" customHeight="1" x14ac:dyDescent="0.25">
      <c r="A88" s="54">
        <f t="shared" si="2"/>
        <v>79</v>
      </c>
      <c r="B88" s="57" t="s">
        <v>4</v>
      </c>
      <c r="C88" s="46" t="s">
        <v>222</v>
      </c>
      <c r="D88" s="47">
        <v>4</v>
      </c>
      <c r="E88" s="47" t="s">
        <v>123</v>
      </c>
      <c r="F88" s="47" t="s">
        <v>124</v>
      </c>
      <c r="G88" s="57"/>
      <c r="I88" s="60" t="s">
        <v>125</v>
      </c>
    </row>
    <row r="89" spans="1:9" x14ac:dyDescent="0.25">
      <c r="A89" s="54">
        <f t="shared" si="2"/>
        <v>80</v>
      </c>
      <c r="B89" s="57" t="s">
        <v>4</v>
      </c>
      <c r="C89" s="46" t="s">
        <v>223</v>
      </c>
      <c r="D89" s="47">
        <v>9</v>
      </c>
      <c r="E89" s="47" t="s">
        <v>123</v>
      </c>
      <c r="F89" s="46" t="s">
        <v>124</v>
      </c>
      <c r="G89" s="46" t="s">
        <v>224</v>
      </c>
      <c r="I89" s="60" t="s">
        <v>125</v>
      </c>
    </row>
    <row r="90" spans="1:9" ht="12.6" customHeight="1" x14ac:dyDescent="0.25">
      <c r="A90" s="54">
        <f t="shared" si="2"/>
        <v>81</v>
      </c>
      <c r="B90" s="57" t="s">
        <v>4</v>
      </c>
      <c r="C90" s="46" t="s">
        <v>225</v>
      </c>
      <c r="D90" s="47">
        <v>1</v>
      </c>
      <c r="E90" s="47" t="s">
        <v>123</v>
      </c>
      <c r="F90" s="47" t="s">
        <v>124</v>
      </c>
      <c r="G90" s="57"/>
      <c r="I90" s="60" t="s">
        <v>125</v>
      </c>
    </row>
    <row r="91" spans="1:9" s="3" customFormat="1" ht="12.6" customHeight="1" x14ac:dyDescent="0.25">
      <c r="A91" s="54">
        <f t="shared" si="2"/>
        <v>82</v>
      </c>
      <c r="B91" s="57" t="s">
        <v>4</v>
      </c>
      <c r="C91" s="46" t="s">
        <v>226</v>
      </c>
      <c r="D91" s="47">
        <v>40</v>
      </c>
      <c r="E91" s="47" t="s">
        <v>123</v>
      </c>
      <c r="F91" s="47" t="s">
        <v>135</v>
      </c>
      <c r="G91" s="57"/>
      <c r="I91" s="60" t="s">
        <v>125</v>
      </c>
    </row>
    <row r="92" spans="1:9" ht="12.6" customHeight="1" x14ac:dyDescent="0.25">
      <c r="A92" s="54">
        <f t="shared" si="2"/>
        <v>83</v>
      </c>
      <c r="B92" s="57" t="s">
        <v>24</v>
      </c>
      <c r="C92" s="46" t="s">
        <v>227</v>
      </c>
      <c r="D92" s="47">
        <v>23</v>
      </c>
      <c r="E92" s="47" t="s">
        <v>123</v>
      </c>
      <c r="F92" s="47" t="s">
        <v>124</v>
      </c>
      <c r="G92" s="57"/>
      <c r="I92" s="61" t="s">
        <v>131</v>
      </c>
    </row>
    <row r="93" spans="1:9" ht="12.6" customHeight="1" x14ac:dyDescent="0.25">
      <c r="A93" s="54">
        <f t="shared" si="2"/>
        <v>84</v>
      </c>
      <c r="B93" s="57" t="s">
        <v>25</v>
      </c>
      <c r="C93" s="46" t="s">
        <v>228</v>
      </c>
      <c r="D93" s="47">
        <v>2</v>
      </c>
      <c r="E93" s="47" t="s">
        <v>123</v>
      </c>
      <c r="F93" s="47" t="s">
        <v>138</v>
      </c>
      <c r="G93" s="57"/>
      <c r="I93" s="61" t="s">
        <v>131</v>
      </c>
    </row>
    <row r="94" spans="1:9" ht="12.6" customHeight="1" x14ac:dyDescent="0.25">
      <c r="A94" s="54">
        <f t="shared" si="2"/>
        <v>85</v>
      </c>
      <c r="B94" s="57" t="s">
        <v>15</v>
      </c>
      <c r="C94" s="46" t="s">
        <v>229</v>
      </c>
      <c r="D94" s="47">
        <v>439</v>
      </c>
      <c r="E94" s="47" t="s">
        <v>153</v>
      </c>
      <c r="F94" s="47" t="s">
        <v>135</v>
      </c>
      <c r="G94" s="57"/>
      <c r="I94" s="60" t="s">
        <v>125</v>
      </c>
    </row>
    <row r="95" spans="1:9" ht="12.6" customHeight="1" x14ac:dyDescent="0.25">
      <c r="A95" s="54">
        <f t="shared" si="2"/>
        <v>86</v>
      </c>
      <c r="B95" s="57" t="s">
        <v>15</v>
      </c>
      <c r="C95" s="46" t="s">
        <v>230</v>
      </c>
      <c r="D95" s="47">
        <v>5</v>
      </c>
      <c r="E95" s="47" t="s">
        <v>153</v>
      </c>
      <c r="F95" s="47" t="s">
        <v>135</v>
      </c>
      <c r="G95" s="57"/>
      <c r="I95" s="60" t="s">
        <v>125</v>
      </c>
    </row>
    <row r="96" spans="1:9" ht="12.6" customHeight="1" x14ac:dyDescent="0.25">
      <c r="A96" s="54">
        <f t="shared" si="2"/>
        <v>87</v>
      </c>
      <c r="B96" s="57" t="s">
        <v>7</v>
      </c>
      <c r="C96" s="46" t="s">
        <v>231</v>
      </c>
      <c r="D96" s="47">
        <v>375</v>
      </c>
      <c r="E96" s="47" t="s">
        <v>232</v>
      </c>
      <c r="F96" s="47" t="s">
        <v>233</v>
      </c>
      <c r="G96" s="57" t="s">
        <v>234</v>
      </c>
      <c r="I96" s="63" t="s">
        <v>235</v>
      </c>
    </row>
    <row r="97" spans="1:9" ht="12.6" customHeight="1" x14ac:dyDescent="0.25">
      <c r="A97" s="54">
        <f t="shared" si="2"/>
        <v>88</v>
      </c>
      <c r="B97" s="57" t="s">
        <v>7</v>
      </c>
      <c r="C97" s="46" t="s">
        <v>236</v>
      </c>
      <c r="D97" s="47">
        <v>375</v>
      </c>
      <c r="E97" s="47" t="s">
        <v>232</v>
      </c>
      <c r="F97" s="47" t="s">
        <v>233</v>
      </c>
      <c r="G97" s="50" t="s">
        <v>234</v>
      </c>
      <c r="I97" s="63" t="s">
        <v>235</v>
      </c>
    </row>
    <row r="98" spans="1:9" ht="12.6" customHeight="1" x14ac:dyDescent="0.25">
      <c r="A98" s="54">
        <f t="shared" si="2"/>
        <v>89</v>
      </c>
      <c r="B98" s="57" t="s">
        <v>7</v>
      </c>
      <c r="C98" s="46" t="s">
        <v>237</v>
      </c>
      <c r="D98" s="47">
        <v>375</v>
      </c>
      <c r="E98" s="47" t="s">
        <v>232</v>
      </c>
      <c r="F98" s="47" t="s">
        <v>233</v>
      </c>
      <c r="G98" s="57" t="s">
        <v>234</v>
      </c>
      <c r="I98" s="63" t="s">
        <v>235</v>
      </c>
    </row>
    <row r="99" spans="1:9" ht="12.6" customHeight="1" x14ac:dyDescent="0.25">
      <c r="A99" s="54">
        <f t="shared" si="2"/>
        <v>90</v>
      </c>
      <c r="B99" s="57" t="s">
        <v>7</v>
      </c>
      <c r="C99" s="46" t="s">
        <v>238</v>
      </c>
      <c r="D99" s="47">
        <v>375</v>
      </c>
      <c r="E99" s="47" t="s">
        <v>232</v>
      </c>
      <c r="F99" s="47" t="s">
        <v>233</v>
      </c>
      <c r="G99" s="57" t="s">
        <v>234</v>
      </c>
      <c r="I99" s="63" t="s">
        <v>235</v>
      </c>
    </row>
    <row r="100" spans="1:9" ht="12.6" customHeight="1" x14ac:dyDescent="0.25">
      <c r="A100" s="54">
        <f t="shared" si="2"/>
        <v>91</v>
      </c>
      <c r="B100" s="57" t="s">
        <v>7</v>
      </c>
      <c r="C100" s="46" t="s">
        <v>239</v>
      </c>
      <c r="D100" s="47">
        <v>375</v>
      </c>
      <c r="E100" s="47" t="s">
        <v>232</v>
      </c>
      <c r="F100" s="47" t="s">
        <v>233</v>
      </c>
      <c r="G100" s="57" t="s">
        <v>234</v>
      </c>
      <c r="I100" s="63" t="s">
        <v>235</v>
      </c>
    </row>
    <row r="101" spans="1:9" ht="12.6" customHeight="1" x14ac:dyDescent="0.25">
      <c r="A101" s="54">
        <f t="shared" si="2"/>
        <v>92</v>
      </c>
      <c r="B101" s="57" t="s">
        <v>7</v>
      </c>
      <c r="C101" s="46" t="s">
        <v>240</v>
      </c>
      <c r="D101" s="47">
        <v>375</v>
      </c>
      <c r="E101" s="47" t="s">
        <v>232</v>
      </c>
      <c r="F101" s="47" t="s">
        <v>233</v>
      </c>
      <c r="G101" s="57" t="s">
        <v>234</v>
      </c>
      <c r="I101" s="63" t="s">
        <v>235</v>
      </c>
    </row>
    <row r="102" spans="1:9" ht="12.6" customHeight="1" x14ac:dyDescent="0.25">
      <c r="A102" s="54">
        <f t="shared" si="2"/>
        <v>93</v>
      </c>
      <c r="B102" s="57" t="s">
        <v>7</v>
      </c>
      <c r="C102" s="46" t="s">
        <v>241</v>
      </c>
      <c r="D102" s="47">
        <v>2</v>
      </c>
      <c r="E102" s="47" t="s">
        <v>198</v>
      </c>
      <c r="F102" s="47" t="s">
        <v>233</v>
      </c>
      <c r="G102" s="57" t="s">
        <v>234</v>
      </c>
      <c r="I102" s="63" t="s">
        <v>235</v>
      </c>
    </row>
    <row r="103" spans="1:9" x14ac:dyDescent="0.25">
      <c r="A103" s="54">
        <f t="shared" si="2"/>
        <v>94</v>
      </c>
      <c r="B103" s="51" t="s">
        <v>8</v>
      </c>
      <c r="C103" s="52" t="s">
        <v>242</v>
      </c>
      <c r="D103" s="51">
        <v>30</v>
      </c>
      <c r="E103" s="51" t="s">
        <v>243</v>
      </c>
      <c r="F103" s="47" t="s">
        <v>124</v>
      </c>
      <c r="G103" s="57"/>
      <c r="I103" s="61" t="s">
        <v>131</v>
      </c>
    </row>
    <row r="104" spans="1:9" ht="12.6" customHeight="1" x14ac:dyDescent="0.25">
      <c r="A104" s="54">
        <f t="shared" si="2"/>
        <v>95</v>
      </c>
      <c r="B104" s="57" t="s">
        <v>8</v>
      </c>
      <c r="C104" s="46" t="s">
        <v>244</v>
      </c>
      <c r="D104" s="47">
        <v>30</v>
      </c>
      <c r="E104" s="47" t="s">
        <v>245</v>
      </c>
      <c r="F104" s="47" t="s">
        <v>124</v>
      </c>
      <c r="G104" s="57"/>
      <c r="I104" s="61" t="s">
        <v>131</v>
      </c>
    </row>
    <row r="105" spans="1:9" ht="12.6" customHeight="1" x14ac:dyDescent="0.25">
      <c r="A105" s="54">
        <f t="shared" si="2"/>
        <v>96</v>
      </c>
      <c r="B105" s="57" t="s">
        <v>8</v>
      </c>
      <c r="C105" s="46" t="s">
        <v>246</v>
      </c>
      <c r="D105" s="47">
        <v>6</v>
      </c>
      <c r="E105" s="47" t="s">
        <v>245</v>
      </c>
      <c r="F105" s="47" t="s">
        <v>124</v>
      </c>
      <c r="G105" s="57"/>
      <c r="I105" s="61" t="s">
        <v>131</v>
      </c>
    </row>
    <row r="106" spans="1:9" ht="12.6" customHeight="1" x14ac:dyDescent="0.25">
      <c r="A106" s="54">
        <f t="shared" si="2"/>
        <v>97</v>
      </c>
      <c r="B106" s="57" t="s">
        <v>8</v>
      </c>
      <c r="C106" s="46" t="s">
        <v>247</v>
      </c>
      <c r="D106" s="47">
        <v>12</v>
      </c>
      <c r="E106" s="47" t="s">
        <v>245</v>
      </c>
      <c r="F106" s="47" t="s">
        <v>124</v>
      </c>
      <c r="G106" s="57"/>
      <c r="I106" s="61" t="s">
        <v>131</v>
      </c>
    </row>
    <row r="107" spans="1:9" ht="12.6" customHeight="1" x14ac:dyDescent="0.25">
      <c r="A107" s="54">
        <f t="shared" ref="A107:A138" si="3">A106+1</f>
        <v>98</v>
      </c>
      <c r="B107" s="57" t="s">
        <v>8</v>
      </c>
      <c r="C107" s="46" t="s">
        <v>248</v>
      </c>
      <c r="D107" s="47">
        <v>9</v>
      </c>
      <c r="E107" s="47" t="s">
        <v>245</v>
      </c>
      <c r="F107" s="47" t="s">
        <v>124</v>
      </c>
      <c r="G107" s="57"/>
      <c r="I107" s="61" t="s">
        <v>131</v>
      </c>
    </row>
    <row r="108" spans="1:9" ht="12.6" customHeight="1" x14ac:dyDescent="0.25">
      <c r="A108" s="54">
        <f t="shared" si="3"/>
        <v>99</v>
      </c>
      <c r="B108" s="57" t="s">
        <v>8</v>
      </c>
      <c r="C108" s="46" t="s">
        <v>249</v>
      </c>
      <c r="D108" s="47">
        <v>3</v>
      </c>
      <c r="E108" s="47" t="s">
        <v>123</v>
      </c>
      <c r="F108" s="47" t="s">
        <v>124</v>
      </c>
      <c r="G108" s="57"/>
      <c r="I108" s="61" t="s">
        <v>131</v>
      </c>
    </row>
    <row r="109" spans="1:9" ht="12.6" customHeight="1" x14ac:dyDescent="0.25">
      <c r="A109" s="54">
        <f t="shared" si="3"/>
        <v>100</v>
      </c>
      <c r="B109" s="57" t="s">
        <v>27</v>
      </c>
      <c r="C109" s="46" t="s">
        <v>250</v>
      </c>
      <c r="D109" s="47">
        <v>1</v>
      </c>
      <c r="E109" s="47" t="s">
        <v>153</v>
      </c>
      <c r="F109" s="47" t="s">
        <v>135</v>
      </c>
      <c r="G109" s="57"/>
      <c r="I109" s="60" t="s">
        <v>125</v>
      </c>
    </row>
    <row r="110" spans="1:9" ht="12.6" customHeight="1" x14ac:dyDescent="0.25">
      <c r="A110" s="54">
        <f t="shared" si="3"/>
        <v>101</v>
      </c>
      <c r="B110" s="57" t="s">
        <v>5</v>
      </c>
      <c r="C110" s="46" t="s">
        <v>251</v>
      </c>
      <c r="D110" s="47">
        <v>241</v>
      </c>
      <c r="E110" s="47" t="s">
        <v>123</v>
      </c>
      <c r="F110" s="47" t="s">
        <v>233</v>
      </c>
      <c r="G110" s="57" t="s">
        <v>252</v>
      </c>
      <c r="I110" s="63" t="s">
        <v>235</v>
      </c>
    </row>
    <row r="111" spans="1:9" ht="12.6" customHeight="1" x14ac:dyDescent="0.25">
      <c r="A111" s="54">
        <f t="shared" si="3"/>
        <v>102</v>
      </c>
      <c r="B111" s="57" t="s">
        <v>5</v>
      </c>
      <c r="C111" s="46" t="s">
        <v>253</v>
      </c>
      <c r="D111" s="47">
        <v>127</v>
      </c>
      <c r="E111" s="47" t="s">
        <v>123</v>
      </c>
      <c r="F111" s="47" t="s">
        <v>233</v>
      </c>
      <c r="G111" s="57" t="s">
        <v>252</v>
      </c>
      <c r="I111" s="63" t="s">
        <v>235</v>
      </c>
    </row>
    <row r="112" spans="1:9" ht="13.95" customHeight="1" x14ac:dyDescent="0.25">
      <c r="A112" s="54">
        <f t="shared" si="3"/>
        <v>103</v>
      </c>
      <c r="B112" s="57" t="s">
        <v>5</v>
      </c>
      <c r="C112" s="46" t="s">
        <v>254</v>
      </c>
      <c r="D112" s="47">
        <v>62</v>
      </c>
      <c r="E112" s="47" t="s">
        <v>123</v>
      </c>
      <c r="F112" s="47" t="s">
        <v>233</v>
      </c>
      <c r="G112" s="57" t="s">
        <v>252</v>
      </c>
      <c r="I112" s="63" t="s">
        <v>235</v>
      </c>
    </row>
    <row r="113" spans="1:9" x14ac:dyDescent="0.25">
      <c r="A113" s="54">
        <f t="shared" si="3"/>
        <v>104</v>
      </c>
      <c r="B113" s="57" t="s">
        <v>5</v>
      </c>
      <c r="C113" s="46" t="s">
        <v>255</v>
      </c>
      <c r="D113" s="47">
        <v>60</v>
      </c>
      <c r="E113" s="47" t="s">
        <v>123</v>
      </c>
      <c r="F113" s="47" t="s">
        <v>233</v>
      </c>
      <c r="G113" s="57" t="s">
        <v>252</v>
      </c>
      <c r="I113" s="63" t="s">
        <v>235</v>
      </c>
    </row>
    <row r="114" spans="1:9" x14ac:dyDescent="0.25">
      <c r="A114" s="54">
        <f t="shared" si="3"/>
        <v>105</v>
      </c>
      <c r="B114" s="57" t="s">
        <v>5</v>
      </c>
      <c r="C114" s="46" t="s">
        <v>256</v>
      </c>
      <c r="D114" s="47">
        <v>27</v>
      </c>
      <c r="E114" s="47" t="s">
        <v>123</v>
      </c>
      <c r="F114" s="47" t="s">
        <v>233</v>
      </c>
      <c r="G114" s="57" t="s">
        <v>252</v>
      </c>
      <c r="I114" s="63" t="s">
        <v>235</v>
      </c>
    </row>
    <row r="115" spans="1:9" x14ac:dyDescent="0.25">
      <c r="A115" s="54">
        <f t="shared" si="3"/>
        <v>106</v>
      </c>
      <c r="B115" s="57" t="s">
        <v>5</v>
      </c>
      <c r="C115" s="46" t="s">
        <v>257</v>
      </c>
      <c r="D115" s="47">
        <v>12</v>
      </c>
      <c r="E115" s="47" t="s">
        <v>123</v>
      </c>
      <c r="F115" s="47" t="s">
        <v>233</v>
      </c>
      <c r="G115" s="57" t="s">
        <v>252</v>
      </c>
      <c r="I115" s="63" t="s">
        <v>235</v>
      </c>
    </row>
    <row r="116" spans="1:9" x14ac:dyDescent="0.25">
      <c r="A116" s="54">
        <f t="shared" si="3"/>
        <v>107</v>
      </c>
      <c r="B116" s="57" t="s">
        <v>5</v>
      </c>
      <c r="C116" s="46" t="s">
        <v>258</v>
      </c>
      <c r="D116" s="47">
        <v>5</v>
      </c>
      <c r="E116" s="47" t="s">
        <v>123</v>
      </c>
      <c r="F116" s="47" t="s">
        <v>233</v>
      </c>
      <c r="G116" s="57" t="s">
        <v>252</v>
      </c>
      <c r="I116" s="63" t="s">
        <v>235</v>
      </c>
    </row>
    <row r="117" spans="1:9" x14ac:dyDescent="0.25">
      <c r="A117" s="54">
        <f t="shared" si="3"/>
        <v>108</v>
      </c>
      <c r="B117" s="57" t="s">
        <v>5</v>
      </c>
      <c r="C117" s="46" t="s">
        <v>259</v>
      </c>
      <c r="D117" s="47">
        <v>1</v>
      </c>
      <c r="E117" s="47" t="s">
        <v>260</v>
      </c>
      <c r="F117" s="47" t="s">
        <v>233</v>
      </c>
      <c r="G117" s="57" t="s">
        <v>252</v>
      </c>
      <c r="I117" s="63" t="s">
        <v>235</v>
      </c>
    </row>
    <row r="118" spans="1:9" x14ac:dyDescent="0.25">
      <c r="A118" s="54">
        <f t="shared" si="3"/>
        <v>109</v>
      </c>
      <c r="B118" s="57" t="s">
        <v>6</v>
      </c>
      <c r="C118" s="46" t="s">
        <v>261</v>
      </c>
      <c r="D118" s="49">
        <v>30</v>
      </c>
      <c r="E118" s="47" t="s">
        <v>144</v>
      </c>
      <c r="F118" s="47" t="s">
        <v>124</v>
      </c>
      <c r="G118" s="57"/>
      <c r="I118" s="61" t="s">
        <v>131</v>
      </c>
    </row>
    <row r="119" spans="1:9" x14ac:dyDescent="0.25">
      <c r="A119" s="54">
        <f t="shared" si="3"/>
        <v>110</v>
      </c>
      <c r="B119" s="57" t="s">
        <v>6</v>
      </c>
      <c r="C119" s="46" t="s">
        <v>262</v>
      </c>
      <c r="D119" s="47">
        <v>15</v>
      </c>
      <c r="E119" s="47" t="s">
        <v>144</v>
      </c>
      <c r="F119" s="47" t="s">
        <v>124</v>
      </c>
      <c r="G119" s="57"/>
      <c r="I119" s="61" t="s">
        <v>131</v>
      </c>
    </row>
    <row r="120" spans="1:9" x14ac:dyDescent="0.25">
      <c r="A120" s="54">
        <f t="shared" si="3"/>
        <v>111</v>
      </c>
      <c r="B120" s="57" t="s">
        <v>6</v>
      </c>
      <c r="C120" s="46" t="s">
        <v>263</v>
      </c>
      <c r="D120" s="47">
        <v>2</v>
      </c>
      <c r="E120" s="47" t="s">
        <v>144</v>
      </c>
      <c r="F120" s="47" t="s">
        <v>124</v>
      </c>
      <c r="G120" s="57"/>
      <c r="I120" s="61" t="s">
        <v>131</v>
      </c>
    </row>
    <row r="121" spans="1:9" x14ac:dyDescent="0.25">
      <c r="A121" s="54">
        <f t="shared" si="3"/>
        <v>112</v>
      </c>
      <c r="B121" s="57" t="s">
        <v>6</v>
      </c>
      <c r="C121" s="46" t="s">
        <v>264</v>
      </c>
      <c r="D121" s="47">
        <v>1</v>
      </c>
      <c r="E121" s="47" t="s">
        <v>148</v>
      </c>
      <c r="F121" s="47" t="s">
        <v>124</v>
      </c>
      <c r="G121" s="57"/>
      <c r="I121" s="61" t="s">
        <v>131</v>
      </c>
    </row>
    <row r="122" spans="1:9" ht="11.4" customHeight="1" x14ac:dyDescent="0.25">
      <c r="A122" s="54">
        <f t="shared" si="3"/>
        <v>113</v>
      </c>
      <c r="B122" s="57" t="s">
        <v>6</v>
      </c>
      <c r="C122" s="46" t="s">
        <v>265</v>
      </c>
      <c r="D122" s="47">
        <v>1</v>
      </c>
      <c r="E122" s="47" t="s">
        <v>123</v>
      </c>
      <c r="F122" s="47" t="s">
        <v>124</v>
      </c>
      <c r="G122" s="57"/>
      <c r="I122" s="61" t="s">
        <v>131</v>
      </c>
    </row>
    <row r="123" spans="1:9" ht="13.95" customHeight="1" x14ac:dyDescent="0.25">
      <c r="A123" s="54">
        <f t="shared" si="3"/>
        <v>114</v>
      </c>
      <c r="B123" s="57" t="s">
        <v>6</v>
      </c>
      <c r="C123" s="46" t="s">
        <v>266</v>
      </c>
      <c r="D123" s="47">
        <v>1</v>
      </c>
      <c r="E123" s="47" t="s">
        <v>123</v>
      </c>
      <c r="F123" s="47" t="s">
        <v>124</v>
      </c>
      <c r="G123" s="57"/>
      <c r="I123" s="61" t="s">
        <v>131</v>
      </c>
    </row>
    <row r="124" spans="1:9" x14ac:dyDescent="0.25">
      <c r="A124" s="54">
        <f t="shared" si="3"/>
        <v>115</v>
      </c>
      <c r="B124" s="57" t="s">
        <v>6</v>
      </c>
      <c r="C124" s="46" t="s">
        <v>267</v>
      </c>
      <c r="D124" s="47">
        <v>1</v>
      </c>
      <c r="E124" s="47" t="s">
        <v>123</v>
      </c>
      <c r="F124" s="47" t="s">
        <v>124</v>
      </c>
      <c r="G124" s="57"/>
      <c r="I124" s="61" t="s">
        <v>131</v>
      </c>
    </row>
    <row r="125" spans="1:9" x14ac:dyDescent="0.25">
      <c r="A125" s="54">
        <f t="shared" si="3"/>
        <v>116</v>
      </c>
      <c r="B125" s="57" t="s">
        <v>6</v>
      </c>
      <c r="C125" s="46" t="s">
        <v>268</v>
      </c>
      <c r="D125" s="47">
        <v>1</v>
      </c>
      <c r="E125" s="47" t="s">
        <v>123</v>
      </c>
      <c r="F125" s="47" t="s">
        <v>124</v>
      </c>
      <c r="G125" s="57"/>
      <c r="I125" s="61" t="s">
        <v>131</v>
      </c>
    </row>
    <row r="126" spans="1:9" x14ac:dyDescent="0.25">
      <c r="A126" s="54">
        <f t="shared" si="3"/>
        <v>117</v>
      </c>
      <c r="B126" s="57" t="s">
        <v>6</v>
      </c>
      <c r="C126" s="46" t="s">
        <v>269</v>
      </c>
      <c r="D126" s="47">
        <v>1</v>
      </c>
      <c r="E126" s="47" t="s">
        <v>123</v>
      </c>
      <c r="F126" s="47" t="s">
        <v>124</v>
      </c>
      <c r="G126" s="57"/>
      <c r="I126" s="61" t="s">
        <v>131</v>
      </c>
    </row>
    <row r="127" spans="1:9" x14ac:dyDescent="0.25">
      <c r="A127" s="54">
        <f t="shared" si="3"/>
        <v>118</v>
      </c>
      <c r="B127" s="57" t="s">
        <v>6</v>
      </c>
      <c r="C127" s="46" t="s">
        <v>270</v>
      </c>
      <c r="D127" s="47">
        <v>1</v>
      </c>
      <c r="E127" s="47" t="s">
        <v>123</v>
      </c>
      <c r="F127" s="47" t="s">
        <v>124</v>
      </c>
      <c r="G127" s="57"/>
      <c r="I127" s="61" t="s">
        <v>131</v>
      </c>
    </row>
    <row r="128" spans="1:9" ht="13.2" customHeight="1" x14ac:dyDescent="0.25">
      <c r="A128" s="54">
        <f t="shared" si="3"/>
        <v>119</v>
      </c>
      <c r="B128" s="57" t="s">
        <v>6</v>
      </c>
      <c r="C128" s="46" t="s">
        <v>271</v>
      </c>
      <c r="D128" s="47">
        <v>1</v>
      </c>
      <c r="E128" s="47" t="s">
        <v>123</v>
      </c>
      <c r="F128" s="47" t="s">
        <v>124</v>
      </c>
      <c r="G128" s="57"/>
      <c r="I128" s="61" t="s">
        <v>131</v>
      </c>
    </row>
    <row r="129" spans="1:9" ht="16.2" customHeight="1" x14ac:dyDescent="0.25">
      <c r="A129" s="54">
        <f t="shared" si="3"/>
        <v>120</v>
      </c>
      <c r="B129" s="57" t="s">
        <v>6</v>
      </c>
      <c r="C129" s="46" t="s">
        <v>272</v>
      </c>
      <c r="D129" s="47">
        <v>1</v>
      </c>
      <c r="E129" s="47" t="s">
        <v>123</v>
      </c>
      <c r="F129" s="47" t="s">
        <v>124</v>
      </c>
      <c r="G129" s="57"/>
      <c r="I129" s="61" t="s">
        <v>131</v>
      </c>
    </row>
    <row r="130" spans="1:9" ht="17.399999999999999" customHeight="1" x14ac:dyDescent="0.25">
      <c r="A130" s="54">
        <f t="shared" si="3"/>
        <v>121</v>
      </c>
      <c r="B130" s="57" t="s">
        <v>6</v>
      </c>
      <c r="C130" s="46" t="s">
        <v>273</v>
      </c>
      <c r="D130" s="47">
        <v>1</v>
      </c>
      <c r="E130" s="47" t="s">
        <v>123</v>
      </c>
      <c r="F130" s="47" t="s">
        <v>124</v>
      </c>
      <c r="G130" s="57"/>
      <c r="I130" s="61" t="s">
        <v>131</v>
      </c>
    </row>
    <row r="131" spans="1:9" ht="13.2" customHeight="1" x14ac:dyDescent="0.25">
      <c r="A131" s="54">
        <f t="shared" si="3"/>
        <v>122</v>
      </c>
      <c r="B131" s="57" t="s">
        <v>6</v>
      </c>
      <c r="C131" s="46" t="s">
        <v>274</v>
      </c>
      <c r="D131" s="47">
        <v>1</v>
      </c>
      <c r="E131" s="47" t="s">
        <v>123</v>
      </c>
      <c r="F131" s="47" t="s">
        <v>124</v>
      </c>
      <c r="G131" s="57"/>
      <c r="I131" s="61" t="s">
        <v>131</v>
      </c>
    </row>
    <row r="132" spans="1:9" ht="17.399999999999999" customHeight="1" x14ac:dyDescent="0.25">
      <c r="A132" s="54">
        <f t="shared" si="3"/>
        <v>123</v>
      </c>
      <c r="B132" s="57" t="s">
        <v>6</v>
      </c>
      <c r="C132" s="46" t="s">
        <v>275</v>
      </c>
      <c r="D132" s="47">
        <v>1</v>
      </c>
      <c r="E132" s="47" t="s">
        <v>144</v>
      </c>
      <c r="F132" s="47" t="s">
        <v>124</v>
      </c>
      <c r="G132" s="57"/>
      <c r="I132" s="61" t="s">
        <v>131</v>
      </c>
    </row>
    <row r="133" spans="1:9" x14ac:dyDescent="0.25">
      <c r="A133" s="54">
        <f t="shared" si="3"/>
        <v>124</v>
      </c>
      <c r="B133" s="51" t="s">
        <v>28</v>
      </c>
      <c r="C133" s="46" t="s">
        <v>276</v>
      </c>
      <c r="D133" s="47">
        <v>9</v>
      </c>
      <c r="E133" s="47" t="s">
        <v>277</v>
      </c>
      <c r="F133" s="47" t="s">
        <v>233</v>
      </c>
      <c r="G133" s="57" t="s">
        <v>278</v>
      </c>
      <c r="I133" s="61" t="s">
        <v>131</v>
      </c>
    </row>
    <row r="134" spans="1:9" ht="14.4" customHeight="1" x14ac:dyDescent="0.25">
      <c r="A134" s="54">
        <f t="shared" si="3"/>
        <v>125</v>
      </c>
      <c r="B134" s="57" t="s">
        <v>29</v>
      </c>
      <c r="C134" s="46" t="s">
        <v>279</v>
      </c>
      <c r="D134" s="47">
        <v>441</v>
      </c>
      <c r="E134" s="47" t="s">
        <v>214</v>
      </c>
      <c r="F134" s="47" t="s">
        <v>124</v>
      </c>
      <c r="G134" s="57"/>
      <c r="I134" s="60" t="s">
        <v>125</v>
      </c>
    </row>
    <row r="135" spans="1:9" ht="15.6" customHeight="1" x14ac:dyDescent="0.25">
      <c r="A135" s="54">
        <f t="shared" si="3"/>
        <v>126</v>
      </c>
      <c r="B135" s="57" t="s">
        <v>9</v>
      </c>
      <c r="C135" s="46" t="s">
        <v>280</v>
      </c>
      <c r="D135" s="47">
        <v>3</v>
      </c>
      <c r="E135" s="47" t="s">
        <v>281</v>
      </c>
      <c r="F135" s="47" t="s">
        <v>233</v>
      </c>
      <c r="G135" s="57" t="s">
        <v>278</v>
      </c>
      <c r="I135" s="61" t="s">
        <v>131</v>
      </c>
    </row>
    <row r="136" spans="1:9" x14ac:dyDescent="0.25">
      <c r="A136" s="54">
        <f t="shared" si="3"/>
        <v>127</v>
      </c>
      <c r="B136" s="57" t="s">
        <v>9</v>
      </c>
      <c r="C136" s="46" t="s">
        <v>282</v>
      </c>
      <c r="D136" s="47">
        <v>11</v>
      </c>
      <c r="E136" s="47" t="s">
        <v>281</v>
      </c>
      <c r="F136" s="47" t="s">
        <v>233</v>
      </c>
      <c r="G136" s="57" t="s">
        <v>278</v>
      </c>
      <c r="I136" s="61" t="s">
        <v>131</v>
      </c>
    </row>
    <row r="137" spans="1:9" x14ac:dyDescent="0.25">
      <c r="A137" s="54">
        <f t="shared" si="3"/>
        <v>128</v>
      </c>
      <c r="B137" s="57" t="s">
        <v>9</v>
      </c>
      <c r="C137" s="46" t="s">
        <v>283</v>
      </c>
      <c r="D137" s="47">
        <v>11</v>
      </c>
      <c r="E137" s="47" t="s">
        <v>281</v>
      </c>
      <c r="F137" s="47" t="s">
        <v>233</v>
      </c>
      <c r="G137" s="57" t="s">
        <v>278</v>
      </c>
      <c r="I137" s="61" t="s">
        <v>131</v>
      </c>
    </row>
    <row r="138" spans="1:9" x14ac:dyDescent="0.25">
      <c r="A138" s="54">
        <f t="shared" si="3"/>
        <v>129</v>
      </c>
      <c r="B138" s="57" t="s">
        <v>9</v>
      </c>
      <c r="C138" s="46" t="s">
        <v>284</v>
      </c>
      <c r="D138" s="47">
        <v>2</v>
      </c>
      <c r="E138" s="47" t="s">
        <v>281</v>
      </c>
      <c r="F138" s="47" t="s">
        <v>233</v>
      </c>
      <c r="G138" s="57" t="s">
        <v>278</v>
      </c>
      <c r="I138" s="61" t="s">
        <v>131</v>
      </c>
    </row>
    <row r="139" spans="1:9" x14ac:dyDescent="0.25">
      <c r="A139" s="54">
        <f t="shared" ref="A139:A157" si="4">A138+1</f>
        <v>130</v>
      </c>
      <c r="B139" s="57" t="s">
        <v>9</v>
      </c>
      <c r="C139" s="46" t="s">
        <v>285</v>
      </c>
      <c r="D139" s="47">
        <v>2</v>
      </c>
      <c r="E139" s="47" t="s">
        <v>281</v>
      </c>
      <c r="F139" s="47" t="s">
        <v>233</v>
      </c>
      <c r="G139" s="57" t="s">
        <v>278</v>
      </c>
      <c r="I139" s="61" t="s">
        <v>131</v>
      </c>
    </row>
    <row r="140" spans="1:9" x14ac:dyDescent="0.25">
      <c r="A140" s="54">
        <f t="shared" si="4"/>
        <v>131</v>
      </c>
      <c r="B140" s="57" t="s">
        <v>16</v>
      </c>
      <c r="C140" s="44" t="s">
        <v>286</v>
      </c>
      <c r="D140" s="47">
        <v>10</v>
      </c>
      <c r="E140" s="47" t="s">
        <v>135</v>
      </c>
      <c r="F140" s="47" t="s">
        <v>135</v>
      </c>
      <c r="G140" s="57"/>
      <c r="I140" s="61" t="s">
        <v>131</v>
      </c>
    </row>
    <row r="141" spans="1:9" x14ac:dyDescent="0.25">
      <c r="A141" s="54">
        <f t="shared" si="4"/>
        <v>132</v>
      </c>
      <c r="B141" s="57" t="s">
        <v>16</v>
      </c>
      <c r="C141" s="44" t="s">
        <v>287</v>
      </c>
      <c r="D141" s="47">
        <v>8</v>
      </c>
      <c r="E141" s="47" t="s">
        <v>135</v>
      </c>
      <c r="F141" s="47" t="s">
        <v>135</v>
      </c>
      <c r="G141" s="57"/>
      <c r="I141" s="61" t="s">
        <v>131</v>
      </c>
    </row>
    <row r="142" spans="1:9" x14ac:dyDescent="0.25">
      <c r="A142" s="54">
        <f t="shared" si="4"/>
        <v>133</v>
      </c>
      <c r="B142" s="57" t="s">
        <v>4</v>
      </c>
      <c r="C142" s="46" t="s">
        <v>288</v>
      </c>
      <c r="D142" s="47">
        <v>500</v>
      </c>
      <c r="E142" s="47" t="s">
        <v>123</v>
      </c>
      <c r="F142" s="47" t="s">
        <v>124</v>
      </c>
      <c r="G142" s="57"/>
      <c r="I142" s="60" t="s">
        <v>125</v>
      </c>
    </row>
    <row r="143" spans="1:9" x14ac:dyDescent="0.25">
      <c r="A143" s="54">
        <f t="shared" si="4"/>
        <v>134</v>
      </c>
      <c r="B143" s="57" t="s">
        <v>26</v>
      </c>
      <c r="C143" s="46" t="s">
        <v>289</v>
      </c>
      <c r="D143" s="47" t="s">
        <v>290</v>
      </c>
      <c r="E143" s="47" t="s">
        <v>135</v>
      </c>
      <c r="F143" s="47" t="s">
        <v>135</v>
      </c>
      <c r="G143" s="57"/>
      <c r="I143" s="60" t="s">
        <v>125</v>
      </c>
    </row>
    <row r="144" spans="1:9" x14ac:dyDescent="0.25">
      <c r="A144" s="54">
        <f t="shared" si="4"/>
        <v>135</v>
      </c>
      <c r="B144" s="57" t="s">
        <v>5</v>
      </c>
      <c r="C144" s="46" t="s">
        <v>291</v>
      </c>
      <c r="D144" s="47">
        <v>1</v>
      </c>
      <c r="E144" s="47" t="s">
        <v>292</v>
      </c>
      <c r="F144" s="47" t="s">
        <v>233</v>
      </c>
      <c r="G144" s="57" t="s">
        <v>293</v>
      </c>
      <c r="I144" s="63" t="s">
        <v>235</v>
      </c>
    </row>
    <row r="145" spans="1:9" x14ac:dyDescent="0.25">
      <c r="A145" s="54">
        <f t="shared" si="4"/>
        <v>136</v>
      </c>
      <c r="B145" s="57" t="s">
        <v>5</v>
      </c>
      <c r="C145" s="46" t="s">
        <v>294</v>
      </c>
      <c r="D145" s="47">
        <v>1</v>
      </c>
      <c r="E145" s="47" t="s">
        <v>292</v>
      </c>
      <c r="F145" s="47" t="s">
        <v>233</v>
      </c>
      <c r="G145" s="57" t="s">
        <v>293</v>
      </c>
      <c r="I145" s="63" t="s">
        <v>235</v>
      </c>
    </row>
    <row r="146" spans="1:9" x14ac:dyDescent="0.25">
      <c r="A146" s="54">
        <f t="shared" si="4"/>
        <v>137</v>
      </c>
      <c r="B146" s="57" t="s">
        <v>5</v>
      </c>
      <c r="C146" s="46" t="s">
        <v>295</v>
      </c>
      <c r="D146" s="47">
        <v>1</v>
      </c>
      <c r="E146" s="47" t="s">
        <v>292</v>
      </c>
      <c r="F146" s="47" t="s">
        <v>233</v>
      </c>
      <c r="G146" s="57" t="s">
        <v>293</v>
      </c>
      <c r="I146" s="63" t="s">
        <v>235</v>
      </c>
    </row>
    <row r="147" spans="1:9" x14ac:dyDescent="0.25">
      <c r="A147" s="54">
        <f t="shared" si="4"/>
        <v>138</v>
      </c>
      <c r="B147" s="57" t="s">
        <v>5</v>
      </c>
      <c r="C147" s="46" t="s">
        <v>296</v>
      </c>
      <c r="D147" s="47">
        <v>1</v>
      </c>
      <c r="E147" s="47" t="s">
        <v>292</v>
      </c>
      <c r="F147" s="47" t="s">
        <v>233</v>
      </c>
      <c r="G147" s="57" t="s">
        <v>293</v>
      </c>
      <c r="I147" s="63" t="s">
        <v>235</v>
      </c>
    </row>
    <row r="148" spans="1:9" x14ac:dyDescent="0.25">
      <c r="A148" s="54">
        <f t="shared" si="4"/>
        <v>139</v>
      </c>
      <c r="B148" s="57" t="s">
        <v>5</v>
      </c>
      <c r="C148" s="46" t="s">
        <v>297</v>
      </c>
      <c r="D148" s="47">
        <v>1</v>
      </c>
      <c r="E148" s="47" t="s">
        <v>292</v>
      </c>
      <c r="F148" s="47" t="s">
        <v>233</v>
      </c>
      <c r="G148" s="57" t="s">
        <v>293</v>
      </c>
      <c r="I148" s="63" t="s">
        <v>235</v>
      </c>
    </row>
    <row r="149" spans="1:9" x14ac:dyDescent="0.25">
      <c r="A149" s="54">
        <f t="shared" si="4"/>
        <v>140</v>
      </c>
      <c r="B149" s="57" t="s">
        <v>5</v>
      </c>
      <c r="C149" s="46" t="s">
        <v>298</v>
      </c>
      <c r="D149" s="47">
        <v>1</v>
      </c>
      <c r="E149" s="47" t="s">
        <v>292</v>
      </c>
      <c r="F149" s="47" t="s">
        <v>233</v>
      </c>
      <c r="G149" s="57" t="s">
        <v>293</v>
      </c>
      <c r="I149" s="63" t="s">
        <v>235</v>
      </c>
    </row>
    <row r="150" spans="1:9" x14ac:dyDescent="0.25">
      <c r="A150" s="54">
        <f t="shared" si="4"/>
        <v>141</v>
      </c>
      <c r="B150" s="57" t="s">
        <v>5</v>
      </c>
      <c r="C150" s="46" t="s">
        <v>299</v>
      </c>
      <c r="D150" s="47">
        <v>1</v>
      </c>
      <c r="E150" s="47" t="s">
        <v>292</v>
      </c>
      <c r="F150" s="47" t="s">
        <v>233</v>
      </c>
      <c r="G150" s="57" t="s">
        <v>293</v>
      </c>
      <c r="I150" s="63" t="s">
        <v>235</v>
      </c>
    </row>
    <row r="151" spans="1:9" x14ac:dyDescent="0.25">
      <c r="A151" s="54">
        <f t="shared" si="4"/>
        <v>142</v>
      </c>
      <c r="B151" s="57" t="s">
        <v>5</v>
      </c>
      <c r="C151" s="46" t="s">
        <v>300</v>
      </c>
      <c r="D151" s="47">
        <v>1</v>
      </c>
      <c r="E151" s="47" t="s">
        <v>292</v>
      </c>
      <c r="F151" s="47" t="s">
        <v>233</v>
      </c>
      <c r="G151" s="57" t="s">
        <v>293</v>
      </c>
      <c r="I151" s="63" t="s">
        <v>235</v>
      </c>
    </row>
    <row r="152" spans="1:9" x14ac:dyDescent="0.25">
      <c r="A152" s="54">
        <f t="shared" si="4"/>
        <v>143</v>
      </c>
      <c r="B152" s="57" t="s">
        <v>4</v>
      </c>
      <c r="C152" s="46" t="s">
        <v>301</v>
      </c>
      <c r="D152" s="47">
        <v>3</v>
      </c>
      <c r="E152" s="47" t="s">
        <v>135</v>
      </c>
      <c r="F152" s="47" t="s">
        <v>135</v>
      </c>
      <c r="G152" s="57" t="s">
        <v>199</v>
      </c>
      <c r="I152" s="60" t="s">
        <v>125</v>
      </c>
    </row>
    <row r="153" spans="1:9" x14ac:dyDescent="0.25">
      <c r="A153" s="54">
        <f t="shared" si="4"/>
        <v>144</v>
      </c>
      <c r="B153" s="57" t="s">
        <v>31</v>
      </c>
      <c r="C153" s="46" t="s">
        <v>302</v>
      </c>
      <c r="D153" s="47">
        <v>1</v>
      </c>
      <c r="E153" s="47" t="s">
        <v>303</v>
      </c>
      <c r="F153" s="47" t="s">
        <v>233</v>
      </c>
      <c r="G153" s="57" t="s">
        <v>304</v>
      </c>
      <c r="I153" s="63" t="s">
        <v>235</v>
      </c>
    </row>
    <row r="154" spans="1:9" x14ac:dyDescent="0.25">
      <c r="A154" s="54">
        <f t="shared" si="4"/>
        <v>145</v>
      </c>
      <c r="B154" s="57" t="s">
        <v>32</v>
      </c>
      <c r="C154" s="46" t="s">
        <v>305</v>
      </c>
      <c r="D154" s="47"/>
      <c r="E154" s="47" t="s">
        <v>135</v>
      </c>
      <c r="F154" s="47" t="s">
        <v>135</v>
      </c>
      <c r="G154" s="57" t="s">
        <v>199</v>
      </c>
      <c r="I154" s="61" t="s">
        <v>131</v>
      </c>
    </row>
    <row r="155" spans="1:9" x14ac:dyDescent="0.25">
      <c r="A155" s="54">
        <f t="shared" si="4"/>
        <v>146</v>
      </c>
      <c r="B155" s="57" t="s">
        <v>33</v>
      </c>
      <c r="C155" s="46" t="s">
        <v>306</v>
      </c>
      <c r="D155" s="47">
        <v>370</v>
      </c>
      <c r="E155" s="47" t="s">
        <v>123</v>
      </c>
      <c r="F155" s="47" t="s">
        <v>233</v>
      </c>
      <c r="G155" s="57" t="s">
        <v>307</v>
      </c>
      <c r="I155" s="64" t="s">
        <v>308</v>
      </c>
    </row>
    <row r="156" spans="1:9" x14ac:dyDescent="0.25">
      <c r="A156" s="54">
        <f t="shared" si="4"/>
        <v>147</v>
      </c>
      <c r="B156" s="57" t="s">
        <v>34</v>
      </c>
      <c r="C156" s="46" t="s">
        <v>309</v>
      </c>
      <c r="D156" s="47">
        <v>350</v>
      </c>
      <c r="E156" s="47" t="s">
        <v>123</v>
      </c>
      <c r="F156" s="47" t="s">
        <v>233</v>
      </c>
      <c r="G156" s="53" t="s">
        <v>307</v>
      </c>
      <c r="I156" s="64" t="s">
        <v>308</v>
      </c>
    </row>
    <row r="157" spans="1:9" x14ac:dyDescent="0.25">
      <c r="A157" s="54">
        <f t="shared" si="4"/>
        <v>148</v>
      </c>
      <c r="B157" s="57" t="s">
        <v>35</v>
      </c>
      <c r="C157" s="46" t="s">
        <v>310</v>
      </c>
      <c r="D157" s="47">
        <v>17</v>
      </c>
      <c r="E157" s="47" t="s">
        <v>123</v>
      </c>
      <c r="F157" s="47" t="s">
        <v>135</v>
      </c>
      <c r="G157" s="57"/>
      <c r="I157" s="60" t="s">
        <v>125</v>
      </c>
    </row>
  </sheetData>
  <mergeCells count="2">
    <mergeCell ref="A5:C5"/>
    <mergeCell ref="A6:C6"/>
  </mergeCells>
  <pageMargins left="0.7" right="0.7" top="0.78740157499999996" bottom="0.78740157499999996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30"/>
  <sheetViews>
    <sheetView showGridLines="0" zoomScaleNormal="100" workbookViewId="0">
      <selection activeCell="H17" sqref="H17"/>
    </sheetView>
  </sheetViews>
  <sheetFormatPr defaultColWidth="11.44140625" defaultRowHeight="12.75" customHeight="1" x14ac:dyDescent="0.25"/>
  <cols>
    <col min="2" max="2" width="5.44140625" customWidth="1"/>
    <col min="3" max="3" width="28.5546875" customWidth="1"/>
    <col min="4" max="4" width="39.88671875" style="58" customWidth="1"/>
    <col min="5" max="5" width="12.6640625" style="58" customWidth="1"/>
    <col min="6" max="6" width="25.5546875" style="58" customWidth="1"/>
    <col min="7" max="7" width="63" style="58" customWidth="1"/>
    <col min="9" max="9" width="22" customWidth="1"/>
  </cols>
  <sheetData>
    <row r="1" spans="2:9" ht="13.2" customHeight="1" x14ac:dyDescent="0.25"/>
    <row r="2" spans="2:9" ht="21" customHeight="1" x14ac:dyDescent="0.25">
      <c r="B2" s="32" t="s">
        <v>311</v>
      </c>
      <c r="D2" s="34"/>
    </row>
    <row r="3" spans="2:9" ht="13.2" customHeight="1" x14ac:dyDescent="0.25">
      <c r="B3" s="33" t="s">
        <v>111</v>
      </c>
      <c r="C3" s="28"/>
      <c r="D3" s="35"/>
      <c r="E3" s="36"/>
      <c r="F3" s="36"/>
      <c r="G3" s="36"/>
      <c r="H3" s="28"/>
    </row>
    <row r="4" spans="2:9" ht="13.2" customHeight="1" x14ac:dyDescent="0.25"/>
    <row r="5" spans="2:9" ht="13.2" customHeight="1" x14ac:dyDescent="0.25">
      <c r="B5" s="70" t="s">
        <v>312</v>
      </c>
      <c r="C5" s="67"/>
      <c r="D5" s="70"/>
      <c r="E5" s="70"/>
    </row>
    <row r="6" spans="2:9" ht="13.2" customHeight="1" x14ac:dyDescent="0.25"/>
    <row r="7" spans="2:9" ht="13.2" customHeight="1" x14ac:dyDescent="0.25">
      <c r="B7" s="37" t="s">
        <v>114</v>
      </c>
      <c r="C7" s="27" t="s">
        <v>115</v>
      </c>
      <c r="D7" s="34" t="s">
        <v>116</v>
      </c>
      <c r="E7" s="34" t="s">
        <v>117</v>
      </c>
      <c r="F7" s="34" t="s">
        <v>313</v>
      </c>
      <c r="G7" s="34" t="s">
        <v>120</v>
      </c>
      <c r="I7" s="59" t="s">
        <v>121</v>
      </c>
    </row>
    <row r="8" spans="2:9" ht="12.6" customHeight="1" x14ac:dyDescent="0.25">
      <c r="B8" s="37">
        <v>1</v>
      </c>
      <c r="C8" s="27" t="s">
        <v>12</v>
      </c>
      <c r="D8" s="2" t="s">
        <v>314</v>
      </c>
      <c r="E8" s="2">
        <v>444</v>
      </c>
      <c r="F8" s="34" t="s">
        <v>315</v>
      </c>
      <c r="G8" s="38" t="s">
        <v>316</v>
      </c>
      <c r="I8" s="60" t="s">
        <v>125</v>
      </c>
    </row>
    <row r="9" spans="2:9" ht="12.6" customHeight="1" x14ac:dyDescent="0.25">
      <c r="B9" s="37">
        <f t="shared" ref="B9:B40" si="0">B8+1</f>
        <v>2</v>
      </c>
      <c r="C9" s="27" t="s">
        <v>12</v>
      </c>
      <c r="D9" s="2" t="s">
        <v>317</v>
      </c>
      <c r="E9" s="2">
        <v>429</v>
      </c>
      <c r="F9" s="34" t="s">
        <v>315</v>
      </c>
      <c r="G9" s="38" t="s">
        <v>316</v>
      </c>
      <c r="I9" s="60" t="s">
        <v>125</v>
      </c>
    </row>
    <row r="10" spans="2:9" ht="12.6" customHeight="1" x14ac:dyDescent="0.25">
      <c r="B10" s="37">
        <f t="shared" si="0"/>
        <v>3</v>
      </c>
      <c r="C10" s="27" t="s">
        <v>38</v>
      </c>
      <c r="D10" s="2" t="s">
        <v>318</v>
      </c>
      <c r="E10" s="2">
        <v>36</v>
      </c>
      <c r="F10" s="34" t="s">
        <v>319</v>
      </c>
      <c r="G10" s="38"/>
      <c r="I10" s="61" t="s">
        <v>131</v>
      </c>
    </row>
    <row r="11" spans="2:9" ht="12.6" customHeight="1" x14ac:dyDescent="0.25">
      <c r="B11" s="37">
        <f t="shared" si="0"/>
        <v>4</v>
      </c>
      <c r="C11" s="27" t="s">
        <v>39</v>
      </c>
      <c r="D11" s="2" t="s">
        <v>320</v>
      </c>
      <c r="E11" s="2">
        <v>37</v>
      </c>
      <c r="F11" s="34" t="s">
        <v>319</v>
      </c>
      <c r="G11" s="34"/>
      <c r="I11" s="60" t="s">
        <v>125</v>
      </c>
    </row>
    <row r="12" spans="2:9" ht="12.6" customHeight="1" x14ac:dyDescent="0.25">
      <c r="B12" s="37">
        <f t="shared" si="0"/>
        <v>5</v>
      </c>
      <c r="C12" s="27" t="s">
        <v>18</v>
      </c>
      <c r="D12" s="34" t="s">
        <v>321</v>
      </c>
      <c r="E12" s="2">
        <v>2</v>
      </c>
      <c r="F12" s="34" t="s">
        <v>319</v>
      </c>
      <c r="G12" s="34"/>
      <c r="I12" s="61" t="s">
        <v>131</v>
      </c>
    </row>
    <row r="13" spans="2:9" ht="12.6" customHeight="1" x14ac:dyDescent="0.25">
      <c r="B13" s="37">
        <f t="shared" si="0"/>
        <v>6</v>
      </c>
      <c r="C13" s="27" t="s">
        <v>40</v>
      </c>
      <c r="D13" s="2" t="s">
        <v>322</v>
      </c>
      <c r="E13" s="2">
        <v>256</v>
      </c>
      <c r="F13" s="34" t="s">
        <v>319</v>
      </c>
      <c r="G13" s="34"/>
      <c r="I13" s="60" t="s">
        <v>125</v>
      </c>
    </row>
    <row r="14" spans="2:9" s="1" customFormat="1" ht="12.6" customHeight="1" x14ac:dyDescent="0.25">
      <c r="B14" s="37">
        <f t="shared" si="0"/>
        <v>7</v>
      </c>
      <c r="C14" s="27" t="s">
        <v>41</v>
      </c>
      <c r="D14" s="2" t="s">
        <v>323</v>
      </c>
      <c r="E14" s="2">
        <v>1</v>
      </c>
      <c r="F14" s="34" t="s">
        <v>319</v>
      </c>
      <c r="G14" s="34"/>
      <c r="I14" s="60" t="s">
        <v>125</v>
      </c>
    </row>
    <row r="15" spans="2:9" ht="12.6" customHeight="1" x14ac:dyDescent="0.25">
      <c r="B15" s="37">
        <f t="shared" si="0"/>
        <v>8</v>
      </c>
      <c r="C15" s="27" t="s">
        <v>42</v>
      </c>
      <c r="D15" s="2" t="s">
        <v>324</v>
      </c>
      <c r="E15" s="2">
        <v>1</v>
      </c>
      <c r="F15" s="34" t="s">
        <v>315</v>
      </c>
      <c r="G15" s="34"/>
      <c r="I15" s="60" t="s">
        <v>125</v>
      </c>
    </row>
    <row r="16" spans="2:9" ht="12.6" customHeight="1" x14ac:dyDescent="0.25">
      <c r="B16" s="37">
        <f t="shared" si="0"/>
        <v>9</v>
      </c>
      <c r="C16" s="27" t="s">
        <v>43</v>
      </c>
      <c r="D16" s="2" t="s">
        <v>325</v>
      </c>
      <c r="E16" s="2">
        <v>71</v>
      </c>
      <c r="F16" s="34" t="s">
        <v>315</v>
      </c>
      <c r="G16" s="38" t="s">
        <v>316</v>
      </c>
      <c r="I16" s="65" t="s">
        <v>326</v>
      </c>
    </row>
    <row r="17" spans="2:9" ht="12.6" customHeight="1" x14ac:dyDescent="0.25">
      <c r="B17" s="37">
        <f t="shared" si="0"/>
        <v>10</v>
      </c>
      <c r="C17" s="27" t="s">
        <v>44</v>
      </c>
      <c r="D17" s="2" t="s">
        <v>327</v>
      </c>
      <c r="E17" s="2">
        <v>1</v>
      </c>
      <c r="F17" s="34" t="s">
        <v>319</v>
      </c>
      <c r="G17" s="34"/>
      <c r="I17" s="61" t="s">
        <v>131</v>
      </c>
    </row>
    <row r="18" spans="2:9" ht="12.6" customHeight="1" x14ac:dyDescent="0.25">
      <c r="B18" s="37">
        <f t="shared" si="0"/>
        <v>11</v>
      </c>
      <c r="C18" s="27" t="s">
        <v>45</v>
      </c>
      <c r="D18" s="2" t="s">
        <v>328</v>
      </c>
      <c r="E18" s="2">
        <v>1</v>
      </c>
      <c r="F18" s="34" t="s">
        <v>319</v>
      </c>
      <c r="G18" s="34"/>
      <c r="I18" s="60" t="s">
        <v>125</v>
      </c>
    </row>
    <row r="19" spans="2:9" ht="12.6" customHeight="1" x14ac:dyDescent="0.25">
      <c r="B19" s="37">
        <f t="shared" si="0"/>
        <v>12</v>
      </c>
      <c r="C19" s="27" t="s">
        <v>46</v>
      </c>
      <c r="D19" s="2" t="s">
        <v>329</v>
      </c>
      <c r="E19" s="2">
        <v>5</v>
      </c>
      <c r="F19" s="34" t="s">
        <v>315</v>
      </c>
      <c r="G19" s="34" t="s">
        <v>316</v>
      </c>
      <c r="I19" s="61" t="s">
        <v>131</v>
      </c>
    </row>
    <row r="20" spans="2:9" ht="12.6" customHeight="1" x14ac:dyDescent="0.25">
      <c r="B20" s="37">
        <f t="shared" si="0"/>
        <v>13</v>
      </c>
      <c r="C20" s="27" t="s">
        <v>13</v>
      </c>
      <c r="D20" s="2" t="s">
        <v>330</v>
      </c>
      <c r="E20" s="2">
        <v>27</v>
      </c>
      <c r="F20" s="34" t="s">
        <v>315</v>
      </c>
      <c r="G20" s="34"/>
      <c r="I20" s="61" t="s">
        <v>131</v>
      </c>
    </row>
    <row r="21" spans="2:9" ht="12.6" customHeight="1" x14ac:dyDescent="0.25">
      <c r="B21" s="37">
        <f t="shared" si="0"/>
        <v>14</v>
      </c>
      <c r="C21" s="27" t="s">
        <v>13</v>
      </c>
      <c r="D21" s="2" t="s">
        <v>331</v>
      </c>
      <c r="E21" s="2">
        <v>25</v>
      </c>
      <c r="F21" s="34" t="s">
        <v>315</v>
      </c>
      <c r="G21" s="34" t="s">
        <v>316</v>
      </c>
      <c r="I21" s="61" t="s">
        <v>131</v>
      </c>
    </row>
    <row r="22" spans="2:9" ht="12.6" customHeight="1" x14ac:dyDescent="0.25">
      <c r="B22" s="37">
        <f t="shared" si="0"/>
        <v>15</v>
      </c>
      <c r="C22" s="27" t="s">
        <v>13</v>
      </c>
      <c r="D22" s="2" t="s">
        <v>332</v>
      </c>
      <c r="E22" s="2">
        <v>9</v>
      </c>
      <c r="F22" s="34" t="s">
        <v>315</v>
      </c>
      <c r="G22" s="34" t="s">
        <v>316</v>
      </c>
      <c r="I22" s="61" t="s">
        <v>131</v>
      </c>
    </row>
    <row r="23" spans="2:9" ht="12.6" customHeight="1" x14ac:dyDescent="0.25">
      <c r="B23" s="37">
        <f t="shared" si="0"/>
        <v>16</v>
      </c>
      <c r="C23" s="27" t="s">
        <v>47</v>
      </c>
      <c r="D23" s="2" t="s">
        <v>333</v>
      </c>
      <c r="E23" s="2">
        <v>1</v>
      </c>
      <c r="F23" s="34" t="s">
        <v>319</v>
      </c>
      <c r="G23" s="34"/>
      <c r="I23" s="60" t="s">
        <v>125</v>
      </c>
    </row>
    <row r="24" spans="2:9" ht="12.6" customHeight="1" x14ac:dyDescent="0.25">
      <c r="B24" s="37">
        <f t="shared" si="0"/>
        <v>17</v>
      </c>
      <c r="C24" s="27" t="s">
        <v>48</v>
      </c>
      <c r="D24" s="2" t="s">
        <v>334</v>
      </c>
      <c r="E24" s="2">
        <v>1</v>
      </c>
      <c r="F24" s="34" t="s">
        <v>319</v>
      </c>
      <c r="G24" s="34"/>
      <c r="I24" s="61" t="s">
        <v>131</v>
      </c>
    </row>
    <row r="25" spans="2:9" ht="12.6" customHeight="1" x14ac:dyDescent="0.25">
      <c r="B25" s="37">
        <f t="shared" si="0"/>
        <v>18</v>
      </c>
      <c r="C25" s="27" t="s">
        <v>49</v>
      </c>
      <c r="D25" s="2" t="s">
        <v>335</v>
      </c>
      <c r="E25" s="2">
        <v>3</v>
      </c>
      <c r="F25" s="34" t="s">
        <v>319</v>
      </c>
      <c r="G25" s="34"/>
      <c r="I25" s="62" t="s">
        <v>150</v>
      </c>
    </row>
    <row r="26" spans="2:9" ht="12.6" customHeight="1" x14ac:dyDescent="0.25">
      <c r="B26" s="37">
        <f t="shared" si="0"/>
        <v>19</v>
      </c>
      <c r="C26" s="27" t="s">
        <v>98</v>
      </c>
      <c r="D26" s="2" t="s">
        <v>336</v>
      </c>
      <c r="E26" s="2">
        <v>335</v>
      </c>
      <c r="F26" s="34" t="s">
        <v>315</v>
      </c>
      <c r="G26" s="34"/>
      <c r="I26" s="60" t="s">
        <v>125</v>
      </c>
    </row>
    <row r="27" spans="2:9" ht="12.6" customHeight="1" x14ac:dyDescent="0.25">
      <c r="B27" s="37">
        <f t="shared" si="0"/>
        <v>20</v>
      </c>
      <c r="C27" s="27" t="s">
        <v>50</v>
      </c>
      <c r="D27" s="2" t="s">
        <v>337</v>
      </c>
      <c r="E27" s="2">
        <v>1</v>
      </c>
      <c r="F27" s="34" t="s">
        <v>315</v>
      </c>
      <c r="G27" s="34" t="s">
        <v>316</v>
      </c>
      <c r="I27" s="60" t="s">
        <v>125</v>
      </c>
    </row>
    <row r="28" spans="2:9" ht="12.6" customHeight="1" x14ac:dyDescent="0.25">
      <c r="B28" s="37">
        <f t="shared" si="0"/>
        <v>21</v>
      </c>
      <c r="C28" s="27" t="s">
        <v>50</v>
      </c>
      <c r="D28" s="2" t="s">
        <v>338</v>
      </c>
      <c r="E28" s="2">
        <v>1</v>
      </c>
      <c r="F28" s="34" t="s">
        <v>315</v>
      </c>
      <c r="G28" s="34" t="s">
        <v>316</v>
      </c>
      <c r="I28" s="60" t="s">
        <v>125</v>
      </c>
    </row>
    <row r="29" spans="2:9" ht="12.6" customHeight="1" x14ac:dyDescent="0.25">
      <c r="B29" s="37">
        <f t="shared" si="0"/>
        <v>22</v>
      </c>
      <c r="C29" s="27" t="s">
        <v>51</v>
      </c>
      <c r="D29" s="2" t="s">
        <v>339</v>
      </c>
      <c r="E29" s="2">
        <v>6</v>
      </c>
      <c r="F29" s="34" t="s">
        <v>319</v>
      </c>
      <c r="G29" s="34"/>
      <c r="I29" s="60" t="s">
        <v>125</v>
      </c>
    </row>
    <row r="30" spans="2:9" ht="12.6" customHeight="1" x14ac:dyDescent="0.25">
      <c r="B30" s="37">
        <f t="shared" si="0"/>
        <v>23</v>
      </c>
      <c r="C30" s="27" t="s">
        <v>52</v>
      </c>
      <c r="D30" s="2" t="s">
        <v>340</v>
      </c>
      <c r="E30" s="2">
        <v>444</v>
      </c>
      <c r="F30" s="34" t="s">
        <v>319</v>
      </c>
      <c r="G30" s="2"/>
      <c r="I30" s="60" t="s">
        <v>125</v>
      </c>
    </row>
    <row r="31" spans="2:9" ht="12.6" customHeight="1" x14ac:dyDescent="0.25">
      <c r="B31" s="37">
        <f t="shared" si="0"/>
        <v>24</v>
      </c>
      <c r="C31" s="27" t="s">
        <v>53</v>
      </c>
      <c r="D31" s="2" t="s">
        <v>341</v>
      </c>
      <c r="E31" s="2">
        <v>3</v>
      </c>
      <c r="F31" s="34" t="s">
        <v>319</v>
      </c>
      <c r="G31" s="34"/>
      <c r="I31" s="62" t="s">
        <v>150</v>
      </c>
    </row>
    <row r="32" spans="2:9" ht="12.6" customHeight="1" x14ac:dyDescent="0.25">
      <c r="B32" s="37">
        <f t="shared" si="0"/>
        <v>25</v>
      </c>
      <c r="C32" s="27" t="s">
        <v>54</v>
      </c>
      <c r="D32" s="2" t="s">
        <v>342</v>
      </c>
      <c r="E32" s="2">
        <v>9</v>
      </c>
      <c r="F32" s="34" t="s">
        <v>319</v>
      </c>
      <c r="G32" s="34"/>
      <c r="I32" s="60" t="s">
        <v>125</v>
      </c>
    </row>
    <row r="33" spans="2:9" ht="12.6" customHeight="1" x14ac:dyDescent="0.25">
      <c r="B33" s="37">
        <f t="shared" si="0"/>
        <v>26</v>
      </c>
      <c r="C33" s="27" t="s">
        <v>55</v>
      </c>
      <c r="D33" s="2" t="s">
        <v>55</v>
      </c>
      <c r="E33" s="2">
        <v>36</v>
      </c>
      <c r="F33" s="34" t="s">
        <v>319</v>
      </c>
      <c r="G33" s="38"/>
      <c r="I33" s="60" t="s">
        <v>125</v>
      </c>
    </row>
    <row r="34" spans="2:9" ht="12.6" customHeight="1" x14ac:dyDescent="0.25">
      <c r="B34" s="37">
        <f t="shared" si="0"/>
        <v>27</v>
      </c>
      <c r="C34" s="27" t="s">
        <v>56</v>
      </c>
      <c r="D34" s="2" t="s">
        <v>343</v>
      </c>
      <c r="E34" s="2">
        <v>1</v>
      </c>
      <c r="F34" s="34" t="s">
        <v>315</v>
      </c>
      <c r="G34" s="34"/>
      <c r="I34" s="60" t="s">
        <v>125</v>
      </c>
    </row>
    <row r="35" spans="2:9" ht="12.6" customHeight="1" x14ac:dyDescent="0.25">
      <c r="B35" s="37">
        <f t="shared" si="0"/>
        <v>28</v>
      </c>
      <c r="C35" s="27" t="s">
        <v>57</v>
      </c>
      <c r="D35" s="2" t="s">
        <v>344</v>
      </c>
      <c r="E35" s="2">
        <v>249</v>
      </c>
      <c r="F35" s="34" t="s">
        <v>319</v>
      </c>
      <c r="G35" s="39"/>
      <c r="I35" s="60" t="s">
        <v>125</v>
      </c>
    </row>
    <row r="36" spans="2:9" ht="12.6" customHeight="1" x14ac:dyDescent="0.25">
      <c r="B36" s="37">
        <f t="shared" si="0"/>
        <v>29</v>
      </c>
      <c r="C36" s="27" t="s">
        <v>58</v>
      </c>
      <c r="D36" s="2" t="s">
        <v>345</v>
      </c>
      <c r="E36" s="2">
        <v>190</v>
      </c>
      <c r="F36" s="34" t="s">
        <v>319</v>
      </c>
      <c r="G36" s="2"/>
      <c r="I36" s="60" t="s">
        <v>125</v>
      </c>
    </row>
    <row r="37" spans="2:9" ht="12.6" customHeight="1" x14ac:dyDescent="0.25">
      <c r="B37" s="37">
        <f t="shared" si="0"/>
        <v>30</v>
      </c>
      <c r="C37" s="27" t="s">
        <v>59</v>
      </c>
      <c r="D37" s="2" t="s">
        <v>346</v>
      </c>
      <c r="E37" s="2">
        <v>1</v>
      </c>
      <c r="F37" s="34" t="s">
        <v>319</v>
      </c>
      <c r="G37" s="34"/>
      <c r="I37" s="62" t="s">
        <v>150</v>
      </c>
    </row>
    <row r="38" spans="2:9" ht="12.6" customHeight="1" x14ac:dyDescent="0.25">
      <c r="B38" s="37">
        <f t="shared" si="0"/>
        <v>31</v>
      </c>
      <c r="C38" s="27" t="s">
        <v>60</v>
      </c>
      <c r="D38" s="2" t="s">
        <v>347</v>
      </c>
      <c r="E38" s="2">
        <v>1</v>
      </c>
      <c r="F38" s="34" t="s">
        <v>319</v>
      </c>
      <c r="G38" s="34"/>
      <c r="I38" s="62" t="s">
        <v>150</v>
      </c>
    </row>
    <row r="39" spans="2:9" ht="12.6" customHeight="1" x14ac:dyDescent="0.25">
      <c r="B39" s="37">
        <f t="shared" si="0"/>
        <v>32</v>
      </c>
      <c r="C39" s="27" t="s">
        <v>61</v>
      </c>
      <c r="D39" s="2" t="s">
        <v>348</v>
      </c>
      <c r="E39" s="2">
        <v>12</v>
      </c>
      <c r="F39" s="34" t="s">
        <v>319</v>
      </c>
      <c r="G39" s="34"/>
      <c r="I39" s="60" t="s">
        <v>125</v>
      </c>
    </row>
    <row r="40" spans="2:9" ht="12.6" customHeight="1" x14ac:dyDescent="0.25">
      <c r="B40" s="37">
        <f t="shared" si="0"/>
        <v>33</v>
      </c>
      <c r="C40" s="27" t="s">
        <v>62</v>
      </c>
      <c r="D40" s="2" t="s">
        <v>349</v>
      </c>
      <c r="E40" s="2">
        <v>41</v>
      </c>
      <c r="F40" s="34" t="s">
        <v>315</v>
      </c>
      <c r="G40" s="34"/>
      <c r="I40" s="60" t="s">
        <v>125</v>
      </c>
    </row>
    <row r="41" spans="2:9" ht="12.6" customHeight="1" x14ac:dyDescent="0.25">
      <c r="B41" s="37">
        <f t="shared" ref="B41:B72" si="1">B40+1</f>
        <v>34</v>
      </c>
      <c r="C41" s="27" t="s">
        <v>63</v>
      </c>
      <c r="D41" s="34" t="s">
        <v>350</v>
      </c>
      <c r="E41" s="2">
        <v>6</v>
      </c>
      <c r="F41" s="34" t="s">
        <v>315</v>
      </c>
      <c r="G41" s="34"/>
      <c r="I41" s="60" t="s">
        <v>125</v>
      </c>
    </row>
    <row r="42" spans="2:9" ht="12.6" customHeight="1" x14ac:dyDescent="0.25">
      <c r="B42" s="37">
        <f t="shared" si="1"/>
        <v>35</v>
      </c>
      <c r="C42" s="27" t="s">
        <v>64</v>
      </c>
      <c r="D42" s="2" t="s">
        <v>351</v>
      </c>
      <c r="E42" s="2">
        <v>11</v>
      </c>
      <c r="F42" s="34" t="s">
        <v>319</v>
      </c>
      <c r="G42" s="34"/>
      <c r="I42" s="60" t="s">
        <v>125</v>
      </c>
    </row>
    <row r="43" spans="2:9" ht="12.6" customHeight="1" x14ac:dyDescent="0.25">
      <c r="B43" s="37">
        <f t="shared" si="1"/>
        <v>36</v>
      </c>
      <c r="C43" s="27" t="s">
        <v>65</v>
      </c>
      <c r="D43" s="2" t="s">
        <v>352</v>
      </c>
      <c r="E43" s="2">
        <v>229</v>
      </c>
      <c r="F43" s="34" t="s">
        <v>315</v>
      </c>
      <c r="G43" s="38" t="s">
        <v>316</v>
      </c>
      <c r="I43" s="60" t="s">
        <v>125</v>
      </c>
    </row>
    <row r="44" spans="2:9" ht="12.6" customHeight="1" x14ac:dyDescent="0.25">
      <c r="B44" s="37">
        <f t="shared" si="1"/>
        <v>37</v>
      </c>
      <c r="C44" s="27" t="s">
        <v>66</v>
      </c>
      <c r="D44" s="2" t="s">
        <v>353</v>
      </c>
      <c r="E44" s="2">
        <v>4</v>
      </c>
      <c r="F44" s="34" t="s">
        <v>315</v>
      </c>
      <c r="G44" s="34"/>
      <c r="I44" s="62" t="s">
        <v>150</v>
      </c>
    </row>
    <row r="45" spans="2:9" ht="12.6" customHeight="1" x14ac:dyDescent="0.25">
      <c r="B45" s="37">
        <f t="shared" si="1"/>
        <v>38</v>
      </c>
      <c r="C45" s="27" t="s">
        <v>67</v>
      </c>
      <c r="D45" s="2" t="s">
        <v>354</v>
      </c>
      <c r="E45" s="2">
        <v>2</v>
      </c>
      <c r="F45" s="34" t="s">
        <v>315</v>
      </c>
      <c r="G45" s="34"/>
      <c r="I45" s="62" t="s">
        <v>150</v>
      </c>
    </row>
    <row r="46" spans="2:9" ht="12.6" customHeight="1" x14ac:dyDescent="0.25">
      <c r="B46" s="37">
        <f t="shared" si="1"/>
        <v>39</v>
      </c>
      <c r="C46" s="27" t="s">
        <v>68</v>
      </c>
      <c r="D46" s="2" t="s">
        <v>355</v>
      </c>
      <c r="E46" s="2">
        <v>441</v>
      </c>
      <c r="F46" s="34" t="s">
        <v>319</v>
      </c>
      <c r="G46" s="2"/>
      <c r="I46" s="60" t="s">
        <v>125</v>
      </c>
    </row>
    <row r="47" spans="2:9" ht="12.6" customHeight="1" x14ac:dyDescent="0.25">
      <c r="B47" s="37">
        <f t="shared" si="1"/>
        <v>40</v>
      </c>
      <c r="C47" s="27" t="s">
        <v>69</v>
      </c>
      <c r="D47" s="2" t="s">
        <v>356</v>
      </c>
      <c r="E47" s="2">
        <v>422</v>
      </c>
      <c r="F47" s="34" t="s">
        <v>315</v>
      </c>
      <c r="G47" s="34"/>
      <c r="I47" s="60" t="s">
        <v>125</v>
      </c>
    </row>
    <row r="48" spans="2:9" ht="12.6" customHeight="1" x14ac:dyDescent="0.25">
      <c r="B48" s="37">
        <f t="shared" si="1"/>
        <v>41</v>
      </c>
      <c r="C48" s="27" t="s">
        <v>70</v>
      </c>
      <c r="D48" s="2" t="s">
        <v>357</v>
      </c>
      <c r="E48" s="2">
        <v>2</v>
      </c>
      <c r="F48" s="34" t="s">
        <v>319</v>
      </c>
      <c r="G48" s="34"/>
      <c r="I48" s="60" t="s">
        <v>125</v>
      </c>
    </row>
    <row r="49" spans="2:9" ht="12.6" customHeight="1" x14ac:dyDescent="0.25">
      <c r="B49" s="37">
        <f t="shared" si="1"/>
        <v>42</v>
      </c>
      <c r="C49" s="27" t="s">
        <v>71</v>
      </c>
      <c r="D49" s="2" t="s">
        <v>358</v>
      </c>
      <c r="E49" s="2">
        <v>5</v>
      </c>
      <c r="F49" s="34" t="s">
        <v>319</v>
      </c>
      <c r="G49" s="34"/>
      <c r="I49" s="60" t="s">
        <v>125</v>
      </c>
    </row>
    <row r="50" spans="2:9" ht="12.6" customHeight="1" x14ac:dyDescent="0.25">
      <c r="B50" s="37">
        <f t="shared" si="1"/>
        <v>43</v>
      </c>
      <c r="C50" s="27" t="s">
        <v>72</v>
      </c>
      <c r="D50" s="2" t="s">
        <v>359</v>
      </c>
      <c r="E50" s="2">
        <v>1</v>
      </c>
      <c r="F50" s="34" t="s">
        <v>315</v>
      </c>
      <c r="G50" s="34"/>
      <c r="I50" s="60" t="s">
        <v>125</v>
      </c>
    </row>
    <row r="51" spans="2:9" ht="12.6" customHeight="1" x14ac:dyDescent="0.25">
      <c r="B51" s="37">
        <f t="shared" si="1"/>
        <v>44</v>
      </c>
      <c r="C51" s="27" t="s">
        <v>73</v>
      </c>
      <c r="D51" s="2" t="s">
        <v>360</v>
      </c>
      <c r="E51" s="2">
        <v>49</v>
      </c>
      <c r="F51" s="34" t="s">
        <v>315</v>
      </c>
      <c r="G51" s="34" t="s">
        <v>316</v>
      </c>
      <c r="I51" s="60" t="s">
        <v>125</v>
      </c>
    </row>
    <row r="52" spans="2:9" ht="12.6" customHeight="1" x14ac:dyDescent="0.25">
      <c r="B52" s="37">
        <f t="shared" si="1"/>
        <v>45</v>
      </c>
      <c r="C52" s="27" t="s">
        <v>73</v>
      </c>
      <c r="D52" s="2" t="s">
        <v>361</v>
      </c>
      <c r="E52" s="2">
        <v>42</v>
      </c>
      <c r="F52" s="34" t="s">
        <v>315</v>
      </c>
      <c r="G52" s="38" t="s">
        <v>316</v>
      </c>
      <c r="I52" s="60" t="s">
        <v>125</v>
      </c>
    </row>
    <row r="53" spans="2:9" ht="12.6" customHeight="1" x14ac:dyDescent="0.25">
      <c r="B53" s="37">
        <f t="shared" si="1"/>
        <v>46</v>
      </c>
      <c r="C53" s="27" t="s">
        <v>74</v>
      </c>
      <c r="D53" s="2" t="s">
        <v>362</v>
      </c>
      <c r="E53" s="2">
        <v>1</v>
      </c>
      <c r="F53" s="34" t="s">
        <v>319</v>
      </c>
      <c r="G53" s="34"/>
      <c r="I53" s="62" t="s">
        <v>150</v>
      </c>
    </row>
    <row r="54" spans="2:9" ht="12.6" customHeight="1" x14ac:dyDescent="0.25">
      <c r="B54" s="37">
        <f t="shared" si="1"/>
        <v>47</v>
      </c>
      <c r="C54" s="27" t="s">
        <v>75</v>
      </c>
      <c r="D54" s="2" t="s">
        <v>363</v>
      </c>
      <c r="E54" s="2">
        <v>26</v>
      </c>
      <c r="F54" s="34" t="s">
        <v>319</v>
      </c>
      <c r="G54" s="34"/>
      <c r="I54" s="62" t="s">
        <v>150</v>
      </c>
    </row>
    <row r="55" spans="2:9" ht="12.6" customHeight="1" x14ac:dyDescent="0.25">
      <c r="B55" s="37">
        <f t="shared" si="1"/>
        <v>48</v>
      </c>
      <c r="C55" s="27" t="s">
        <v>76</v>
      </c>
      <c r="D55" s="2" t="s">
        <v>364</v>
      </c>
      <c r="E55" s="2">
        <v>3</v>
      </c>
      <c r="F55" s="34" t="s">
        <v>319</v>
      </c>
      <c r="G55" s="34"/>
      <c r="I55" s="60" t="s">
        <v>125</v>
      </c>
    </row>
    <row r="56" spans="2:9" ht="12.6" customHeight="1" x14ac:dyDescent="0.25">
      <c r="B56" s="37">
        <f t="shared" si="1"/>
        <v>49</v>
      </c>
      <c r="C56" s="27" t="s">
        <v>77</v>
      </c>
      <c r="D56" s="2" t="s">
        <v>365</v>
      </c>
      <c r="E56" s="2">
        <v>216</v>
      </c>
      <c r="F56" s="34" t="s">
        <v>315</v>
      </c>
      <c r="G56" s="34" t="s">
        <v>316</v>
      </c>
      <c r="I56" s="60" t="s">
        <v>125</v>
      </c>
    </row>
    <row r="57" spans="2:9" ht="12.6" customHeight="1" x14ac:dyDescent="0.25">
      <c r="B57" s="37">
        <f t="shared" si="1"/>
        <v>50</v>
      </c>
      <c r="C57" s="27" t="s">
        <v>78</v>
      </c>
      <c r="D57" s="2" t="s">
        <v>366</v>
      </c>
      <c r="E57" s="2">
        <v>7</v>
      </c>
      <c r="F57" s="34" t="s">
        <v>319</v>
      </c>
      <c r="G57" s="34"/>
      <c r="I57" s="60" t="s">
        <v>125</v>
      </c>
    </row>
    <row r="58" spans="2:9" ht="12.6" customHeight="1" x14ac:dyDescent="0.25">
      <c r="B58" s="37">
        <f t="shared" si="1"/>
        <v>51</v>
      </c>
      <c r="C58" s="27" t="s">
        <v>3</v>
      </c>
      <c r="D58" s="40" t="s">
        <v>367</v>
      </c>
      <c r="E58" s="40">
        <v>23</v>
      </c>
      <c r="F58" s="34" t="s">
        <v>315</v>
      </c>
      <c r="G58" s="34"/>
      <c r="I58" s="61" t="s">
        <v>131</v>
      </c>
    </row>
    <row r="59" spans="2:9" ht="13.5" customHeight="1" x14ac:dyDescent="0.25">
      <c r="B59" s="37">
        <f t="shared" si="1"/>
        <v>52</v>
      </c>
      <c r="C59" s="27" t="s">
        <v>3</v>
      </c>
      <c r="D59" s="2" t="s">
        <v>368</v>
      </c>
      <c r="E59" s="2">
        <v>1</v>
      </c>
      <c r="F59" s="34" t="s">
        <v>315</v>
      </c>
      <c r="G59" s="34"/>
      <c r="I59" s="61" t="s">
        <v>131</v>
      </c>
    </row>
    <row r="60" spans="2:9" ht="12.6" customHeight="1" x14ac:dyDescent="0.25">
      <c r="B60" s="37">
        <f t="shared" si="1"/>
        <v>53</v>
      </c>
      <c r="C60" s="27" t="s">
        <v>79</v>
      </c>
      <c r="D60" s="2" t="s">
        <v>369</v>
      </c>
      <c r="E60" s="2">
        <v>1</v>
      </c>
      <c r="F60" s="34" t="s">
        <v>319</v>
      </c>
      <c r="G60" s="34"/>
      <c r="I60" s="62" t="s">
        <v>150</v>
      </c>
    </row>
    <row r="61" spans="2:9" ht="12.6" customHeight="1" x14ac:dyDescent="0.25">
      <c r="B61" s="37">
        <f t="shared" si="1"/>
        <v>54</v>
      </c>
      <c r="C61" s="27" t="s">
        <v>4</v>
      </c>
      <c r="D61" s="2" t="s">
        <v>370</v>
      </c>
      <c r="E61" s="2">
        <v>17</v>
      </c>
      <c r="F61" s="34" t="s">
        <v>315</v>
      </c>
      <c r="G61" s="34"/>
      <c r="I61" s="60" t="s">
        <v>125</v>
      </c>
    </row>
    <row r="62" spans="2:9" s="3" customFormat="1" ht="12.6" customHeight="1" x14ac:dyDescent="0.25">
      <c r="B62" s="37">
        <f t="shared" si="1"/>
        <v>55</v>
      </c>
      <c r="C62" s="27" t="s">
        <v>4</v>
      </c>
      <c r="D62" s="2" t="s">
        <v>371</v>
      </c>
      <c r="E62" s="2">
        <v>448</v>
      </c>
      <c r="F62" s="34" t="s">
        <v>315</v>
      </c>
      <c r="G62" s="34" t="s">
        <v>316</v>
      </c>
      <c r="I62" s="60" t="s">
        <v>125</v>
      </c>
    </row>
    <row r="63" spans="2:9" ht="12.6" customHeight="1" x14ac:dyDescent="0.25">
      <c r="B63" s="37">
        <f t="shared" si="1"/>
        <v>56</v>
      </c>
      <c r="C63" s="27" t="s">
        <v>4</v>
      </c>
      <c r="D63" s="2" t="s">
        <v>372</v>
      </c>
      <c r="E63" s="2">
        <v>441</v>
      </c>
      <c r="F63" s="34" t="s">
        <v>319</v>
      </c>
      <c r="G63" s="34"/>
      <c r="I63" s="60" t="s">
        <v>125</v>
      </c>
    </row>
    <row r="64" spans="2:9" ht="12.6" customHeight="1" x14ac:dyDescent="0.25">
      <c r="B64" s="37">
        <f t="shared" si="1"/>
        <v>57</v>
      </c>
      <c r="C64" s="27" t="s">
        <v>4</v>
      </c>
      <c r="D64" s="2" t="s">
        <v>373</v>
      </c>
      <c r="E64" s="2">
        <v>440</v>
      </c>
      <c r="F64" s="34" t="s">
        <v>315</v>
      </c>
      <c r="G64" s="34"/>
      <c r="I64" s="60" t="s">
        <v>125</v>
      </c>
    </row>
    <row r="65" spans="2:9" ht="12.6" customHeight="1" x14ac:dyDescent="0.25">
      <c r="B65" s="37">
        <f t="shared" si="1"/>
        <v>58</v>
      </c>
      <c r="C65" s="27" t="s">
        <v>4</v>
      </c>
      <c r="D65" s="2" t="s">
        <v>374</v>
      </c>
      <c r="E65" s="2">
        <v>401</v>
      </c>
      <c r="F65" s="34" t="s">
        <v>315</v>
      </c>
      <c r="G65" s="34"/>
      <c r="I65" s="60" t="s">
        <v>125</v>
      </c>
    </row>
    <row r="66" spans="2:9" ht="12.6" customHeight="1" x14ac:dyDescent="0.25">
      <c r="B66" s="37">
        <f t="shared" si="1"/>
        <v>59</v>
      </c>
      <c r="C66" s="27" t="s">
        <v>4</v>
      </c>
      <c r="D66" s="2" t="s">
        <v>375</v>
      </c>
      <c r="E66" s="2">
        <v>44</v>
      </c>
      <c r="F66" s="34" t="s">
        <v>319</v>
      </c>
      <c r="G66" s="34"/>
      <c r="I66" s="60" t="s">
        <v>125</v>
      </c>
    </row>
    <row r="67" spans="2:9" ht="12.6" customHeight="1" x14ac:dyDescent="0.25">
      <c r="B67" s="37">
        <f t="shared" si="1"/>
        <v>60</v>
      </c>
      <c r="C67" s="27" t="s">
        <v>4</v>
      </c>
      <c r="D67" s="2" t="s">
        <v>376</v>
      </c>
      <c r="E67" s="2">
        <v>33</v>
      </c>
      <c r="F67" s="34" t="s">
        <v>315</v>
      </c>
      <c r="G67" s="34"/>
      <c r="I67" s="60" t="s">
        <v>125</v>
      </c>
    </row>
    <row r="68" spans="2:9" ht="12.6" customHeight="1" x14ac:dyDescent="0.25">
      <c r="B68" s="37">
        <f t="shared" si="1"/>
        <v>61</v>
      </c>
      <c r="C68" s="27" t="s">
        <v>4</v>
      </c>
      <c r="D68" s="2" t="s">
        <v>377</v>
      </c>
      <c r="E68" s="2">
        <v>20</v>
      </c>
      <c r="F68" s="34" t="s">
        <v>319</v>
      </c>
      <c r="G68" s="34"/>
      <c r="I68" s="60" t="s">
        <v>125</v>
      </c>
    </row>
    <row r="69" spans="2:9" ht="12.6" customHeight="1" x14ac:dyDescent="0.25">
      <c r="B69" s="37">
        <f t="shared" si="1"/>
        <v>62</v>
      </c>
      <c r="C69" s="27" t="s">
        <v>4</v>
      </c>
      <c r="D69" s="2" t="s">
        <v>378</v>
      </c>
      <c r="E69" s="2">
        <v>18</v>
      </c>
      <c r="F69" s="34" t="s">
        <v>319</v>
      </c>
      <c r="G69" s="34"/>
      <c r="I69" s="60" t="s">
        <v>125</v>
      </c>
    </row>
    <row r="70" spans="2:9" ht="12.6" customHeight="1" x14ac:dyDescent="0.25">
      <c r="B70" s="37">
        <f t="shared" si="1"/>
        <v>63</v>
      </c>
      <c r="C70" s="27" t="s">
        <v>4</v>
      </c>
      <c r="D70" s="2" t="s">
        <v>379</v>
      </c>
      <c r="E70" s="2">
        <v>13</v>
      </c>
      <c r="F70" s="34" t="s">
        <v>315</v>
      </c>
      <c r="G70" s="34" t="s">
        <v>316</v>
      </c>
      <c r="I70" s="60" t="s">
        <v>125</v>
      </c>
    </row>
    <row r="71" spans="2:9" ht="12.6" customHeight="1" x14ac:dyDescent="0.25">
      <c r="B71" s="37">
        <f t="shared" si="1"/>
        <v>64</v>
      </c>
      <c r="C71" s="27" t="s">
        <v>4</v>
      </c>
      <c r="D71" s="2" t="s">
        <v>380</v>
      </c>
      <c r="E71" s="2">
        <v>419</v>
      </c>
      <c r="F71" s="34" t="s">
        <v>315</v>
      </c>
      <c r="G71" s="34"/>
      <c r="I71" s="60" t="s">
        <v>125</v>
      </c>
    </row>
    <row r="72" spans="2:9" ht="12.6" customHeight="1" x14ac:dyDescent="0.25">
      <c r="B72" s="37">
        <f t="shared" si="1"/>
        <v>65</v>
      </c>
      <c r="C72" s="27" t="s">
        <v>4</v>
      </c>
      <c r="D72" s="34" t="s">
        <v>381</v>
      </c>
      <c r="E72" s="2">
        <v>444</v>
      </c>
      <c r="F72" s="34" t="s">
        <v>315</v>
      </c>
      <c r="G72" s="34"/>
      <c r="H72" s="5"/>
      <c r="I72" s="60" t="s">
        <v>125</v>
      </c>
    </row>
    <row r="73" spans="2:9" ht="12.6" customHeight="1" x14ac:dyDescent="0.25">
      <c r="B73" s="37">
        <f t="shared" ref="B73:B104" si="2">B72+1</f>
        <v>66</v>
      </c>
      <c r="C73" s="27" t="s">
        <v>4</v>
      </c>
      <c r="D73" s="2" t="s">
        <v>301</v>
      </c>
      <c r="E73" s="34">
        <v>3</v>
      </c>
      <c r="F73" s="34" t="s">
        <v>315</v>
      </c>
      <c r="G73" s="34"/>
      <c r="I73" s="60" t="s">
        <v>125</v>
      </c>
    </row>
    <row r="74" spans="2:9" ht="12.6" customHeight="1" x14ac:dyDescent="0.25">
      <c r="B74" s="37">
        <f t="shared" si="2"/>
        <v>67</v>
      </c>
      <c r="C74" s="27" t="s">
        <v>4</v>
      </c>
      <c r="D74" s="34" t="s">
        <v>382</v>
      </c>
      <c r="E74" s="34">
        <v>1</v>
      </c>
      <c r="F74" s="34" t="s">
        <v>315</v>
      </c>
      <c r="G74" s="34" t="s">
        <v>316</v>
      </c>
      <c r="I74" s="60" t="s">
        <v>125</v>
      </c>
    </row>
    <row r="75" spans="2:9" ht="12.6" customHeight="1" x14ac:dyDescent="0.25">
      <c r="B75" s="37">
        <f t="shared" si="2"/>
        <v>68</v>
      </c>
      <c r="C75" s="27" t="s">
        <v>4</v>
      </c>
      <c r="D75" s="34" t="s">
        <v>383</v>
      </c>
      <c r="E75" s="34">
        <v>15</v>
      </c>
      <c r="F75" s="34" t="s">
        <v>315</v>
      </c>
      <c r="G75" s="34"/>
      <c r="I75" s="60" t="s">
        <v>125</v>
      </c>
    </row>
    <row r="76" spans="2:9" ht="12.6" customHeight="1" x14ac:dyDescent="0.3">
      <c r="B76" s="37">
        <f t="shared" si="2"/>
        <v>69</v>
      </c>
      <c r="C76" s="27" t="s">
        <v>4</v>
      </c>
      <c r="D76" s="41" t="s">
        <v>384</v>
      </c>
      <c r="E76" s="2">
        <v>4</v>
      </c>
      <c r="F76" s="34" t="s">
        <v>315</v>
      </c>
      <c r="G76" s="34"/>
      <c r="I76" s="60" t="s">
        <v>125</v>
      </c>
    </row>
    <row r="77" spans="2:9" ht="12.6" customHeight="1" x14ac:dyDescent="0.25">
      <c r="B77" s="37">
        <f t="shared" si="2"/>
        <v>70</v>
      </c>
      <c r="C77" s="27" t="s">
        <v>4</v>
      </c>
      <c r="D77" s="34" t="s">
        <v>385</v>
      </c>
      <c r="E77" s="34">
        <v>7</v>
      </c>
      <c r="F77" s="34" t="s">
        <v>315</v>
      </c>
      <c r="G77" s="34"/>
      <c r="I77" s="60" t="s">
        <v>125</v>
      </c>
    </row>
    <row r="78" spans="2:9" ht="12.6" customHeight="1" x14ac:dyDescent="0.25">
      <c r="B78" s="37">
        <f t="shared" si="2"/>
        <v>71</v>
      </c>
      <c r="C78" s="27" t="s">
        <v>4</v>
      </c>
      <c r="D78" s="2" t="s">
        <v>386</v>
      </c>
      <c r="E78" s="2">
        <v>42</v>
      </c>
      <c r="F78" s="34" t="s">
        <v>315</v>
      </c>
      <c r="G78" s="38"/>
      <c r="I78" s="60" t="s">
        <v>125</v>
      </c>
    </row>
    <row r="79" spans="2:9" ht="12.6" customHeight="1" x14ac:dyDescent="0.25">
      <c r="B79" s="37">
        <f t="shared" si="2"/>
        <v>72</v>
      </c>
      <c r="C79" s="27" t="s">
        <v>4</v>
      </c>
      <c r="D79" s="2" t="s">
        <v>387</v>
      </c>
      <c r="E79" s="2">
        <v>5</v>
      </c>
      <c r="F79" s="34" t="s">
        <v>315</v>
      </c>
      <c r="G79" s="34"/>
      <c r="I79" s="60" t="s">
        <v>125</v>
      </c>
    </row>
    <row r="80" spans="2:9" s="3" customFormat="1" ht="12.6" customHeight="1" x14ac:dyDescent="0.25">
      <c r="B80" s="37">
        <f t="shared" si="2"/>
        <v>73</v>
      </c>
      <c r="C80" s="27" t="s">
        <v>4</v>
      </c>
      <c r="D80" s="2" t="s">
        <v>388</v>
      </c>
      <c r="E80" s="2">
        <v>2</v>
      </c>
      <c r="F80" s="34" t="s">
        <v>315</v>
      </c>
      <c r="G80" s="34"/>
      <c r="I80" s="60" t="s">
        <v>125</v>
      </c>
    </row>
    <row r="81" spans="2:9" ht="12.6" customHeight="1" x14ac:dyDescent="0.25">
      <c r="B81" s="37">
        <f t="shared" si="2"/>
        <v>74</v>
      </c>
      <c r="C81" s="27" t="s">
        <v>4</v>
      </c>
      <c r="D81" s="2" t="s">
        <v>389</v>
      </c>
      <c r="E81" s="2">
        <v>1</v>
      </c>
      <c r="F81" s="34" t="s">
        <v>319</v>
      </c>
      <c r="G81" s="34"/>
      <c r="I81" s="60" t="s">
        <v>125</v>
      </c>
    </row>
    <row r="82" spans="2:9" ht="12.6" customHeight="1" x14ac:dyDescent="0.25">
      <c r="B82" s="37">
        <f t="shared" si="2"/>
        <v>75</v>
      </c>
      <c r="C82" s="27" t="s">
        <v>4</v>
      </c>
      <c r="D82" s="2" t="s">
        <v>390</v>
      </c>
      <c r="E82" s="2">
        <v>1</v>
      </c>
      <c r="F82" s="34" t="s">
        <v>315</v>
      </c>
      <c r="G82" s="34"/>
      <c r="I82" s="60" t="s">
        <v>125</v>
      </c>
    </row>
    <row r="83" spans="2:9" ht="12.6" customHeight="1" x14ac:dyDescent="0.25">
      <c r="B83" s="37">
        <f t="shared" si="2"/>
        <v>76</v>
      </c>
      <c r="C83" s="27" t="s">
        <v>80</v>
      </c>
      <c r="D83" s="34" t="s">
        <v>391</v>
      </c>
      <c r="E83" s="34">
        <v>1</v>
      </c>
      <c r="F83" s="34" t="s">
        <v>315</v>
      </c>
      <c r="G83" s="34"/>
      <c r="I83" s="60" t="s">
        <v>125</v>
      </c>
    </row>
    <row r="84" spans="2:9" ht="12.6" customHeight="1" x14ac:dyDescent="0.25">
      <c r="B84" s="37">
        <f t="shared" si="2"/>
        <v>77</v>
      </c>
      <c r="C84" s="27" t="s">
        <v>81</v>
      </c>
      <c r="D84" s="2" t="s">
        <v>392</v>
      </c>
      <c r="E84" s="2">
        <v>223</v>
      </c>
      <c r="F84" s="34" t="s">
        <v>319</v>
      </c>
      <c r="G84" s="34"/>
      <c r="I84" s="60" t="s">
        <v>125</v>
      </c>
    </row>
    <row r="85" spans="2:9" ht="12.6" customHeight="1" x14ac:dyDescent="0.25">
      <c r="B85" s="37">
        <f t="shared" si="2"/>
        <v>78</v>
      </c>
      <c r="C85" s="27" t="s">
        <v>82</v>
      </c>
      <c r="D85" s="2" t="s">
        <v>393</v>
      </c>
      <c r="E85" s="2">
        <v>369</v>
      </c>
      <c r="F85" s="34" t="s">
        <v>319</v>
      </c>
      <c r="G85" s="38"/>
      <c r="I85" s="60" t="s">
        <v>125</v>
      </c>
    </row>
    <row r="86" spans="2:9" ht="12.6" customHeight="1" x14ac:dyDescent="0.25">
      <c r="B86" s="37">
        <f t="shared" si="2"/>
        <v>79</v>
      </c>
      <c r="C86" s="27" t="s">
        <v>83</v>
      </c>
      <c r="D86" s="2" t="s">
        <v>394</v>
      </c>
      <c r="E86" s="2">
        <v>75</v>
      </c>
      <c r="F86" s="34" t="s">
        <v>315</v>
      </c>
      <c r="G86" s="34"/>
      <c r="I86" s="60" t="s">
        <v>125</v>
      </c>
    </row>
    <row r="87" spans="2:9" ht="12.6" customHeight="1" x14ac:dyDescent="0.25">
      <c r="B87" s="37">
        <f t="shared" si="2"/>
        <v>80</v>
      </c>
      <c r="C87" s="27" t="s">
        <v>84</v>
      </c>
      <c r="D87" s="2" t="s">
        <v>395</v>
      </c>
      <c r="E87" s="2">
        <v>1</v>
      </c>
      <c r="F87" s="34" t="s">
        <v>319</v>
      </c>
      <c r="G87" s="34"/>
      <c r="I87" s="62" t="s">
        <v>150</v>
      </c>
    </row>
    <row r="88" spans="2:9" ht="12.6" customHeight="1" x14ac:dyDescent="0.25">
      <c r="B88" s="37">
        <f t="shared" si="2"/>
        <v>81</v>
      </c>
      <c r="C88" s="27" t="s">
        <v>85</v>
      </c>
      <c r="D88" s="2" t="s">
        <v>396</v>
      </c>
      <c r="E88" s="2">
        <v>52</v>
      </c>
      <c r="F88" s="34" t="s">
        <v>319</v>
      </c>
      <c r="G88" s="34"/>
      <c r="I88" s="60" t="s">
        <v>125</v>
      </c>
    </row>
    <row r="89" spans="2:9" ht="12.6" customHeight="1" x14ac:dyDescent="0.25">
      <c r="B89" s="37">
        <f t="shared" si="2"/>
        <v>82</v>
      </c>
      <c r="C89" s="27" t="s">
        <v>86</v>
      </c>
      <c r="D89" s="34" t="s">
        <v>397</v>
      </c>
      <c r="E89" s="34">
        <v>51</v>
      </c>
      <c r="F89" s="34" t="s">
        <v>315</v>
      </c>
      <c r="G89" s="34"/>
      <c r="I89" s="60" t="s">
        <v>125</v>
      </c>
    </row>
    <row r="90" spans="2:9" ht="12.6" customHeight="1" x14ac:dyDescent="0.25">
      <c r="B90" s="37">
        <f t="shared" si="2"/>
        <v>83</v>
      </c>
      <c r="C90" s="27" t="s">
        <v>87</v>
      </c>
      <c r="D90" s="2" t="s">
        <v>398</v>
      </c>
      <c r="E90" s="42">
        <v>145</v>
      </c>
      <c r="F90" s="34" t="s">
        <v>315</v>
      </c>
      <c r="G90" s="34" t="s">
        <v>316</v>
      </c>
      <c r="I90" s="60" t="s">
        <v>125</v>
      </c>
    </row>
    <row r="91" spans="2:9" ht="12.6" customHeight="1" x14ac:dyDescent="0.25">
      <c r="B91" s="37">
        <f t="shared" si="2"/>
        <v>84</v>
      </c>
      <c r="C91" s="27" t="s">
        <v>87</v>
      </c>
      <c r="D91" s="2" t="s">
        <v>399</v>
      </c>
      <c r="E91" s="42">
        <v>143</v>
      </c>
      <c r="F91" s="34" t="s">
        <v>315</v>
      </c>
      <c r="G91" s="34" t="s">
        <v>316</v>
      </c>
      <c r="I91" s="60" t="s">
        <v>125</v>
      </c>
    </row>
    <row r="92" spans="2:9" ht="12.6" customHeight="1" x14ac:dyDescent="0.25">
      <c r="B92" s="37">
        <f t="shared" si="2"/>
        <v>85</v>
      </c>
      <c r="C92" s="27" t="s">
        <v>87</v>
      </c>
      <c r="D92" s="2" t="s">
        <v>400</v>
      </c>
      <c r="E92" s="2">
        <v>1</v>
      </c>
      <c r="F92" s="34" t="s">
        <v>315</v>
      </c>
      <c r="G92" s="34" t="s">
        <v>316</v>
      </c>
      <c r="I92" s="60" t="s">
        <v>125</v>
      </c>
    </row>
    <row r="93" spans="2:9" ht="12.6" customHeight="1" x14ac:dyDescent="0.25">
      <c r="B93" s="37">
        <f t="shared" si="2"/>
        <v>86</v>
      </c>
      <c r="C93" s="27" t="s">
        <v>87</v>
      </c>
      <c r="D93" s="2" t="s">
        <v>401</v>
      </c>
      <c r="E93" s="2">
        <v>1</v>
      </c>
      <c r="F93" s="34" t="s">
        <v>319</v>
      </c>
      <c r="G93" s="34"/>
      <c r="I93" s="60" t="s">
        <v>125</v>
      </c>
    </row>
    <row r="94" spans="2:9" ht="12.6" customHeight="1" x14ac:dyDescent="0.25">
      <c r="B94" s="37">
        <f t="shared" si="2"/>
        <v>87</v>
      </c>
      <c r="C94" s="27" t="s">
        <v>87</v>
      </c>
      <c r="D94" s="2" t="s">
        <v>402</v>
      </c>
      <c r="E94" s="2">
        <v>1</v>
      </c>
      <c r="F94" s="34" t="s">
        <v>319</v>
      </c>
      <c r="G94" s="34"/>
      <c r="I94" s="60" t="s">
        <v>125</v>
      </c>
    </row>
    <row r="95" spans="2:9" ht="12.6" customHeight="1" x14ac:dyDescent="0.25">
      <c r="B95" s="37">
        <f t="shared" si="2"/>
        <v>88</v>
      </c>
      <c r="C95" s="27" t="s">
        <v>87</v>
      </c>
      <c r="D95" s="2" t="s">
        <v>403</v>
      </c>
      <c r="E95" s="42">
        <v>1</v>
      </c>
      <c r="F95" s="34" t="s">
        <v>315</v>
      </c>
      <c r="G95" s="34" t="s">
        <v>316</v>
      </c>
      <c r="I95" s="60" t="s">
        <v>125</v>
      </c>
    </row>
    <row r="96" spans="2:9" ht="12.6" customHeight="1" x14ac:dyDescent="0.25">
      <c r="B96" s="37">
        <f t="shared" si="2"/>
        <v>89</v>
      </c>
      <c r="C96" s="27" t="s">
        <v>88</v>
      </c>
      <c r="D96" s="2" t="s">
        <v>404</v>
      </c>
      <c r="E96" s="2">
        <v>2</v>
      </c>
      <c r="F96" s="34" t="s">
        <v>315</v>
      </c>
      <c r="G96" s="34"/>
      <c r="I96" s="61" t="s">
        <v>131</v>
      </c>
    </row>
    <row r="97" spans="2:9" ht="12.6" customHeight="1" x14ac:dyDescent="0.25">
      <c r="B97" s="37">
        <f t="shared" si="2"/>
        <v>90</v>
      </c>
      <c r="C97" s="27" t="s">
        <v>89</v>
      </c>
      <c r="D97" s="2" t="s">
        <v>405</v>
      </c>
      <c r="E97" s="2">
        <v>207</v>
      </c>
      <c r="F97" s="34" t="s">
        <v>315</v>
      </c>
      <c r="G97" s="34" t="s">
        <v>316</v>
      </c>
      <c r="I97" s="60" t="s">
        <v>125</v>
      </c>
    </row>
    <row r="98" spans="2:9" ht="12.6" customHeight="1" x14ac:dyDescent="0.25">
      <c r="B98" s="37">
        <f t="shared" si="2"/>
        <v>91</v>
      </c>
      <c r="C98" s="27" t="s">
        <v>90</v>
      </c>
      <c r="D98" s="2" t="s">
        <v>406</v>
      </c>
      <c r="E98" s="2">
        <v>1</v>
      </c>
      <c r="F98" s="34" t="s">
        <v>319</v>
      </c>
      <c r="G98" s="34"/>
      <c r="I98" s="60" t="s">
        <v>125</v>
      </c>
    </row>
    <row r="99" spans="2:9" ht="12.6" customHeight="1" x14ac:dyDescent="0.25">
      <c r="B99" s="37">
        <f t="shared" si="2"/>
        <v>92</v>
      </c>
      <c r="C99" s="27" t="s">
        <v>90</v>
      </c>
      <c r="D99" s="2" t="s">
        <v>407</v>
      </c>
      <c r="E99" s="2">
        <v>1</v>
      </c>
      <c r="F99" s="34" t="s">
        <v>319</v>
      </c>
      <c r="G99" s="34"/>
      <c r="I99" s="60" t="s">
        <v>125</v>
      </c>
    </row>
    <row r="100" spans="2:9" ht="12.6" customHeight="1" x14ac:dyDescent="0.25">
      <c r="B100" s="37">
        <f t="shared" si="2"/>
        <v>93</v>
      </c>
      <c r="C100" s="27" t="s">
        <v>91</v>
      </c>
      <c r="D100" s="2" t="s">
        <v>408</v>
      </c>
      <c r="E100" s="2">
        <v>9</v>
      </c>
      <c r="F100" s="34" t="s">
        <v>319</v>
      </c>
      <c r="G100" s="34"/>
      <c r="I100" s="60" t="s">
        <v>125</v>
      </c>
    </row>
    <row r="101" spans="2:9" ht="12.6" customHeight="1" x14ac:dyDescent="0.25">
      <c r="B101" s="37">
        <f t="shared" si="2"/>
        <v>94</v>
      </c>
      <c r="C101" s="27" t="s">
        <v>92</v>
      </c>
      <c r="D101" s="34" t="s">
        <v>409</v>
      </c>
      <c r="E101" s="34">
        <v>1</v>
      </c>
      <c r="F101" s="34" t="s">
        <v>315</v>
      </c>
      <c r="G101" s="34"/>
      <c r="I101" s="60" t="s">
        <v>125</v>
      </c>
    </row>
    <row r="102" spans="2:9" ht="12.6" customHeight="1" x14ac:dyDescent="0.25">
      <c r="B102" s="37">
        <f t="shared" si="2"/>
        <v>95</v>
      </c>
      <c r="C102" s="27" t="s">
        <v>93</v>
      </c>
      <c r="D102" s="2" t="s">
        <v>410</v>
      </c>
      <c r="E102" s="2">
        <v>371</v>
      </c>
      <c r="F102" s="34" t="s">
        <v>315</v>
      </c>
      <c r="G102" s="38" t="s">
        <v>316</v>
      </c>
      <c r="I102" s="60" t="s">
        <v>125</v>
      </c>
    </row>
    <row r="103" spans="2:9" ht="12.6" customHeight="1" x14ac:dyDescent="0.25">
      <c r="B103" s="37">
        <f t="shared" si="2"/>
        <v>96</v>
      </c>
      <c r="C103" s="27" t="s">
        <v>94</v>
      </c>
      <c r="D103" s="2" t="s">
        <v>411</v>
      </c>
      <c r="E103" s="2">
        <v>401</v>
      </c>
      <c r="F103" s="34" t="s">
        <v>319</v>
      </c>
      <c r="G103" s="34"/>
      <c r="I103" s="60" t="s">
        <v>125</v>
      </c>
    </row>
    <row r="104" spans="2:9" ht="12.6" customHeight="1" x14ac:dyDescent="0.25">
      <c r="B104" s="37">
        <f t="shared" si="2"/>
        <v>97</v>
      </c>
      <c r="C104" s="27" t="s">
        <v>94</v>
      </c>
      <c r="D104" s="40" t="s">
        <v>412</v>
      </c>
      <c r="E104" s="40">
        <v>1</v>
      </c>
      <c r="F104" s="34" t="s">
        <v>319</v>
      </c>
      <c r="G104" s="34"/>
      <c r="I104" s="60" t="s">
        <v>125</v>
      </c>
    </row>
    <row r="105" spans="2:9" ht="12.6" customHeight="1" x14ac:dyDescent="0.25">
      <c r="B105" s="37">
        <f t="shared" ref="B105:B130" si="3">B104+1</f>
        <v>98</v>
      </c>
      <c r="C105" s="27" t="s">
        <v>94</v>
      </c>
      <c r="D105" s="34" t="s">
        <v>413</v>
      </c>
      <c r="E105" s="2">
        <v>1</v>
      </c>
      <c r="F105" s="34" t="s">
        <v>319</v>
      </c>
      <c r="G105" s="34"/>
      <c r="I105" s="60" t="s">
        <v>125</v>
      </c>
    </row>
    <row r="106" spans="2:9" ht="12.6" customHeight="1" x14ac:dyDescent="0.25">
      <c r="B106" s="37">
        <f t="shared" si="3"/>
        <v>99</v>
      </c>
      <c r="C106" s="27" t="s">
        <v>94</v>
      </c>
      <c r="D106" s="34" t="s">
        <v>414</v>
      </c>
      <c r="E106" s="2">
        <v>1</v>
      </c>
      <c r="F106" s="34" t="s">
        <v>319</v>
      </c>
      <c r="G106" s="34"/>
      <c r="I106" s="60" t="s">
        <v>125</v>
      </c>
    </row>
    <row r="107" spans="2:9" ht="12.6" customHeight="1" x14ac:dyDescent="0.25">
      <c r="B107" s="37">
        <f t="shared" si="3"/>
        <v>100</v>
      </c>
      <c r="C107" s="27" t="s">
        <v>95</v>
      </c>
      <c r="D107" s="2" t="s">
        <v>415</v>
      </c>
      <c r="E107" s="2">
        <v>1</v>
      </c>
      <c r="F107" s="34" t="s">
        <v>319</v>
      </c>
      <c r="G107" s="34"/>
      <c r="I107" s="62" t="s">
        <v>150</v>
      </c>
    </row>
    <row r="108" spans="2:9" ht="12.6" customHeight="1" x14ac:dyDescent="0.25">
      <c r="B108" s="37">
        <f t="shared" si="3"/>
        <v>101</v>
      </c>
      <c r="C108" s="27" t="s">
        <v>5</v>
      </c>
      <c r="D108" s="2" t="s">
        <v>416</v>
      </c>
      <c r="E108" s="2">
        <v>335</v>
      </c>
      <c r="F108" s="34" t="s">
        <v>315</v>
      </c>
      <c r="G108" s="38"/>
      <c r="I108" s="63" t="s">
        <v>235</v>
      </c>
    </row>
    <row r="109" spans="2:9" ht="12.6" customHeight="1" x14ac:dyDescent="0.25">
      <c r="B109" s="37">
        <f t="shared" si="3"/>
        <v>102</v>
      </c>
      <c r="C109" s="27" t="s">
        <v>5</v>
      </c>
      <c r="D109" s="2" t="s">
        <v>417</v>
      </c>
      <c r="E109" s="2">
        <v>242</v>
      </c>
      <c r="F109" s="34" t="s">
        <v>315</v>
      </c>
      <c r="G109" s="38"/>
      <c r="I109" s="63" t="s">
        <v>235</v>
      </c>
    </row>
    <row r="110" spans="2:9" ht="14.25" customHeight="1" x14ac:dyDescent="0.25">
      <c r="B110" s="37">
        <f t="shared" si="3"/>
        <v>103</v>
      </c>
      <c r="C110" s="27" t="s">
        <v>5</v>
      </c>
      <c r="D110" s="2" t="s">
        <v>418</v>
      </c>
      <c r="E110" s="2">
        <v>92</v>
      </c>
      <c r="F110" s="34" t="s">
        <v>315</v>
      </c>
      <c r="G110" s="38"/>
      <c r="I110" s="63" t="s">
        <v>235</v>
      </c>
    </row>
    <row r="111" spans="2:9" ht="14.25" customHeight="1" x14ac:dyDescent="0.25">
      <c r="B111" s="37">
        <f t="shared" si="3"/>
        <v>104</v>
      </c>
      <c r="C111" s="27" t="s">
        <v>5</v>
      </c>
      <c r="D111" s="2" t="s">
        <v>419</v>
      </c>
      <c r="E111" s="2">
        <v>31</v>
      </c>
      <c r="F111" s="34" t="s">
        <v>315</v>
      </c>
      <c r="G111" s="38"/>
      <c r="I111" s="63" t="s">
        <v>235</v>
      </c>
    </row>
    <row r="112" spans="2:9" ht="13.2" customHeight="1" x14ac:dyDescent="0.25">
      <c r="B112" s="37">
        <f t="shared" si="3"/>
        <v>105</v>
      </c>
      <c r="C112" s="27" t="s">
        <v>5</v>
      </c>
      <c r="D112" s="2" t="s">
        <v>379</v>
      </c>
      <c r="E112" s="2">
        <v>13</v>
      </c>
      <c r="F112" s="34" t="s">
        <v>315</v>
      </c>
      <c r="G112" s="34"/>
      <c r="I112" s="63" t="s">
        <v>235</v>
      </c>
    </row>
    <row r="113" spans="2:9" ht="13.2" customHeight="1" x14ac:dyDescent="0.25">
      <c r="B113" s="37">
        <f t="shared" si="3"/>
        <v>106</v>
      </c>
      <c r="C113" s="27" t="s">
        <v>96</v>
      </c>
      <c r="D113" s="2" t="s">
        <v>420</v>
      </c>
      <c r="E113" s="2">
        <v>35</v>
      </c>
      <c r="F113" s="34" t="s">
        <v>319</v>
      </c>
      <c r="G113" s="34"/>
      <c r="I113" s="60" t="s">
        <v>125</v>
      </c>
    </row>
    <row r="114" spans="2:9" ht="13.95" customHeight="1" x14ac:dyDescent="0.25">
      <c r="B114" s="37">
        <f t="shared" si="3"/>
        <v>107</v>
      </c>
      <c r="C114" s="27" t="s">
        <v>97</v>
      </c>
      <c r="D114" s="2" t="s">
        <v>421</v>
      </c>
      <c r="E114" s="2">
        <v>1</v>
      </c>
      <c r="F114" s="34" t="s">
        <v>319</v>
      </c>
      <c r="G114" s="34"/>
      <c r="I114" s="60" t="s">
        <v>125</v>
      </c>
    </row>
    <row r="115" spans="2:9" ht="13.2" customHeight="1" x14ac:dyDescent="0.25">
      <c r="B115" s="37">
        <f t="shared" si="3"/>
        <v>108</v>
      </c>
      <c r="C115" s="27" t="s">
        <v>99</v>
      </c>
      <c r="D115" s="34" t="s">
        <v>99</v>
      </c>
      <c r="E115" s="2">
        <v>2</v>
      </c>
      <c r="F115" s="34" t="s">
        <v>319</v>
      </c>
      <c r="G115" s="34"/>
      <c r="I115" s="60" t="s">
        <v>125</v>
      </c>
    </row>
    <row r="116" spans="2:9" ht="13.2" customHeight="1" x14ac:dyDescent="0.25">
      <c r="B116" s="37">
        <f t="shared" si="3"/>
        <v>109</v>
      </c>
      <c r="C116" s="27" t="s">
        <v>100</v>
      </c>
      <c r="D116" s="2" t="s">
        <v>422</v>
      </c>
      <c r="E116" s="2">
        <v>1</v>
      </c>
      <c r="F116" s="34" t="s">
        <v>315</v>
      </c>
      <c r="G116" s="34"/>
      <c r="I116" s="62" t="s">
        <v>150</v>
      </c>
    </row>
    <row r="117" spans="2:9" ht="13.2" customHeight="1" x14ac:dyDescent="0.25">
      <c r="B117" s="37">
        <f t="shared" si="3"/>
        <v>110</v>
      </c>
      <c r="C117" s="27" t="s">
        <v>101</v>
      </c>
      <c r="D117" s="2" t="s">
        <v>423</v>
      </c>
      <c r="E117" s="2">
        <v>10</v>
      </c>
      <c r="F117" s="34" t="s">
        <v>319</v>
      </c>
      <c r="G117" s="34"/>
      <c r="I117" s="60" t="s">
        <v>125</v>
      </c>
    </row>
    <row r="118" spans="2:9" ht="13.2" customHeight="1" x14ac:dyDescent="0.25">
      <c r="B118" s="37">
        <f t="shared" si="3"/>
        <v>111</v>
      </c>
      <c r="C118" s="27" t="s">
        <v>102</v>
      </c>
      <c r="D118" s="34" t="s">
        <v>424</v>
      </c>
      <c r="E118" s="34">
        <v>2</v>
      </c>
      <c r="F118" s="34" t="s">
        <v>315</v>
      </c>
      <c r="G118" s="34"/>
      <c r="I118" s="60" t="s">
        <v>125</v>
      </c>
    </row>
    <row r="119" spans="2:9" ht="13.2" customHeight="1" x14ac:dyDescent="0.25">
      <c r="B119" s="37">
        <f t="shared" si="3"/>
        <v>112</v>
      </c>
      <c r="C119" s="27" t="s">
        <v>102</v>
      </c>
      <c r="D119" s="34" t="s">
        <v>425</v>
      </c>
      <c r="E119" s="34">
        <v>3</v>
      </c>
      <c r="F119" s="34" t="s">
        <v>315</v>
      </c>
      <c r="G119" s="34"/>
      <c r="I119" s="60" t="s">
        <v>125</v>
      </c>
    </row>
    <row r="120" spans="2:9" ht="13.2" customHeight="1" x14ac:dyDescent="0.25">
      <c r="B120" s="37">
        <f t="shared" si="3"/>
        <v>113</v>
      </c>
      <c r="C120" s="27" t="s">
        <v>102</v>
      </c>
      <c r="D120" s="34" t="s">
        <v>426</v>
      </c>
      <c r="E120" s="34">
        <v>3</v>
      </c>
      <c r="F120" s="34" t="s">
        <v>315</v>
      </c>
      <c r="G120" s="34"/>
      <c r="I120" s="60" t="s">
        <v>125</v>
      </c>
    </row>
    <row r="121" spans="2:9" ht="25.2" customHeight="1" x14ac:dyDescent="0.25">
      <c r="B121" s="55">
        <f t="shared" si="3"/>
        <v>114</v>
      </c>
      <c r="C121" s="56" t="s">
        <v>103</v>
      </c>
      <c r="D121" s="46" t="s">
        <v>427</v>
      </c>
      <c r="E121" s="46">
        <v>5</v>
      </c>
      <c r="F121" s="44" t="s">
        <v>319</v>
      </c>
      <c r="G121" s="44"/>
      <c r="I121" s="62" t="s">
        <v>150</v>
      </c>
    </row>
    <row r="122" spans="2:9" ht="13.2" customHeight="1" x14ac:dyDescent="0.25">
      <c r="B122" s="37">
        <f t="shared" si="3"/>
        <v>115</v>
      </c>
      <c r="C122" s="27" t="s">
        <v>104</v>
      </c>
      <c r="D122" s="2" t="s">
        <v>428</v>
      </c>
      <c r="E122" s="2">
        <v>4</v>
      </c>
      <c r="F122" s="34" t="s">
        <v>319</v>
      </c>
      <c r="G122" s="34"/>
      <c r="I122" s="60" t="s">
        <v>125</v>
      </c>
    </row>
    <row r="123" spans="2:9" ht="13.2" customHeight="1" x14ac:dyDescent="0.25">
      <c r="B123" s="37">
        <f t="shared" si="3"/>
        <v>116</v>
      </c>
      <c r="C123" s="27" t="s">
        <v>9</v>
      </c>
      <c r="D123" s="34" t="s">
        <v>429</v>
      </c>
      <c r="E123" s="34">
        <v>8</v>
      </c>
      <c r="F123" s="34" t="s">
        <v>315</v>
      </c>
      <c r="G123" s="34"/>
      <c r="I123" s="61" t="s">
        <v>131</v>
      </c>
    </row>
    <row r="124" spans="2:9" ht="13.2" customHeight="1" x14ac:dyDescent="0.25">
      <c r="B124" s="37">
        <f t="shared" si="3"/>
        <v>117</v>
      </c>
      <c r="C124" s="27" t="s">
        <v>105</v>
      </c>
      <c r="D124" s="2" t="s">
        <v>430</v>
      </c>
      <c r="E124" s="2">
        <v>4</v>
      </c>
      <c r="F124" s="34" t="s">
        <v>315</v>
      </c>
      <c r="G124" s="34"/>
      <c r="I124" s="60" t="s">
        <v>125</v>
      </c>
    </row>
    <row r="125" spans="2:9" ht="13.2" customHeight="1" x14ac:dyDescent="0.25">
      <c r="B125" s="37">
        <f t="shared" si="3"/>
        <v>118</v>
      </c>
      <c r="C125" s="27" t="s">
        <v>106</v>
      </c>
      <c r="D125" s="2" t="s">
        <v>431</v>
      </c>
      <c r="E125" s="2">
        <v>9</v>
      </c>
      <c r="F125" s="34" t="s">
        <v>315</v>
      </c>
      <c r="G125" s="34"/>
      <c r="I125" s="60" t="s">
        <v>125</v>
      </c>
    </row>
    <row r="126" spans="2:9" ht="13.2" customHeight="1" x14ac:dyDescent="0.25">
      <c r="B126" s="37">
        <f t="shared" si="3"/>
        <v>119</v>
      </c>
      <c r="C126" s="27" t="s">
        <v>107</v>
      </c>
      <c r="D126" s="2" t="s">
        <v>432</v>
      </c>
      <c r="E126" s="43"/>
      <c r="F126" s="34" t="s">
        <v>319</v>
      </c>
      <c r="G126" s="34"/>
      <c r="I126" s="61" t="s">
        <v>131</v>
      </c>
    </row>
    <row r="127" spans="2:9" ht="13.2" customHeight="1" x14ac:dyDescent="0.25">
      <c r="B127" s="37">
        <f t="shared" si="3"/>
        <v>120</v>
      </c>
      <c r="C127" s="27" t="s">
        <v>108</v>
      </c>
      <c r="D127" s="34" t="s">
        <v>433</v>
      </c>
      <c r="E127" s="34">
        <v>1</v>
      </c>
      <c r="F127" s="34" t="s">
        <v>319</v>
      </c>
      <c r="G127" s="34"/>
      <c r="I127" s="60" t="s">
        <v>125</v>
      </c>
    </row>
    <row r="128" spans="2:9" ht="13.2" customHeight="1" x14ac:dyDescent="0.25">
      <c r="B128" s="37">
        <f t="shared" si="3"/>
        <v>121</v>
      </c>
      <c r="C128" s="27" t="s">
        <v>109</v>
      </c>
      <c r="D128" s="2" t="s">
        <v>434</v>
      </c>
      <c r="E128" s="2">
        <v>10</v>
      </c>
      <c r="F128" s="34" t="s">
        <v>315</v>
      </c>
      <c r="G128" s="34" t="s">
        <v>316</v>
      </c>
      <c r="I128" s="61" t="s">
        <v>131</v>
      </c>
    </row>
    <row r="129" spans="2:9" ht="13.2" customHeight="1" x14ac:dyDescent="0.25">
      <c r="B129" s="37">
        <f t="shared" si="3"/>
        <v>122</v>
      </c>
      <c r="C129" s="27" t="s">
        <v>109</v>
      </c>
      <c r="D129" s="2" t="s">
        <v>435</v>
      </c>
      <c r="E129" s="2">
        <v>1</v>
      </c>
      <c r="F129" s="34" t="s">
        <v>315</v>
      </c>
      <c r="G129" s="34" t="s">
        <v>316</v>
      </c>
      <c r="I129" s="61" t="s">
        <v>131</v>
      </c>
    </row>
    <row r="130" spans="2:9" ht="13.2" customHeight="1" x14ac:dyDescent="0.25">
      <c r="B130" s="37">
        <f t="shared" si="3"/>
        <v>123</v>
      </c>
      <c r="C130" s="27" t="s">
        <v>4</v>
      </c>
      <c r="D130" s="2" t="s">
        <v>436</v>
      </c>
      <c r="E130" s="2">
        <v>419</v>
      </c>
      <c r="F130" s="2" t="s">
        <v>315</v>
      </c>
      <c r="G130" s="2"/>
      <c r="I130" s="60" t="s">
        <v>125</v>
      </c>
    </row>
  </sheetData>
  <mergeCells count="1">
    <mergeCell ref="B5:E5"/>
  </mergeCells>
  <pageMargins left="0.7" right="0.7" top="0.78740157499999996" bottom="0.78740157499999996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I12"/>
  <sheetViews>
    <sheetView showGridLines="0" workbookViewId="0">
      <selection activeCell="I4" sqref="I4:I9"/>
    </sheetView>
  </sheetViews>
  <sheetFormatPr defaultColWidth="11.44140625" defaultRowHeight="12.75" customHeight="1" x14ac:dyDescent="0.25"/>
  <cols>
    <col min="1" max="1" width="2.6640625" bestFit="1" customWidth="1"/>
    <col min="2" max="2" width="12.109375" bestFit="1" customWidth="1"/>
    <col min="3" max="3" width="33.88671875" customWidth="1"/>
    <col min="4" max="4" width="16.33203125" bestFit="1" customWidth="1"/>
    <col min="5" max="5" width="13.33203125" bestFit="1" customWidth="1"/>
    <col min="6" max="6" width="21.44140625" customWidth="1"/>
    <col min="7" max="7" width="19.5546875" bestFit="1" customWidth="1"/>
    <col min="8" max="8" width="9.5546875" customWidth="1"/>
    <col min="9" max="9" width="23.33203125" customWidth="1"/>
  </cols>
  <sheetData>
    <row r="3" spans="1:9" ht="14.4" customHeight="1" x14ac:dyDescent="0.25">
      <c r="A3" s="20" t="s">
        <v>114</v>
      </c>
      <c r="B3" s="20" t="s">
        <v>115</v>
      </c>
      <c r="C3" s="20" t="s">
        <v>437</v>
      </c>
      <c r="D3" s="20" t="s">
        <v>438</v>
      </c>
      <c r="E3" s="20" t="s">
        <v>439</v>
      </c>
      <c r="F3" s="21" t="s">
        <v>440</v>
      </c>
      <c r="G3" s="21" t="s">
        <v>441</v>
      </c>
      <c r="H3" s="21" t="s">
        <v>442</v>
      </c>
      <c r="I3" s="21" t="s">
        <v>443</v>
      </c>
    </row>
    <row r="4" spans="1:9" ht="13.2" customHeight="1" x14ac:dyDescent="0.25">
      <c r="A4" s="8" t="s">
        <v>444</v>
      </c>
      <c r="B4" s="8" t="s">
        <v>7</v>
      </c>
      <c r="C4" s="8" t="s">
        <v>231</v>
      </c>
      <c r="D4" s="9">
        <v>375</v>
      </c>
      <c r="E4" s="8" t="s">
        <v>232</v>
      </c>
      <c r="F4" s="8">
        <v>950</v>
      </c>
      <c r="G4" s="8">
        <v>209</v>
      </c>
      <c r="H4" s="19">
        <v>356250</v>
      </c>
      <c r="I4" s="19">
        <v>78375</v>
      </c>
    </row>
    <row r="5" spans="1:9" ht="14.4" customHeight="1" x14ac:dyDescent="0.25">
      <c r="A5" s="10" t="s">
        <v>445</v>
      </c>
      <c r="B5" s="10" t="s">
        <v>7</v>
      </c>
      <c r="C5" s="11" t="s">
        <v>236</v>
      </c>
      <c r="D5" s="12">
        <v>375</v>
      </c>
      <c r="E5" s="11" t="s">
        <v>232</v>
      </c>
      <c r="F5" s="13">
        <v>100</v>
      </c>
      <c r="G5" s="13">
        <v>22</v>
      </c>
      <c r="H5" s="14">
        <v>37500</v>
      </c>
      <c r="I5" s="14">
        <v>8250</v>
      </c>
    </row>
    <row r="6" spans="1:9" ht="13.2" customHeight="1" x14ac:dyDescent="0.25">
      <c r="A6" s="8" t="s">
        <v>446</v>
      </c>
      <c r="B6" s="8" t="s">
        <v>7</v>
      </c>
      <c r="C6" s="8" t="s">
        <v>237</v>
      </c>
      <c r="D6" s="9">
        <v>375</v>
      </c>
      <c r="E6" s="8" t="s">
        <v>232</v>
      </c>
      <c r="F6" s="8">
        <v>230</v>
      </c>
      <c r="G6" s="8">
        <v>50.6</v>
      </c>
      <c r="H6" s="19">
        <v>86250</v>
      </c>
      <c r="I6" s="19">
        <v>18975</v>
      </c>
    </row>
    <row r="7" spans="1:9" ht="14.4" customHeight="1" x14ac:dyDescent="0.25">
      <c r="A7" s="10" t="s">
        <v>447</v>
      </c>
      <c r="B7" s="10" t="s">
        <v>7</v>
      </c>
      <c r="C7" s="15" t="s">
        <v>238</v>
      </c>
      <c r="D7" s="16">
        <v>375</v>
      </c>
      <c r="E7" s="15" t="s">
        <v>232</v>
      </c>
      <c r="F7" s="17">
        <v>230</v>
      </c>
      <c r="G7" s="17">
        <v>50.6</v>
      </c>
      <c r="H7" s="18">
        <v>86250</v>
      </c>
      <c r="I7" s="18">
        <v>18975</v>
      </c>
    </row>
    <row r="8" spans="1:9" ht="13.2" customHeight="1" x14ac:dyDescent="0.25">
      <c r="A8" s="24" t="s">
        <v>448</v>
      </c>
      <c r="B8" s="24" t="s">
        <v>7</v>
      </c>
      <c r="C8" s="24" t="s">
        <v>239</v>
      </c>
      <c r="D8" s="25">
        <v>375</v>
      </c>
      <c r="E8" s="24" t="s">
        <v>232</v>
      </c>
      <c r="F8" s="24">
        <v>150</v>
      </c>
      <c r="G8" s="24">
        <v>33</v>
      </c>
      <c r="H8" s="26">
        <v>56250</v>
      </c>
      <c r="I8" s="26">
        <v>12375</v>
      </c>
    </row>
    <row r="9" spans="1:9" ht="14.4" customHeight="1" x14ac:dyDescent="0.25">
      <c r="A9" s="10" t="s">
        <v>449</v>
      </c>
      <c r="B9" s="10" t="s">
        <v>7</v>
      </c>
      <c r="C9" s="15" t="s">
        <v>240</v>
      </c>
      <c r="D9" s="16">
        <v>375</v>
      </c>
      <c r="E9" s="15" t="s">
        <v>232</v>
      </c>
      <c r="F9" s="17">
        <v>460</v>
      </c>
      <c r="G9" s="17">
        <v>101.2</v>
      </c>
      <c r="H9" s="18">
        <v>172500</v>
      </c>
      <c r="I9" s="18">
        <v>37950</v>
      </c>
    </row>
    <row r="10" spans="1:9" ht="13.2" customHeight="1" x14ac:dyDescent="0.25">
      <c r="H10" s="22"/>
      <c r="I10" s="22"/>
    </row>
    <row r="11" spans="1:9" ht="13.2" customHeight="1" x14ac:dyDescent="0.25">
      <c r="G11" s="7" t="s">
        <v>450</v>
      </c>
      <c r="H11" s="23">
        <f>SUM(H4:H10)</f>
        <v>795000</v>
      </c>
      <c r="I11" s="23">
        <f>SUM(I4:I10)</f>
        <v>174900</v>
      </c>
    </row>
    <row r="12" spans="1:9" ht="13.2" customHeight="1" x14ac:dyDescent="0.2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Vendors vs Products</vt:lpstr>
      <vt:lpstr>Pivot Free or OSS</vt:lpstr>
      <vt:lpstr>Shopping List Astra 10.02.2026</vt:lpstr>
      <vt:lpstr>License inventory for FOSS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Nitsova Anastasiya (BD/MIL-ICC)</dc:creator>
  <cp:lastModifiedBy>Ho Keng Hua (BD/MIL-ICC)</cp:lastModifiedBy>
  <dcterms:created xsi:type="dcterms:W3CDTF">2026-02-10T11:24:51Z</dcterms:created>
  <dcterms:modified xsi:type="dcterms:W3CDTF">2026-04-02T15:26:20Z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0x0101004A1D199F904B124089E8921E1BE781A5</vt:lpwstr>
  </property>
  <property fmtid="{D5CDD505-2E9C-101B-9397-08002B2CF9AE}" pid="3" name="_dlc_DocIdItemGuid">
    <vt:lpwstr>0d8fee97-9c6d-41ca-94f3-63274db0a921</vt:lpwstr>
  </property>
  <property fmtid="{D5CDD505-2E9C-101B-9397-08002B2CF9AE}" pid="4" name="MediaServiceImageTags">
    <vt:lpwstr/>
  </property>
</Properties>
</file>