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Matrix " sheetId="3" state="visible" r:id="rId3"/>
  </sheets>
  <definedNames>
    <definedName name="Impact_Values">#REF!</definedName>
    <definedName name="Probability_Values">#REF!</definedName>
    <definedName name="Risk_Category">#REF!</definedName>
    <definedName name="Risk_Source">#REF!</definedName>
    <definedName name="Risk_Strategy">#REF!</definedName>
    <definedName name="Status">#REF!</definedName>
    <definedName name="_xlnm._FilterDatabase" localSheetId="1" hidden="1">'Risk Register'!$B$4:$AI$135</definedName>
    <definedName name="_xlnm.Print_Titles" localSheetId="1">'Risk Register'!$4:$4</definedName>
    <definedName name="_xlnm.Print_Area" localSheetId="1">'Risk Register'!$B$3:$AI$135</definedName>
    <definedName name="_xlnm._FilterDatabase" localSheetId="2" hidden="1">'Matrix '!$D$26:$P$26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mm/dd/yy;@"/>
  </numFmts>
  <fonts count="25">
    <font>
      <name val="Arial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color indexed="9"/>
      <sz val="10"/>
    </font>
    <font>
      <name val="Arial"/>
      <family val="2"/>
      <b val="1"/>
      <sz val="12"/>
    </font>
    <font>
      <name val="Arial"/>
      <family val="2"/>
      <sz val="9"/>
    </font>
    <font>
      <name val="Arial"/>
      <family val="2"/>
      <color indexed="9"/>
      <sz val="10"/>
    </font>
    <font>
      <name val="Arial"/>
      <family val="2"/>
      <color indexed="22"/>
      <sz val="8"/>
    </font>
    <font>
      <name val="Arial"/>
      <family val="2"/>
      <b val="1"/>
      <color indexed="9"/>
      <sz val="12"/>
    </font>
    <font>
      <name val="Arial"/>
      <family val="2"/>
      <b val="1"/>
      <color indexed="23"/>
      <sz val="10"/>
    </font>
    <font>
      <name val="Arial"/>
      <family val="2"/>
      <color indexed="23"/>
      <sz val="10"/>
    </font>
    <font>
      <name val="Arial"/>
      <family val="2"/>
      <sz val="10"/>
    </font>
    <font>
      <name val="Arial"/>
      <family val="2"/>
      <color indexed="12"/>
      <sz val="9"/>
    </font>
    <font>
      <name val="Arial"/>
      <family val="2"/>
      <color indexed="12"/>
      <sz val="10"/>
    </font>
    <font>
      <name val="Arial"/>
      <family val="2"/>
      <b val="1"/>
      <sz val="9"/>
    </font>
    <font>
      <name val="Arial"/>
      <family val="2"/>
      <b val="1"/>
      <color indexed="9"/>
      <sz val="16"/>
    </font>
    <font>
      <name val="Arial"/>
      <family val="2"/>
      <color indexed="30"/>
      <sz val="8"/>
    </font>
    <font>
      <name val="Arial"/>
      <family val="2"/>
      <color indexed="9"/>
      <sz val="8"/>
    </font>
    <font>
      <name val="Arial"/>
      <family val="2"/>
      <color indexed="10"/>
      <sz val="10"/>
    </font>
    <font>
      <name val="Arial"/>
      <family val="2"/>
      <b val="1"/>
      <sz val="11"/>
    </font>
    <font>
      <name val="Arial"/>
      <family val="2"/>
      <b val="1"/>
      <color theme="0"/>
      <sz val="10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b val="1"/>
      <color rgb="00000000"/>
    </font>
  </fonts>
  <fills count="16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5"/>
        <bgColor indexed="32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/>
      <top style="hair">
        <color indexed="23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78">
    <xf numFmtId="0" fontId="0" fillId="0" borderId="0" pivotButton="0" quotePrefix="0" xfId="0"/>
    <xf numFmtId="0" fontId="9" fillId="5" borderId="0" applyAlignment="1" pivotButton="0" quotePrefix="0" xfId="1">
      <alignment vertical="center"/>
    </xf>
    <xf numFmtId="0" fontId="7" fillId="4" borderId="0" applyProtection="1" pivotButton="0" quotePrefix="0" xfId="1">
      <protection locked="0" hidden="0"/>
    </xf>
    <xf numFmtId="0" fontId="12" fillId="0" borderId="0" pivotButton="0" quotePrefix="0" xfId="1"/>
    <xf numFmtId="0" fontId="12" fillId="0" borderId="0" applyProtection="1" pivotButton="0" quotePrefix="0" xfId="1">
      <protection locked="0" hidden="0"/>
    </xf>
    <xf numFmtId="0" fontId="4" fillId="4" borderId="0" applyProtection="1" pivotButton="0" quotePrefix="0" xfId="1">
      <protection locked="0" hidden="0"/>
    </xf>
    <xf numFmtId="0" fontId="13" fillId="0" borderId="16" applyAlignment="1" applyProtection="1" pivotButton="0" quotePrefix="0" xfId="1">
      <alignment horizontal="left"/>
      <protection locked="0" hidden="0"/>
    </xf>
    <xf numFmtId="16" fontId="13" fillId="0" borderId="16" applyAlignment="1" applyProtection="1" pivotButton="0" quotePrefix="1" xfId="1">
      <alignment horizontal="left"/>
      <protection locked="0" hidden="0"/>
    </xf>
    <xf numFmtId="0" fontId="14" fillId="0" borderId="0" applyProtection="1" pivotButton="0" quotePrefix="0" xfId="1">
      <protection locked="0" hidden="0"/>
    </xf>
    <xf numFmtId="0" fontId="4" fillId="5" borderId="0" applyAlignment="1" pivotButton="0" quotePrefix="0" xfId="1">
      <alignment vertical="center"/>
    </xf>
    <xf numFmtId="0" fontId="2" fillId="0" borderId="0" pivotButton="0" quotePrefix="0" xfId="1"/>
    <xf numFmtId="0" fontId="15" fillId="0" borderId="0" pivotButton="0" quotePrefix="0" xfId="1"/>
    <xf numFmtId="0" fontId="6" fillId="0" borderId="0" pivotButton="0" quotePrefix="0" xfId="1"/>
    <xf numFmtId="0" fontId="12" fillId="4" borderId="0" pivotButton="0" quotePrefix="0" xfId="1"/>
    <xf numFmtId="0" fontId="2" fillId="0" borderId="0" applyAlignment="1" pivotButton="0" quotePrefix="0" xfId="1">
      <alignment horizontal="center" wrapText="1"/>
    </xf>
    <xf numFmtId="0" fontId="2" fillId="0" borderId="0" applyAlignment="1" pivotButton="0" quotePrefix="0" xfId="1">
      <alignment horizontal="center" vertical="center" wrapText="1"/>
    </xf>
    <xf numFmtId="0" fontId="12" fillId="0" borderId="21" applyAlignment="1" pivotButton="0" quotePrefix="0" xfId="1">
      <alignment horizontal="center" vertical="top" wrapText="1"/>
    </xf>
    <xf numFmtId="2" fontId="7" fillId="0" borderId="22" applyAlignment="1" pivotButton="0" quotePrefix="0" xfId="1">
      <alignment vertical="top" wrapText="1"/>
    </xf>
    <xf numFmtId="0" fontId="12" fillId="0" borderId="13" applyAlignment="1" pivotButton="0" quotePrefix="0" xfId="1">
      <alignment horizontal="center" vertical="top" wrapText="1"/>
    </xf>
    <xf numFmtId="0" fontId="4" fillId="2" borderId="3" pivotButton="0" quotePrefix="0" xfId="1"/>
    <xf numFmtId="0" fontId="4" fillId="2" borderId="4" pivotButton="0" quotePrefix="0" xfId="1"/>
    <xf numFmtId="0" fontId="4" fillId="2" borderId="5" pivotButton="0" quotePrefix="0" xfId="1"/>
    <xf numFmtId="0" fontId="10" fillId="0" borderId="6" pivotButton="0" quotePrefix="0" xfId="1"/>
    <xf numFmtId="0" fontId="11" fillId="0" borderId="7" pivotButton="0" quotePrefix="0" xfId="1"/>
    <xf numFmtId="0" fontId="11" fillId="0" borderId="8" pivotButton="0" quotePrefix="0" xfId="1"/>
    <xf numFmtId="0" fontId="11" fillId="0" borderId="9" pivotButton="0" quotePrefix="0" xfId="1"/>
    <xf numFmtId="0" fontId="11" fillId="0" borderId="10" pivotButton="0" quotePrefix="0" xfId="1"/>
    <xf numFmtId="0" fontId="11" fillId="0" borderId="11" pivotButton="0" quotePrefix="0" xfId="1"/>
    <xf numFmtId="2" fontId="11" fillId="0" borderId="9" pivotButton="0" quotePrefix="0" xfId="1"/>
    <xf numFmtId="2" fontId="11" fillId="0" borderId="11" pivotButton="0" quotePrefix="0" xfId="1"/>
    <xf numFmtId="0" fontId="11" fillId="0" borderId="7" applyAlignment="1" pivotButton="0" quotePrefix="0" xfId="1">
      <alignment horizontal="right"/>
    </xf>
    <xf numFmtId="0" fontId="11" fillId="0" borderId="9" applyAlignment="1" pivotButton="0" quotePrefix="0" xfId="1">
      <alignment horizontal="right"/>
    </xf>
    <xf numFmtId="0" fontId="11" fillId="0" borderId="11" applyAlignment="1" pivotButton="0" quotePrefix="0" xfId="1">
      <alignment horizontal="right"/>
    </xf>
    <xf numFmtId="0" fontId="9" fillId="4" borderId="0" pivotButton="0" quotePrefix="0" xfId="1"/>
    <xf numFmtId="0" fontId="9" fillId="3" borderId="0" pivotButton="0" quotePrefix="0" xfId="1"/>
    <xf numFmtId="0" fontId="12" fillId="3" borderId="0" pivotButton="0" quotePrefix="0" xfId="1"/>
    <xf numFmtId="2" fontId="1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2" fontId="12" fillId="0" borderId="0" applyAlignment="1" pivotButton="0" quotePrefix="0" xfId="1">
      <alignment horizontal="left"/>
    </xf>
    <xf numFmtId="0" fontId="8" fillId="0" borderId="0" pivotButton="0" quotePrefix="0" xfId="1"/>
    <xf numFmtId="2" fontId="12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left"/>
    </xf>
    <xf numFmtId="2" fontId="7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/>
    </xf>
    <xf numFmtId="49" fontId="8" fillId="0" borderId="0" applyAlignment="1" pivotButton="0" quotePrefix="0" xfId="1">
      <alignment horizontal="center"/>
    </xf>
    <xf numFmtId="49" fontId="8" fillId="0" borderId="15" applyAlignment="1" pivotButton="0" quotePrefix="0" xfId="1">
      <alignment horizontal="center"/>
    </xf>
    <xf numFmtId="49" fontId="8" fillId="0" borderId="19" applyAlignment="1" pivotButton="0" quotePrefix="0" xfId="1">
      <alignment horizontal="center"/>
    </xf>
    <xf numFmtId="0" fontId="3" fillId="6" borderId="20" applyAlignment="1" pivotButton="0" quotePrefix="0" xfId="1">
      <alignment horizontal="center" vertical="center" wrapText="1"/>
    </xf>
    <xf numFmtId="0" fontId="3" fillId="7" borderId="20" applyAlignment="1" pivotButton="0" quotePrefix="0" xfId="1">
      <alignment horizontal="center" vertical="center" wrapText="1"/>
    </xf>
    <xf numFmtId="0" fontId="3" fillId="8" borderId="20" applyAlignment="1" pivotButton="0" quotePrefix="0" xfId="1">
      <alignment horizontal="center" vertical="center" wrapText="1"/>
    </xf>
    <xf numFmtId="0" fontId="8" fillId="0" borderId="15" applyAlignment="1" pivotButton="0" quotePrefix="0" xfId="1">
      <alignment horizontal="center" vertical="center" wrapText="1"/>
    </xf>
    <xf numFmtId="0" fontId="8" fillId="0" borderId="15" pivotButton="0" quotePrefix="0" xfId="1"/>
    <xf numFmtId="0" fontId="12" fillId="0" borderId="0" pivotButton="0" quotePrefix="1" xfId="1"/>
    <xf numFmtId="0" fontId="18" fillId="0" borderId="0" applyAlignment="1" pivotButton="0" quotePrefix="0" xfId="1">
      <alignment horizontal="left" wrapText="1"/>
    </xf>
    <xf numFmtId="0" fontId="18" fillId="0" borderId="0" applyAlignment="1" pivotButton="0" quotePrefix="0" xfId="1">
      <alignment horizontal="center" wrapText="1"/>
    </xf>
    <xf numFmtId="164" fontId="18" fillId="0" borderId="0" applyAlignment="1" pivotButton="0" quotePrefix="0" xfId="1">
      <alignment horizontal="center" wrapText="1"/>
    </xf>
    <xf numFmtId="2" fontId="18" fillId="0" borderId="26" applyAlignment="1" pivotButton="0" quotePrefix="0" xfId="1">
      <alignment horizontal="center" vertical="top" wrapText="1"/>
    </xf>
    <xf numFmtId="2" fontId="8" fillId="0" borderId="15" applyAlignment="1" pivotButton="0" quotePrefix="0" xfId="1">
      <alignment horizontal="center"/>
    </xf>
    <xf numFmtId="0" fontId="8" fillId="0" borderId="15" applyAlignment="1" pivotButton="0" quotePrefix="0" xfId="1">
      <alignment horizontal="center"/>
    </xf>
    <xf numFmtId="0" fontId="17" fillId="0" borderId="0" applyAlignment="1" pivotButton="0" quotePrefix="0" xfId="1">
      <alignment horizontal="left" vertical="center"/>
    </xf>
    <xf numFmtId="0" fontId="18" fillId="0" borderId="26" applyAlignment="1" pivotButton="0" quotePrefix="0" xfId="1">
      <alignment horizontal="left" wrapText="1"/>
    </xf>
    <xf numFmtId="0" fontId="12" fillId="0" borderId="18" pivotButton="0" quotePrefix="0" xfId="1"/>
    <xf numFmtId="0" fontId="12" fillId="0" borderId="29" pivotButton="0" quotePrefix="0" xfId="1"/>
    <xf numFmtId="2" fontId="18" fillId="0" borderId="29" applyAlignment="1" pivotButton="0" quotePrefix="0" xfId="1">
      <alignment horizontal="center" vertical="top" wrapText="1"/>
    </xf>
    <xf numFmtId="0" fontId="18" fillId="0" borderId="29" applyAlignment="1" pivotButton="0" quotePrefix="0" xfId="1">
      <alignment horizontal="left" wrapText="1"/>
    </xf>
    <xf numFmtId="0" fontId="18" fillId="0" borderId="29" applyAlignment="1" pivotButton="0" quotePrefix="0" xfId="1">
      <alignment horizontal="center" wrapText="1"/>
    </xf>
    <xf numFmtId="164" fontId="18" fillId="0" borderId="29" applyAlignment="1" pivotButton="0" quotePrefix="0" xfId="1">
      <alignment horizontal="center" wrapText="1"/>
    </xf>
    <xf numFmtId="2" fontId="8" fillId="0" borderId="36" applyAlignment="1" pivotButton="0" quotePrefix="0" xfId="1">
      <alignment horizontal="center"/>
    </xf>
    <xf numFmtId="0" fontId="8" fillId="0" borderId="36" applyAlignment="1" pivotButton="0" quotePrefix="0" xfId="1">
      <alignment horizontal="center"/>
    </xf>
    <xf numFmtId="0" fontId="5" fillId="0" borderId="18" applyAlignment="1" pivotButton="0" quotePrefix="0" xfId="1">
      <alignment horizontal="center" vertical="center"/>
    </xf>
    <xf numFmtId="0" fontId="19" fillId="0" borderId="0" pivotButton="0" quotePrefix="0" xfId="1"/>
    <xf numFmtId="0" fontId="20" fillId="10" borderId="25" applyAlignment="1" pivotButton="0" quotePrefix="0" xfId="1">
      <alignment horizontal="center" vertical="center" wrapText="1"/>
    </xf>
    <xf numFmtId="0" fontId="20" fillId="10" borderId="28" applyAlignment="1" pivotButton="0" quotePrefix="0" xfId="1">
      <alignment horizontal="center" vertical="center" wrapText="1"/>
    </xf>
    <xf numFmtId="0" fontId="20" fillId="10" borderId="26" applyAlignment="1" pivotButton="0" quotePrefix="0" xfId="1">
      <alignment horizontal="center" vertical="center" wrapText="1"/>
    </xf>
    <xf numFmtId="0" fontId="20" fillId="10" borderId="29" applyAlignment="1" pivotButton="0" quotePrefix="0" xfId="1">
      <alignment horizontal="center" vertical="center" wrapText="1"/>
    </xf>
    <xf numFmtId="0" fontId="20" fillId="11" borderId="26" applyAlignment="1" pivotButton="0" quotePrefix="0" xfId="1">
      <alignment horizontal="center" vertical="center" wrapText="1"/>
    </xf>
    <xf numFmtId="0" fontId="20" fillId="11" borderId="27" applyAlignment="1" pivotButton="0" quotePrefix="0" xfId="1">
      <alignment horizontal="center" vertical="center" wrapText="1"/>
    </xf>
    <xf numFmtId="0" fontId="20" fillId="12" borderId="25" applyAlignment="1" pivotButton="0" quotePrefix="0" xfId="1">
      <alignment horizontal="center" vertical="center" wrapText="1"/>
    </xf>
    <xf numFmtId="0" fontId="20" fillId="12" borderId="26" applyAlignment="1" pivotButton="0" quotePrefix="0" xfId="1">
      <alignment horizontal="center" vertical="center" wrapText="1"/>
    </xf>
    <xf numFmtId="0" fontId="20" fillId="9" borderId="30" applyAlignment="1" pivotButton="0" quotePrefix="0" xfId="1">
      <alignment horizontal="center" vertical="center" wrapText="1"/>
    </xf>
    <xf numFmtId="0" fontId="20" fillId="13" borderId="27" applyAlignment="1" pivotButton="0" quotePrefix="0" xfId="1">
      <alignment horizontal="center" vertical="center" wrapText="1"/>
    </xf>
    <xf numFmtId="0" fontId="20" fillId="13" borderId="30" applyAlignment="1" pivotButton="0" quotePrefix="0" xfId="1">
      <alignment horizontal="center" vertical="center" wrapText="1"/>
    </xf>
    <xf numFmtId="0" fontId="20" fillId="13" borderId="26" applyAlignment="1" pivotButton="0" quotePrefix="0" xfId="1">
      <alignment horizontal="center" vertical="center" wrapText="1"/>
    </xf>
    <xf numFmtId="0" fontId="20" fillId="13" borderId="29" applyAlignment="1" pivotButton="0" quotePrefix="0" xfId="1">
      <alignment horizontal="center" vertical="center" wrapText="1"/>
    </xf>
    <xf numFmtId="0" fontId="20" fillId="14" borderId="26" applyAlignment="1" pivotButton="0" quotePrefix="0" xfId="1">
      <alignment horizontal="center" vertical="center" wrapText="1"/>
    </xf>
    <xf numFmtId="0" fontId="20" fillId="14" borderId="28" applyAlignment="1" pivotButton="0" quotePrefix="0" xfId="1">
      <alignment horizontal="center" vertical="center" wrapText="1"/>
    </xf>
    <xf numFmtId="0" fontId="20" fillId="9" borderId="26" applyAlignment="1" pivotButton="0" quotePrefix="0" xfId="1">
      <alignment horizontal="center" vertical="center" wrapText="1"/>
    </xf>
    <xf numFmtId="0" fontId="11" fillId="0" borderId="6" pivotButton="0" quotePrefix="0" xfId="1"/>
    <xf numFmtId="0" fontId="11" fillId="0" borderId="0" pivotButton="0" quotePrefix="0" xfId="1"/>
    <xf numFmtId="9" fontId="11" fillId="0" borderId="8" pivotButton="0" quotePrefix="1" xfId="1"/>
    <xf numFmtId="9" fontId="11" fillId="0" borderId="10" pivotButton="0" quotePrefix="1" xfId="1"/>
    <xf numFmtId="0" fontId="12" fillId="0" borderId="40" pivotButton="0" quotePrefix="0" xfId="1"/>
    <xf numFmtId="0" fontId="18" fillId="0" borderId="41" applyAlignment="1" pivotButton="0" quotePrefix="0" xfId="1">
      <alignment horizontal="center" wrapText="1"/>
    </xf>
    <xf numFmtId="0" fontId="21" fillId="15" borderId="20" applyAlignment="1" pivotButton="0" quotePrefix="0" xfId="1">
      <alignment horizontal="center" vertical="center" wrapText="1"/>
    </xf>
    <xf numFmtId="0" fontId="16" fillId="15" borderId="0" pivotButton="0" quotePrefix="0" xfId="1"/>
    <xf numFmtId="0" fontId="12" fillId="15" borderId="0" pivotButton="0" quotePrefix="0" xfId="1"/>
    <xf numFmtId="0" fontId="12" fillId="0" borderId="22" applyAlignment="1" pivotButton="0" quotePrefix="0" xfId="1">
      <alignment vertical="top" wrapText="1"/>
    </xf>
    <xf numFmtId="164" fontId="12" fillId="0" borderId="22" applyAlignment="1" pivotButton="0" quotePrefix="0" xfId="1">
      <alignment vertical="top" wrapText="1"/>
    </xf>
    <xf numFmtId="0" fontId="12" fillId="0" borderId="23" applyAlignment="1" pivotButton="0" quotePrefix="0" xfId="1">
      <alignment vertical="top" wrapText="1"/>
    </xf>
    <xf numFmtId="2" fontId="12" fillId="0" borderId="21" applyAlignment="1" pivotButton="0" quotePrefix="0" xfId="1">
      <alignment vertical="top" wrapText="1"/>
    </xf>
    <xf numFmtId="2" fontId="12" fillId="0" borderId="35" applyAlignment="1" pivotButton="0" quotePrefix="0" xfId="1">
      <alignment vertical="top" wrapText="1"/>
    </xf>
    <xf numFmtId="2" fontId="12" fillId="0" borderId="22" applyAlignment="1" pivotButton="0" quotePrefix="0" xfId="1">
      <alignment vertical="top" wrapText="1"/>
    </xf>
    <xf numFmtId="0" fontId="12" fillId="0" borderId="2" applyAlignment="1" pivotButton="0" quotePrefix="0" xfId="1">
      <alignment vertical="top" wrapText="1"/>
    </xf>
    <xf numFmtId="0" fontId="12" fillId="0" borderId="14" applyAlignment="1" pivotButton="0" quotePrefix="0" xfId="1">
      <alignment vertical="top" wrapText="1"/>
    </xf>
    <xf numFmtId="165" fontId="12" fillId="0" borderId="2" applyAlignment="1" pivotButton="0" quotePrefix="0" xfId="1">
      <alignment vertical="top" wrapText="1"/>
    </xf>
    <xf numFmtId="3" fontId="12" fillId="0" borderId="23" applyAlignment="1" pivotButton="0" quotePrefix="0" xfId="1">
      <alignment vertical="top" wrapText="1"/>
    </xf>
    <xf numFmtId="0" fontId="12" fillId="0" borderId="21" applyAlignment="1" pivotButton="0" quotePrefix="0" xfId="1">
      <alignment vertical="top" wrapText="1"/>
    </xf>
    <xf numFmtId="164" fontId="12" fillId="0" borderId="23" applyAlignment="1" pivotButton="0" quotePrefix="0" xfId="1">
      <alignment vertical="top" wrapText="1"/>
    </xf>
    <xf numFmtId="2" fontId="1" fillId="0" borderId="22" applyAlignment="1" pivotButton="0" quotePrefix="0" xfId="1">
      <alignment vertical="top" wrapText="1"/>
    </xf>
    <xf numFmtId="0" fontId="12" fillId="0" borderId="24" applyAlignment="1" pivotButton="0" quotePrefix="0" xfId="1">
      <alignment vertical="top" wrapText="1"/>
    </xf>
    <xf numFmtId="3" fontId="12" fillId="0" borderId="14" applyAlignment="1" pivotButton="0" quotePrefix="0" xfId="1">
      <alignment vertical="top" wrapText="1"/>
    </xf>
    <xf numFmtId="0" fontId="12" fillId="0" borderId="13" applyAlignment="1" pivotButton="0" quotePrefix="0" xfId="1">
      <alignment vertical="top" wrapText="1"/>
    </xf>
    <xf numFmtId="164" fontId="12" fillId="0" borderId="14" applyAlignment="1" pivotButton="0" quotePrefix="0" xfId="1">
      <alignment vertical="top" wrapText="1"/>
    </xf>
    <xf numFmtId="164" fontId="12" fillId="0" borderId="2" applyAlignment="1" pivotButton="0" quotePrefix="0" xfId="1">
      <alignment vertical="top" wrapText="1"/>
    </xf>
    <xf numFmtId="0" fontId="12" fillId="0" borderId="12" applyAlignment="1" pivotButton="0" quotePrefix="0" xfId="1">
      <alignment vertical="top" wrapText="1"/>
    </xf>
    <xf numFmtId="0" fontId="12" fillId="0" borderId="0" applyAlignment="1" pivotButton="0" quotePrefix="0" xfId="1">
      <alignment wrapText="1"/>
    </xf>
    <xf numFmtId="0" fontId="9" fillId="15" borderId="37" applyAlignment="1" pivotButton="0" quotePrefix="0" xfId="1">
      <alignment vertical="center" wrapText="1"/>
    </xf>
    <xf numFmtId="0" fontId="9" fillId="15" borderId="38" applyAlignment="1" pivotButton="0" quotePrefix="0" xfId="1">
      <alignment vertical="center" wrapText="1"/>
    </xf>
    <xf numFmtId="0" fontId="9" fillId="15" borderId="39" applyAlignment="1" pivotButton="0" quotePrefix="0" xfId="1">
      <alignment vertical="center" wrapText="1"/>
    </xf>
    <xf numFmtId="0" fontId="4" fillId="3" borderId="0" applyAlignment="1" pivotButton="0" quotePrefix="0" xfId="1">
      <alignment vertical="center" wrapText="1"/>
    </xf>
    <xf numFmtId="164" fontId="12" fillId="0" borderId="42" applyAlignment="1" pivotButton="0" quotePrefix="0" xfId="1">
      <alignment vertical="top" wrapText="1"/>
    </xf>
    <xf numFmtId="14" fontId="13" fillId="0" borderId="16" applyAlignment="1" applyProtection="1" pivotButton="0" quotePrefix="0" xfId="1">
      <alignment horizontal="left"/>
      <protection locked="0" hidden="0"/>
    </xf>
    <xf numFmtId="0" fontId="13" fillId="0" borderId="17" applyAlignment="1" applyProtection="1" pivotButton="0" quotePrefix="0" xfId="1">
      <alignment horizontal="left"/>
      <protection locked="0" hidden="0"/>
    </xf>
    <xf numFmtId="0" fontId="13" fillId="0" borderId="31" applyAlignment="1" applyProtection="1" pivotButton="0" quotePrefix="0" xfId="1">
      <alignment horizontal="left"/>
      <protection locked="0" hidden="0"/>
    </xf>
    <xf numFmtId="0" fontId="12" fillId="0" borderId="22" applyAlignment="1" pivotButton="0" quotePrefix="1" xfId="1">
      <alignment vertical="top" wrapText="1"/>
    </xf>
    <xf numFmtId="16" fontId="13" fillId="0" borderId="16" applyAlignment="1" applyProtection="1" pivotButton="0" quotePrefix="1" xfId="1">
      <alignment horizontal="left" vertical="top"/>
      <protection locked="0" hidden="0"/>
    </xf>
    <xf numFmtId="14" fontId="13" fillId="0" borderId="16" applyAlignment="1" applyProtection="1" pivotButton="0" quotePrefix="0" xfId="1">
      <alignment horizontal="left" vertical="top"/>
      <protection locked="0" hidden="0"/>
    </xf>
    <xf numFmtId="0" fontId="13" fillId="0" borderId="16" applyAlignment="1" applyProtection="1" pivotButton="0" quotePrefix="0" xfId="1">
      <alignment horizontal="left"/>
      <protection locked="0" hidden="0"/>
    </xf>
    <xf numFmtId="0" fontId="13" fillId="0" borderId="17" applyAlignment="1" applyProtection="1" pivotButton="0" quotePrefix="0" xfId="1">
      <alignment horizontal="left"/>
      <protection locked="0" hidden="0"/>
    </xf>
    <xf numFmtId="0" fontId="13" fillId="0" borderId="16" applyAlignment="1" applyProtection="1" pivotButton="0" quotePrefix="0" xfId="1">
      <alignment horizontal="left" vertical="top" wrapText="1"/>
      <protection locked="0" hidden="0"/>
    </xf>
    <xf numFmtId="0" fontId="13" fillId="0" borderId="31" applyAlignment="1" applyProtection="1" pivotButton="0" quotePrefix="0" xfId="1">
      <alignment horizontal="left" vertical="top" wrapText="1"/>
      <protection locked="0" hidden="0"/>
    </xf>
    <xf numFmtId="0" fontId="13" fillId="0" borderId="17" applyAlignment="1" applyProtection="1" pivotButton="0" quotePrefix="0" xfId="1">
      <alignment horizontal="left" vertical="top" wrapText="1"/>
      <protection locked="0" hidden="0"/>
    </xf>
    <xf numFmtId="0" fontId="13" fillId="0" borderId="16" applyAlignment="1" applyProtection="1" pivotButton="0" quotePrefix="0" xfId="1">
      <alignment horizontal="left" vertical="top"/>
      <protection locked="0" hidden="0"/>
    </xf>
    <xf numFmtId="0" fontId="13" fillId="0" borderId="17" applyAlignment="1" applyProtection="1" pivotButton="0" quotePrefix="0" xfId="1">
      <alignment horizontal="left" vertical="top"/>
      <protection locked="0" hidden="0"/>
    </xf>
    <xf numFmtId="14" fontId="13" fillId="0" borderId="16" applyAlignment="1" applyProtection="1" pivotButton="0" quotePrefix="0" xfId="1">
      <alignment horizontal="center"/>
      <protection locked="0" hidden="0"/>
    </xf>
    <xf numFmtId="14" fontId="13" fillId="0" borderId="31" applyAlignment="1" applyProtection="1" pivotButton="0" quotePrefix="0" xfId="1">
      <alignment horizontal="center"/>
      <protection locked="0" hidden="0"/>
    </xf>
    <xf numFmtId="14" fontId="13" fillId="0" borderId="17" applyAlignment="1" applyProtection="1" pivotButton="0" quotePrefix="0" xfId="1">
      <alignment horizontal="center"/>
      <protection locked="0" hidden="0"/>
    </xf>
    <xf numFmtId="0" fontId="13" fillId="0" borderId="31" applyAlignment="1" applyProtection="1" pivotButton="0" quotePrefix="0" xfId="1">
      <alignment horizontal="left"/>
      <protection locked="0" hidden="0"/>
    </xf>
    <xf numFmtId="0" fontId="9" fillId="15" borderId="37" applyAlignment="1" pivotButton="0" quotePrefix="0" xfId="1">
      <alignment horizontal="center" vertical="center" wrapText="1"/>
    </xf>
    <xf numFmtId="0" fontId="9" fillId="15" borderId="38" applyAlignment="1" pivotButton="0" quotePrefix="0" xfId="1">
      <alignment horizontal="center" vertical="center" wrapText="1"/>
    </xf>
    <xf numFmtId="0" fontId="9" fillId="15" borderId="39" applyAlignment="1" pivotButton="0" quotePrefix="0" xfId="1">
      <alignment horizontal="center" vertical="center" wrapText="1"/>
    </xf>
    <xf numFmtId="0" fontId="5" fillId="7" borderId="1" applyAlignment="1" pivotButton="0" quotePrefix="0" xfId="1">
      <alignment horizontal="center" vertical="center" wrapText="1"/>
    </xf>
    <xf numFmtId="0" fontId="5" fillId="8" borderId="1" applyAlignment="1" pivotButton="0" quotePrefix="0" xfId="1">
      <alignment horizontal="center" vertical="center" wrapText="1"/>
    </xf>
    <xf numFmtId="0" fontId="18" fillId="0" borderId="0" applyAlignment="1" pivotButton="0" quotePrefix="0" xfId="1">
      <alignment horizontal="left" wrapText="1"/>
    </xf>
    <xf numFmtId="0" fontId="2" fillId="0" borderId="0" applyAlignment="1" pivotButton="0" quotePrefix="0" xfId="1">
      <alignment horizontal="right" vertical="center" textRotation="90"/>
    </xf>
    <xf numFmtId="0" fontId="2" fillId="0" borderId="32" applyAlignment="1" pivotButton="0" quotePrefix="0" xfId="1">
      <alignment horizontal="center" vertical="center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/>
    </xf>
    <xf numFmtId="0" fontId="3" fillId="6" borderId="20" applyAlignment="1" pivotButton="0" quotePrefix="0" xfId="1">
      <alignment horizontal="center" vertical="center" wrapText="1"/>
    </xf>
    <xf numFmtId="0" fontId="12" fillId="6" borderId="20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0" fontId="13" fillId="0" borderId="43" applyAlignment="1" applyProtection="1" pivotButton="0" quotePrefix="0" xfId="1">
      <alignment horizontal="left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4" fontId="13" fillId="0" borderId="43" applyAlignment="1" applyProtection="1" pivotButton="0" quotePrefix="0" xfId="1">
      <alignment horizontal="center"/>
      <protection locked="0" hidden="0"/>
    </xf>
    <xf numFmtId="0" fontId="13" fillId="0" borderId="43" applyAlignment="1" applyProtection="1" pivotButton="0" quotePrefix="0" xfId="1">
      <alignment horizontal="left" vertical="top" wrapText="1"/>
      <protection locked="0" hidden="0"/>
    </xf>
    <xf numFmtId="0" fontId="13" fillId="0" borderId="43" applyAlignment="1" applyProtection="1" pivotButton="0" quotePrefix="0" xfId="1">
      <alignment horizontal="left" vertical="top"/>
      <protection locked="0" hidden="0"/>
    </xf>
    <xf numFmtId="0" fontId="9" fillId="15" borderId="1" applyAlignment="1" pivotButton="0" quotePrefix="0" xfId="1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164" fontId="12" fillId="0" borderId="22" applyAlignment="1" pivotButton="0" quotePrefix="0" xfId="1">
      <alignment vertical="top" wrapText="1"/>
    </xf>
    <xf numFmtId="164" fontId="12" fillId="0" borderId="23" applyAlignment="1" pivotButton="0" quotePrefix="0" xfId="1">
      <alignment vertical="top" wrapText="1"/>
    </xf>
    <xf numFmtId="164" fontId="12" fillId="0" borderId="42" applyAlignment="1" pivotButton="0" quotePrefix="0" xfId="1">
      <alignment vertical="top" wrapText="1"/>
    </xf>
    <xf numFmtId="164" fontId="12" fillId="0" borderId="14" applyAlignment="1" pivotButton="0" quotePrefix="0" xfId="1">
      <alignment vertical="top" wrapText="1"/>
    </xf>
    <xf numFmtId="164" fontId="12" fillId="0" borderId="2" applyAlignment="1" pivotButton="0" quotePrefix="0" xfId="1">
      <alignment vertical="top" wrapText="1"/>
    </xf>
    <xf numFmtId="165" fontId="12" fillId="0" borderId="2" applyAlignment="1" pivotButton="0" quotePrefix="0" xfId="1">
      <alignment vertical="top" wrapText="1"/>
    </xf>
    <xf numFmtId="0" fontId="0" fillId="0" borderId="49" pivotButton="0" quotePrefix="0" xfId="0"/>
    <xf numFmtId="0" fontId="0" fillId="0" borderId="50" pivotButton="0" quotePrefix="0" xfId="0"/>
    <xf numFmtId="0" fontId="24" fillId="10" borderId="25" applyAlignment="1" pivotButton="0" quotePrefix="0" xfId="1">
      <alignment horizontal="center" vertical="center" wrapText="1"/>
    </xf>
    <xf numFmtId="0" fontId="24" fillId="9" borderId="26" applyAlignment="1" pivotButton="0" quotePrefix="0" xfId="1">
      <alignment horizontal="center" vertical="center" wrapText="1"/>
    </xf>
    <xf numFmtId="0" fontId="24" fillId="10" borderId="26" applyAlignment="1" pivotButton="0" quotePrefix="0" xfId="1">
      <alignment horizontal="center" vertical="center" wrapText="1"/>
    </xf>
    <xf numFmtId="0" fontId="24" fillId="10" borderId="28" applyAlignment="1" pivotButton="0" quotePrefix="0" xfId="1">
      <alignment horizontal="center" vertical="center" wrapText="1"/>
    </xf>
    <xf numFmtId="0" fontId="24" fillId="10" borderId="29" applyAlignment="1" pivotButton="0" quotePrefix="0" xfId="1">
      <alignment horizontal="center" vertical="center" wrapText="1"/>
    </xf>
    <xf numFmtId="0" fontId="24" fillId="9" borderId="30" applyAlignment="1" pivotButton="0" quotePrefix="0" xfId="1">
      <alignment horizontal="center" vertical="center" wrapText="1"/>
    </xf>
    <xf numFmtId="0" fontId="0" fillId="0" borderId="7" pivotButton="0" quotePrefix="0" xfId="0"/>
    <xf numFmtId="164" fontId="18" fillId="0" borderId="0" applyAlignment="1" pivotButton="0" quotePrefix="0" xfId="1">
      <alignment horizontal="center" wrapText="1"/>
    </xf>
    <xf numFmtId="164" fontId="18" fillId="0" borderId="29" applyAlignment="1" pivotButton="0" quotePrefix="0" xfId="1">
      <alignment horizontal="center" wrapText="1"/>
    </xf>
  </cellXfs>
  <cellStyles count="2">
    <cellStyle name="Normal" xfId="0" builtinId="0"/>
    <cellStyle name="Standard 2" xfId="1"/>
  </cellStyles>
  <dxfs count="45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1"/>
      </font>
      <fill>
        <patternFill>
          <bgColor rgb="FF0099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99FF66"/>
        </patternFill>
      </fill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0099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ndense val="0"/>
        <color indexed="8"/>
        <extend val="0"/>
      </font>
      <fill>
        <patternFill>
          <bgColor rgb="FFFF0000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fill>
        <patternFill>
          <bgColor rgb="FF66FF66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fill>
        <patternFill>
          <bgColor rgb="FFCCFFCC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FF0000"/>
        </patternFill>
      </fill>
    </dxf>
    <dxf>
      <font>
        <condense val="0"/>
        <color auto="1"/>
        <extend val="0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ndense val="0"/>
        <color auto="1"/>
        <extend val="0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53B63"/>
      <rgbColor rgb="00425C8F"/>
      <rgbColor rgb="00738CB4"/>
      <rgbColor rgb="00B0BBD0"/>
      <rgbColor rgb="00DF0024"/>
      <rgbColor rgb="00707070"/>
      <rgbColor rgb="00A7A7A7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Wohlfahrt Stephan (C/TEE3)</author>
  </authors>
  <commentList>
    <comment ref="E4" authorId="0" shapeId="0">
      <text>
        <t xml:space="preserve">Which issues could lead to the risk event? 
</t>
      </text>
    </comment>
    <comment ref="F4" authorId="0" shapeId="0">
      <text>
        <t xml:space="preserve">When exactly does a threat become a problem repectively an opportunity become an occasion?
</t>
      </text>
    </comment>
    <comment ref="G4" authorId="0" shapeId="0">
      <text>
        <t xml:space="preserve">What would be the consequences?
</t>
      </text>
    </comment>
    <comment ref="H4" authorId="0" shapeId="0">
      <text>
        <t xml:space="preserve">If the risk event can be linked to an exact or latest date.
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60"/>
  <sheetViews>
    <sheetView showGridLines="0" workbookViewId="0">
      <selection activeCell="T57" sqref="T57"/>
    </sheetView>
  </sheetViews>
  <sheetFormatPr baseColWidth="8" defaultColWidth="8.88671875" defaultRowHeight="13.2"/>
  <cols>
    <col width="1.5546875" customWidth="1" style="3" min="1" max="1"/>
    <col width="19.88671875" customWidth="1" style="3" min="2" max="2"/>
    <col width="14" customWidth="1" style="3" min="3" max="3"/>
    <col width="8.88671875" customWidth="1" style="3" min="4" max="16384"/>
  </cols>
  <sheetData>
    <row r="2" ht="15.6" customHeight="1">
      <c r="B2" s="1" t="inlineStr">
        <is>
          <t xml:space="preserve">Revision history 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B3" s="4" t="n"/>
      <c r="D3" s="4" t="n"/>
      <c r="E3" s="4" t="n"/>
      <c r="F3" s="4" t="n"/>
      <c r="G3" s="4" t="n"/>
      <c r="I3" s="4" t="n"/>
    </row>
    <row r="4">
      <c r="B4" s="5" t="inlineStr">
        <is>
          <t xml:space="preserve">Document Id </t>
        </is>
      </c>
      <c r="C4" s="152" t="inlineStr">
        <is>
          <t>GAM-RR-v1.0</t>
        </is>
      </c>
      <c r="D4" s="153" t="n"/>
      <c r="E4" s="153" t="n"/>
      <c r="F4" s="153" t="n"/>
      <c r="G4" s="154" t="n"/>
      <c r="I4" s="4" t="n"/>
    </row>
    <row r="5">
      <c r="B5" s="5" t="inlineStr">
        <is>
          <t xml:space="preserve">File Name </t>
        </is>
      </c>
      <c r="C5" s="152" t="inlineStr">
        <is>
          <t>Gamma_Risk_Register.xlsx</t>
        </is>
      </c>
      <c r="D5" s="153" t="n"/>
      <c r="E5" s="153" t="n"/>
      <c r="F5" s="153" t="n"/>
      <c r="G5" s="154" t="n"/>
      <c r="I5" s="4" t="n"/>
    </row>
    <row r="6">
      <c r="B6" s="5" t="inlineStr">
        <is>
          <t>Project Name</t>
        </is>
      </c>
      <c r="C6" s="127" t="inlineStr">
        <is>
          <t>Gamma - Bosch Cloud carve-out to 50/50 JV</t>
        </is>
      </c>
      <c r="D6" s="137" t="n"/>
      <c r="E6" s="137" t="n"/>
      <c r="F6" s="137" t="n"/>
      <c r="G6" s="128" t="n"/>
      <c r="I6" s="4" t="n"/>
    </row>
    <row r="7">
      <c r="B7" s="5" t="inlineStr">
        <is>
          <t>Project Id</t>
        </is>
      </c>
      <c r="C7" s="127" t="inlineStr">
        <is>
          <t>Gamma v1.0</t>
        </is>
      </c>
      <c r="D7" s="137" t="n"/>
      <c r="E7" s="137" t="n"/>
      <c r="F7" s="137" t="n"/>
      <c r="G7" s="128" t="n"/>
      <c r="I7" s="4" t="n"/>
    </row>
    <row r="8">
      <c r="B8" s="5" t="inlineStr">
        <is>
          <t>Document Owner</t>
        </is>
      </c>
      <c r="C8" s="152" t="inlineStr">
        <is>
          <t>EY</t>
        </is>
      </c>
      <c r="D8" s="153" t="n"/>
      <c r="E8" s="153" t="n"/>
      <c r="F8" s="153" t="n"/>
      <c r="G8" s="154" t="n"/>
      <c r="I8" s="4" t="n"/>
    </row>
    <row r="9"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5" t="inlineStr">
        <is>
          <t>Review Date</t>
        </is>
      </c>
      <c r="C10" s="5" t="inlineStr">
        <is>
          <t>Reviewers</t>
        </is>
      </c>
      <c r="D10" s="5" t="n"/>
      <c r="E10" s="5" t="n"/>
      <c r="F10" s="5" t="inlineStr">
        <is>
          <t>Changes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12.75" customHeight="1">
      <c r="B11" s="127" t="n"/>
      <c r="C11" s="155" t="n"/>
      <c r="D11" s="153" t="n"/>
      <c r="E11" s="154" t="n"/>
      <c r="F11" s="156" t="n"/>
      <c r="G11" s="153" t="n"/>
      <c r="H11" s="153" t="n"/>
      <c r="I11" s="153" t="n"/>
      <c r="J11" s="153" t="n"/>
      <c r="K11" s="153" t="n"/>
      <c r="L11" s="153" t="n"/>
      <c r="M11" s="153" t="n"/>
      <c r="N11" s="153" t="n"/>
      <c r="O11" s="153" t="n"/>
      <c r="P11" s="154" t="n"/>
    </row>
    <row r="12">
      <c r="B12" s="127" t="n"/>
      <c r="C12" s="155" t="n"/>
      <c r="D12" s="153" t="n"/>
      <c r="E12" s="154" t="n"/>
      <c r="F12" s="156" t="n"/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4" t="n"/>
    </row>
    <row r="13">
      <c r="B13" s="127" t="n"/>
      <c r="C13" s="155" t="n"/>
      <c r="D13" s="153" t="n"/>
      <c r="E13" s="154" t="n"/>
      <c r="F13" s="156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4" t="n"/>
    </row>
    <row r="14">
      <c r="B14" s="127" t="n"/>
      <c r="C14" s="155" t="n"/>
      <c r="D14" s="153" t="n"/>
      <c r="E14" s="154" t="n"/>
      <c r="F14" s="156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4" t="n"/>
    </row>
    <row r="15">
      <c r="B15" s="7" t="n"/>
      <c r="C15" s="155" t="n"/>
      <c r="D15" s="153" t="n"/>
      <c r="E15" s="154" t="n"/>
      <c r="F15" s="156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4" t="n"/>
    </row>
    <row r="16">
      <c r="B16" s="7" t="n"/>
      <c r="C16" s="155" t="n"/>
      <c r="D16" s="153" t="n"/>
      <c r="E16" s="154" t="n"/>
      <c r="F16" s="156" t="n"/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4" t="n"/>
    </row>
    <row r="17">
      <c r="B17" s="7" t="n"/>
      <c r="C17" s="155" t="n"/>
      <c r="D17" s="153" t="n"/>
      <c r="E17" s="154" t="n"/>
      <c r="F17" s="156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4" t="n"/>
    </row>
    <row r="18">
      <c r="B18" s="127" t="n"/>
      <c r="C18" s="155" t="n"/>
      <c r="D18" s="153" t="n"/>
      <c r="E18" s="154" t="n"/>
      <c r="F18" s="156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4" t="n"/>
    </row>
    <row r="19">
      <c r="B19" s="7" t="n"/>
      <c r="C19" s="155" t="n"/>
      <c r="D19" s="153" t="n"/>
      <c r="E19" s="154" t="n"/>
      <c r="F19" s="156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4" t="n"/>
    </row>
    <row r="20">
      <c r="B20" s="7" t="n"/>
      <c r="C20" s="155" t="n"/>
      <c r="D20" s="153" t="n"/>
      <c r="E20" s="154" t="n"/>
      <c r="F20" s="156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54" t="n"/>
    </row>
    <row r="21">
      <c r="B21" s="7" t="n"/>
      <c r="C21" s="155" t="n"/>
      <c r="D21" s="153" t="n"/>
      <c r="E21" s="154" t="n"/>
      <c r="F21" s="156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4" t="n"/>
    </row>
    <row r="22">
      <c r="B22" s="7" t="n"/>
      <c r="C22" s="155" t="n"/>
      <c r="D22" s="153" t="n"/>
      <c r="E22" s="154" t="n"/>
      <c r="F22" s="156" t="n"/>
      <c r="G22" s="153" t="n"/>
      <c r="H22" s="153" t="n"/>
      <c r="I22" s="153" t="n"/>
      <c r="J22" s="153" t="n"/>
      <c r="K22" s="153" t="n"/>
      <c r="L22" s="153" t="n"/>
      <c r="M22" s="153" t="n"/>
      <c r="N22" s="153" t="n"/>
      <c r="O22" s="153" t="n"/>
      <c r="P22" s="154" t="n"/>
    </row>
    <row r="23">
      <c r="B23" s="7" t="n"/>
      <c r="C23" s="155" t="n"/>
      <c r="D23" s="153" t="n"/>
      <c r="E23" s="154" t="n"/>
      <c r="F23" s="156" t="n"/>
      <c r="G23" s="153" t="n"/>
      <c r="H23" s="153" t="n"/>
      <c r="I23" s="153" t="n"/>
      <c r="J23" s="153" t="n"/>
      <c r="K23" s="153" t="n"/>
      <c r="L23" s="153" t="n"/>
      <c r="M23" s="153" t="n"/>
      <c r="N23" s="153" t="n"/>
      <c r="O23" s="153" t="n"/>
      <c r="P23" s="154" t="n"/>
    </row>
    <row r="24">
      <c r="C24" s="4" t="n"/>
      <c r="D24" s="8" t="n"/>
      <c r="E24" s="4" t="n"/>
      <c r="F24" s="4" t="n"/>
      <c r="G24" s="4" t="n"/>
      <c r="H24" s="4" t="n"/>
      <c r="J24" s="8" t="n"/>
      <c r="K24" s="4" t="n"/>
      <c r="L24" s="4" t="n"/>
    </row>
    <row r="25" ht="15.6" customHeight="1">
      <c r="B25" s="9" t="inlineStr">
        <is>
          <t>About this template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B26" s="10" t="n"/>
    </row>
    <row r="27" ht="15.75" customHeight="1">
      <c r="B27" s="11" t="inlineStr">
        <is>
          <t>Risk Category</t>
        </is>
      </c>
      <c r="C27" s="12" t="inlineStr">
        <is>
          <t>Select from categories as defined by the Risk Management Plan.</t>
        </is>
      </c>
    </row>
    <row r="28" ht="15.75" customHeight="1">
      <c r="B28" s="11" t="inlineStr">
        <is>
          <t>Cause</t>
        </is>
      </c>
      <c r="C28" s="12" t="inlineStr">
        <is>
          <t>Specifically what causes the risk to become a realized issue/problem</t>
        </is>
      </c>
    </row>
    <row r="29" ht="15.75" customHeight="1">
      <c r="B29" s="11" t="inlineStr">
        <is>
          <t>Effect</t>
        </is>
      </c>
      <c r="C29" s="12" t="inlineStr">
        <is>
          <t xml:space="preserve">What happens if the trigger point occurs </t>
        </is>
      </c>
    </row>
    <row r="30" ht="15.75" customHeight="1">
      <c r="B30" s="11" t="inlineStr">
        <is>
          <t>Owner</t>
        </is>
      </c>
      <c r="C30" s="12" t="inlineStr">
        <is>
          <t>Risk owner.</t>
        </is>
      </c>
    </row>
    <row r="31" ht="15.75" customHeight="1">
      <c r="B31" s="11" t="inlineStr">
        <is>
          <t>Creation date</t>
        </is>
      </c>
      <c r="C31" s="12" t="inlineStr">
        <is>
          <t>Date risk identified.</t>
        </is>
      </c>
    </row>
    <row r="32" ht="15.75" customHeight="1">
      <c r="B32" s="11" t="inlineStr">
        <is>
          <t>Source</t>
        </is>
      </c>
      <c r="C32" s="12" t="inlineStr">
        <is>
          <t xml:space="preserve">Source of risk. </t>
        </is>
      </c>
    </row>
    <row r="33" ht="15.75" customHeight="1">
      <c r="B33" s="11" t="inlineStr">
        <is>
          <t>Impact</t>
        </is>
      </c>
      <c r="C33" s="12" t="inlineStr">
        <is>
          <t>Qualitative ranking of impact to project, using scales defined in the Risk Management Plan</t>
        </is>
      </c>
    </row>
    <row r="34" ht="15.75" customHeight="1">
      <c r="B34" s="11" t="inlineStr">
        <is>
          <t>Probability</t>
        </is>
      </c>
      <c r="C34" s="12" t="inlineStr">
        <is>
          <t xml:space="preserve">Probability of risk being realized, using scales defined in the Risk Management Plan. </t>
        </is>
      </c>
    </row>
    <row r="35" ht="15.75" customHeight="1">
      <c r="B35" s="11" t="inlineStr">
        <is>
          <t>Matrix Score</t>
        </is>
      </c>
      <c r="C35" s="12" t="inlineStr">
        <is>
          <t>This is calculated once you select the Impact and Probability.</t>
        </is>
      </c>
    </row>
    <row r="36" ht="15.75" customHeight="1">
      <c r="B36" s="11" t="inlineStr">
        <is>
          <t>Qualitative Impact</t>
        </is>
      </c>
      <c r="C36" s="12" t="inlineStr">
        <is>
          <t>Space for further description of potential impact.</t>
        </is>
      </c>
    </row>
    <row r="37" ht="15.75" customHeight="1">
      <c r="B37" s="11" t="inlineStr">
        <is>
          <t>Quantitative Impact</t>
        </is>
      </c>
      <c r="C37" s="12" t="inlineStr">
        <is>
          <t>quantitative  / potential risk cost</t>
        </is>
      </c>
    </row>
    <row r="38" ht="15.75" customHeight="1">
      <c r="B38" s="11" t="inlineStr">
        <is>
          <t>Risk response strategy</t>
        </is>
      </c>
      <c r="C38" s="12" t="inlineStr">
        <is>
          <t xml:space="preserve">Select from strategies as defined by the Risk Management Plan.  </t>
        </is>
      </c>
    </row>
    <row r="39" ht="15.75" customHeight="1">
      <c r="B39" s="11" t="inlineStr">
        <is>
          <t>Status</t>
        </is>
      </c>
      <c r="C39" s="12" t="inlineStr">
        <is>
          <t>Risk status (e.g. whether it has been triggered or not).  You will need to update the values list in cells</t>
        </is>
      </c>
    </row>
    <row r="40" ht="15.75" customHeight="1">
      <c r="B40" s="11" t="inlineStr">
        <is>
          <t>Notes</t>
        </is>
      </c>
      <c r="C40" s="12" t="inlineStr">
        <is>
          <t>Additional notes.</t>
        </is>
      </c>
    </row>
    <row r="41" ht="15.75" customHeight="1">
      <c r="B41" s="11" t="n"/>
      <c r="C41" s="12" t="n"/>
    </row>
    <row r="43" ht="15.75" customHeight="1">
      <c r="B43" s="5" t="inlineStr">
        <is>
          <t>Template Version</t>
        </is>
      </c>
      <c r="C43" s="5" t="inlineStr">
        <is>
          <t>Issue Date</t>
        </is>
      </c>
      <c r="D43" s="5" t="inlineStr">
        <is>
          <t>Author</t>
        </is>
      </c>
      <c r="E43" s="5" t="n"/>
      <c r="F43" s="5" t="inlineStr">
        <is>
          <t>Changes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B44" s="127" t="inlineStr">
        <is>
          <t>1.0</t>
        </is>
      </c>
      <c r="C44" s="121" t="n">
        <v>45267</v>
      </c>
      <c r="D44" s="152" t="inlineStr">
        <is>
          <t>S. Hoehnel</t>
        </is>
      </c>
      <c r="E44" s="154" t="n"/>
      <c r="F44" s="156" t="inlineStr">
        <is>
          <t>initial template based on V5.2 of the central risk register (S. Wohlfahrt); only examples provided on top</t>
        </is>
      </c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4" t="n"/>
    </row>
    <row r="45">
      <c r="B45" s="127" t="n"/>
      <c r="C45" s="121" t="n"/>
      <c r="D45" s="152" t="n"/>
      <c r="E45" s="154" t="n"/>
      <c r="F45" s="156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4" t="n"/>
    </row>
    <row r="46">
      <c r="B46" s="127" t="n"/>
      <c r="C46" s="121" t="n"/>
      <c r="D46" s="152" t="n"/>
      <c r="E46" s="154" t="n"/>
      <c r="F46" s="156" t="n"/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4" t="n"/>
    </row>
    <row r="47">
      <c r="B47" s="127" t="n"/>
      <c r="C47" s="121" t="n"/>
      <c r="D47" s="152" t="n"/>
      <c r="E47" s="154" t="n"/>
      <c r="F47" s="156" t="n"/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4" t="n"/>
    </row>
    <row r="48">
      <c r="B48" s="7" t="n"/>
      <c r="C48" s="121" t="n"/>
      <c r="D48" s="152" t="n"/>
      <c r="E48" s="154" t="n"/>
      <c r="F48" s="156" t="n"/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4" t="n"/>
    </row>
    <row r="49">
      <c r="B49" s="7" t="n"/>
      <c r="C49" s="121" t="n"/>
      <c r="D49" s="127" t="n"/>
      <c r="E49" s="128" t="n"/>
      <c r="F49" s="156" t="n"/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4" t="n"/>
    </row>
    <row r="50">
      <c r="B50" s="7" t="n"/>
      <c r="C50" s="121" t="n"/>
      <c r="D50" s="127" t="n"/>
      <c r="E50" s="128" t="n"/>
      <c r="F50" s="156" t="n"/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4" t="n"/>
    </row>
    <row r="51">
      <c r="B51" s="127" t="n"/>
      <c r="C51" s="121" t="n"/>
      <c r="D51" s="127" t="n"/>
      <c r="E51" s="128" t="n"/>
      <c r="F51" s="156" t="n"/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4" t="n"/>
    </row>
    <row r="52">
      <c r="B52" s="7" t="n"/>
      <c r="C52" s="121" t="n"/>
      <c r="D52" s="152" t="n"/>
      <c r="E52" s="154" t="n"/>
      <c r="F52" s="156" t="n"/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4" t="n"/>
    </row>
    <row r="53">
      <c r="B53" s="7" t="n"/>
      <c r="C53" s="121" t="n"/>
      <c r="D53" s="152" t="n"/>
      <c r="E53" s="154" t="n"/>
      <c r="F53" s="156" t="n"/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4" t="n"/>
    </row>
    <row r="54">
      <c r="B54" s="7" t="n"/>
      <c r="C54" s="121" t="n"/>
      <c r="D54" s="152" t="n"/>
      <c r="E54" s="154" t="n"/>
      <c r="F54" s="156" t="n"/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4" t="n"/>
    </row>
    <row r="55">
      <c r="B55" s="7" t="n"/>
      <c r="C55" s="121" t="n"/>
      <c r="D55" s="152" t="n"/>
      <c r="E55" s="154" t="n"/>
      <c r="F55" s="156" t="n"/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4" t="n"/>
    </row>
    <row r="56">
      <c r="B56" s="7" t="n"/>
      <c r="C56" s="121" t="n"/>
      <c r="D56" s="152" t="n"/>
      <c r="E56" s="154" t="n"/>
      <c r="F56" s="156" t="n"/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4" t="n"/>
    </row>
    <row r="57" ht="25.5" customHeight="1">
      <c r="B57" s="125" t="n"/>
      <c r="C57" s="126" t="n"/>
      <c r="D57" s="157" t="n"/>
      <c r="E57" s="154" t="n"/>
      <c r="F57" s="156" t="n"/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4" t="n"/>
    </row>
    <row r="58" ht="13.5" customHeight="1">
      <c r="B58" s="125" t="n"/>
      <c r="C58" s="126" t="n"/>
      <c r="D58" s="157" t="n"/>
      <c r="E58" s="154" t="n"/>
      <c r="F58" s="156" t="n"/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4" t="n"/>
    </row>
    <row r="59">
      <c r="B59" s="125" t="n"/>
      <c r="C59" s="126" t="n"/>
      <c r="D59" s="157" t="n"/>
      <c r="E59" s="154" t="n"/>
      <c r="F59" s="156" t="n"/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4" t="n"/>
    </row>
    <row r="60">
      <c r="B60" s="125" t="n"/>
      <c r="C60" s="126" t="n"/>
      <c r="D60" s="157" t="n"/>
      <c r="E60" s="154" t="n"/>
      <c r="F60" s="156" t="n"/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4" t="n"/>
    </row>
  </sheetData>
  <mergeCells count="60">
    <mergeCell ref="F57:P57"/>
    <mergeCell ref="C16:E16"/>
    <mergeCell ref="F53:P53"/>
    <mergeCell ref="D60:E60"/>
    <mergeCell ref="F11:P11"/>
    <mergeCell ref="F44:P44"/>
    <mergeCell ref="F54:P54"/>
    <mergeCell ref="F16:P16"/>
    <mergeCell ref="C22:E22"/>
    <mergeCell ref="C5:G5"/>
    <mergeCell ref="F19:P19"/>
    <mergeCell ref="D46:E46"/>
    <mergeCell ref="C21:E21"/>
    <mergeCell ref="C12:E12"/>
    <mergeCell ref="D45:E45"/>
    <mergeCell ref="C4:G4"/>
    <mergeCell ref="C11:E11"/>
    <mergeCell ref="D52:E52"/>
    <mergeCell ref="F60:P60"/>
    <mergeCell ref="F55:P55"/>
    <mergeCell ref="F12:P12"/>
    <mergeCell ref="D57:E57"/>
    <mergeCell ref="C23:E23"/>
    <mergeCell ref="F59:P59"/>
    <mergeCell ref="F15:P15"/>
    <mergeCell ref="F21:P21"/>
    <mergeCell ref="F51:P51"/>
    <mergeCell ref="F20:P20"/>
    <mergeCell ref="C17:E17"/>
    <mergeCell ref="F45:P45"/>
    <mergeCell ref="D48:E48"/>
    <mergeCell ref="F18:P18"/>
    <mergeCell ref="F50:P50"/>
    <mergeCell ref="D53:E53"/>
    <mergeCell ref="F17:P17"/>
    <mergeCell ref="D47:E47"/>
    <mergeCell ref="C13:E13"/>
    <mergeCell ref="C19:E19"/>
    <mergeCell ref="F47:P47"/>
    <mergeCell ref="F14:P14"/>
    <mergeCell ref="C18:E18"/>
    <mergeCell ref="F23:P23"/>
    <mergeCell ref="D58:E58"/>
    <mergeCell ref="D56:E56"/>
    <mergeCell ref="F22:P22"/>
    <mergeCell ref="C8:G8"/>
    <mergeCell ref="C15:E15"/>
    <mergeCell ref="F13:P13"/>
    <mergeCell ref="F46:P46"/>
    <mergeCell ref="F56:P56"/>
    <mergeCell ref="C14:E14"/>
    <mergeCell ref="D55:E55"/>
    <mergeCell ref="F58:P58"/>
    <mergeCell ref="F52:P52"/>
    <mergeCell ref="F48:P48"/>
    <mergeCell ref="D54:E54"/>
    <mergeCell ref="F49:P49"/>
    <mergeCell ref="C20:E20"/>
    <mergeCell ref="D44:E44"/>
    <mergeCell ref="D59:E59"/>
  </mergeCells>
  <pageMargins left="0.787401575" right="0.787401575" top="0.984251969" bottom="0.984251969" header="0.5" footer="0.5"/>
  <pageSetup orientation="landscape"/>
  <headerFooter alignWithMargins="0">
    <oddHeader>&amp;C&amp;"Arial,Bold"&amp;A</oddHeader>
    <oddFooter>&amp;L&amp;"Arial,Italic"&amp;8 &amp;D &amp;T&amp;C&amp;"Arial,Italic"&amp;8 &amp;F&amp;R&amp;"Arial,Italic"&amp;8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JE222"/>
  <sheetViews>
    <sheetView showGridLines="0" tabSelected="1" zoomScale="75" workbookViewId="0">
      <pane ySplit="4" topLeftCell="A5" activePane="bottomLeft" state="frozen"/>
      <selection activeCell="F13" sqref="F13:P13"/>
      <selection pane="bottomLeft" activeCell="I12" sqref="I12"/>
    </sheetView>
  </sheetViews>
  <sheetFormatPr baseColWidth="8" defaultColWidth="8.88671875" defaultRowHeight="13.2"/>
  <cols>
    <col width="1.5546875" customWidth="1" style="3" min="1" max="1"/>
    <col width="7.44140625" customWidth="1" style="3" min="2" max="2"/>
    <col outlineLevel="1" width="10.5546875" customWidth="1" style="3" min="3" max="3"/>
    <col width="17.109375" customWidth="1" style="3" min="4" max="4"/>
    <col width="52" customWidth="1" style="3" min="5" max="5"/>
    <col outlineLevel="1" width="37" customWidth="1" style="3" min="6" max="6"/>
    <col outlineLevel="1" width="41.5546875" customWidth="1" style="3" min="7" max="7"/>
    <col outlineLevel="1" width="10.6640625" customWidth="1" style="3" min="8" max="8"/>
    <col outlineLevel="1" width="8.44140625" customWidth="1" style="3" min="9" max="9"/>
    <col outlineLevel="1" width="15.5546875" customWidth="1" style="3" min="10" max="10"/>
    <col width="2.44140625" customWidth="1" style="3" min="11" max="11"/>
    <col outlineLevel="1" width="12.6640625" customWidth="1" style="3" min="12" max="12"/>
    <col hidden="1" outlineLevel="1" width="7.33203125" customWidth="1" style="3" min="13" max="13"/>
    <col outlineLevel="1" width="12.6640625" customWidth="1" style="3" min="14" max="14"/>
    <col hidden="1" outlineLevel="1" width="8.88671875" customWidth="1" style="3" min="15" max="15"/>
    <col outlineLevel="1" width="12.88671875" customWidth="1" style="3" min="16" max="16"/>
    <col outlineLevel="1" width="7.5546875" customWidth="1" style="3" min="17" max="17"/>
    <col outlineLevel="1" width="40.5546875" customWidth="1" style="3" min="18" max="18"/>
    <col outlineLevel="1" width="13.44140625" customWidth="1" style="3" min="19" max="20"/>
    <col width="2.44140625" customWidth="1" style="3" min="21" max="21"/>
    <col outlineLevel="1" width="12.44140625" customWidth="1" style="3" min="22" max="22"/>
    <col outlineLevel="1" width="52.44140625" customWidth="1" style="3" min="23" max="23"/>
    <col outlineLevel="1" width="9.88671875" customWidth="1" style="3" min="24" max="24"/>
    <col width="2.44140625" customWidth="1" style="3" min="25" max="25"/>
    <col outlineLevel="1" width="18.33203125" customWidth="1" style="3" min="26" max="26"/>
    <col outlineLevel="1" width="10.88671875" customWidth="1" style="3" min="27" max="27"/>
    <col outlineLevel="1" width="12.6640625" customWidth="1" style="3" min="28" max="28"/>
    <col hidden="1" outlineLevel="1" width="9.44140625" customWidth="1" style="3" min="29" max="29"/>
    <col outlineLevel="1" width="12.6640625" customWidth="1" style="3" min="30" max="30"/>
    <col hidden="1" outlineLevel="1" width="8.88671875" customWidth="1" style="3" min="31" max="31"/>
    <col hidden="1" outlineLevel="1" width="10.44140625" customWidth="1" style="3" min="32" max="32"/>
    <col hidden="1" outlineLevel="1" width="11.109375" customWidth="1" style="3" min="33" max="33"/>
    <col hidden="1" outlineLevel="1" width="10.88671875" customWidth="1" style="3" min="34" max="34"/>
    <col outlineLevel="1" width="21.109375" customWidth="1" style="3" min="35" max="35"/>
    <col width="8.88671875" customWidth="1" style="3" min="36" max="16384"/>
  </cols>
  <sheetData>
    <row r="1" ht="21" customHeight="1">
      <c r="B1" s="94" t="inlineStr">
        <is>
          <t>Risk Register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</row>
    <row r="3" ht="24.75" customHeight="1">
      <c r="B3" s="116" t="inlineStr">
        <is>
          <t>Risk Identification</t>
        </is>
      </c>
      <c r="C3" s="117" t="n"/>
      <c r="D3" s="117" t="n"/>
      <c r="E3" s="117" t="n"/>
      <c r="F3" s="117" t="n"/>
      <c r="G3" s="117" t="n"/>
      <c r="H3" s="117" t="n"/>
      <c r="I3" s="117" t="n"/>
      <c r="J3" s="118" t="n"/>
      <c r="L3" s="158" t="inlineStr">
        <is>
          <t>Risk Analysis</t>
        </is>
      </c>
      <c r="M3" s="159" t="n"/>
      <c r="N3" s="159" t="n"/>
      <c r="O3" s="159" t="n"/>
      <c r="P3" s="159" t="n"/>
      <c r="Q3" s="159" t="n"/>
      <c r="R3" s="159" t="n"/>
      <c r="S3" s="159" t="n"/>
      <c r="T3" s="160" t="n"/>
      <c r="V3" s="141" t="inlineStr">
        <is>
          <t>Risk Response Planning</t>
        </is>
      </c>
      <c r="W3" s="159" t="n"/>
      <c r="X3" s="160" t="n"/>
      <c r="Z3" s="142" t="inlineStr">
        <is>
          <t>Risk Monitoring and Control</t>
        </is>
      </c>
      <c r="AA3" s="159" t="n"/>
      <c r="AB3" s="159" t="n"/>
      <c r="AC3" s="159" t="n"/>
      <c r="AD3" s="159" t="n"/>
      <c r="AE3" s="159" t="n"/>
      <c r="AF3" s="159" t="n"/>
      <c r="AG3" s="159" t="n"/>
      <c r="AH3" s="159" t="n"/>
      <c r="AI3" s="160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4" t="n"/>
      <c r="BE3" s="14" t="n"/>
      <c r="BF3" s="14" t="n"/>
      <c r="BG3" s="14" t="n"/>
      <c r="BH3" s="14" t="n"/>
      <c r="BI3" s="14" t="n"/>
      <c r="BJ3" s="14" t="n"/>
      <c r="BK3" s="14" t="n"/>
      <c r="BL3" s="14" t="n"/>
      <c r="BM3" s="14" t="n"/>
      <c r="BN3" s="14" t="n"/>
      <c r="BO3" s="14" t="n"/>
      <c r="BP3" s="14" t="n"/>
      <c r="BQ3" s="14" t="n"/>
      <c r="BR3" s="14" t="n"/>
      <c r="BS3" s="14" t="n"/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  <c r="CR3" s="14" t="n"/>
      <c r="CS3" s="14" t="n"/>
      <c r="CT3" s="14" t="n"/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4" t="n"/>
      <c r="DS3" s="14" t="n"/>
      <c r="DT3" s="14" t="n"/>
      <c r="DU3" s="14" t="n"/>
      <c r="DV3" s="14" t="n"/>
      <c r="DW3" s="14" t="n"/>
      <c r="DX3" s="14" t="n"/>
      <c r="DY3" s="14" t="n"/>
      <c r="DZ3" s="14" t="n"/>
      <c r="EA3" s="14" t="n"/>
      <c r="EB3" s="14" t="n"/>
      <c r="EC3" s="14" t="n"/>
      <c r="ED3" s="14" t="n"/>
      <c r="EE3" s="14" t="n"/>
      <c r="EF3" s="14" t="n"/>
      <c r="EG3" s="14" t="n"/>
      <c r="EH3" s="14" t="n"/>
      <c r="EI3" s="14" t="n"/>
      <c r="EJ3" s="14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  <c r="FF3" s="14" t="n"/>
      <c r="FG3" s="14" t="n"/>
      <c r="FH3" s="14" t="n"/>
      <c r="FI3" s="14" t="n"/>
      <c r="FJ3" s="14" t="n"/>
      <c r="FK3" s="14" t="n"/>
      <c r="FL3" s="14" t="n"/>
      <c r="FM3" s="14" t="n"/>
      <c r="FN3" s="14" t="n"/>
      <c r="FO3" s="14" t="n"/>
      <c r="FP3" s="14" t="n"/>
      <c r="FQ3" s="14" t="n"/>
      <c r="FR3" s="14" t="n"/>
      <c r="FS3" s="14" t="n"/>
      <c r="FT3" s="14" t="n"/>
      <c r="FU3" s="14" t="n"/>
      <c r="FV3" s="14" t="n"/>
      <c r="FW3" s="14" t="n"/>
      <c r="FX3" s="14" t="n"/>
      <c r="FY3" s="14" t="n"/>
      <c r="FZ3" s="14" t="n"/>
      <c r="GA3" s="14" t="n"/>
      <c r="GB3" s="14" t="n"/>
      <c r="GC3" s="14" t="n"/>
      <c r="GD3" s="14" t="n"/>
      <c r="GE3" s="14" t="n"/>
      <c r="GF3" s="14" t="n"/>
      <c r="GG3" s="14" t="n"/>
      <c r="GH3" s="14" t="n"/>
      <c r="GI3" s="14" t="n"/>
      <c r="GJ3" s="14" t="n"/>
      <c r="GK3" s="14" t="n"/>
      <c r="GL3" s="14" t="n"/>
      <c r="GM3" s="14" t="n"/>
      <c r="GN3" s="14" t="n"/>
      <c r="GO3" s="14" t="n"/>
      <c r="GP3" s="14" t="n"/>
      <c r="GQ3" s="14" t="n"/>
      <c r="GR3" s="14" t="n"/>
      <c r="GS3" s="14" t="n"/>
      <c r="GT3" s="14" t="n"/>
      <c r="GU3" s="14" t="n"/>
      <c r="GV3" s="14" t="n"/>
      <c r="GW3" s="14" t="n"/>
      <c r="GX3" s="14" t="n"/>
      <c r="GY3" s="14" t="n"/>
      <c r="GZ3" s="14" t="n"/>
      <c r="HA3" s="14" t="n"/>
      <c r="HB3" s="14" t="n"/>
      <c r="HC3" s="14" t="n"/>
      <c r="HD3" s="14" t="n"/>
      <c r="HE3" s="14" t="n"/>
      <c r="HF3" s="14" t="n"/>
      <c r="HG3" s="14" t="n"/>
      <c r="HH3" s="14" t="n"/>
      <c r="HI3" s="14" t="n"/>
      <c r="HJ3" s="14" t="n"/>
      <c r="HK3" s="14" t="n"/>
      <c r="HL3" s="14" t="n"/>
      <c r="HM3" s="14" t="n"/>
      <c r="HN3" s="14" t="n"/>
      <c r="HO3" s="14" t="n"/>
      <c r="HP3" s="14" t="n"/>
      <c r="HQ3" s="14" t="n"/>
      <c r="HR3" s="14" t="n"/>
      <c r="HS3" s="14" t="n"/>
      <c r="HT3" s="14" t="n"/>
      <c r="HU3" s="14" t="n"/>
      <c r="HV3" s="14" t="n"/>
      <c r="HW3" s="14" t="n"/>
      <c r="HX3" s="14" t="n"/>
      <c r="HY3" s="14" t="n"/>
      <c r="HZ3" s="14" t="n"/>
      <c r="IA3" s="14" t="n"/>
      <c r="IB3" s="14" t="n"/>
      <c r="IC3" s="14" t="n"/>
      <c r="ID3" s="14" t="n"/>
      <c r="IE3" s="14" t="n"/>
      <c r="IF3" s="14" t="n"/>
      <c r="IG3" s="14" t="n"/>
      <c r="IH3" s="14" t="n"/>
      <c r="II3" s="14" t="n"/>
      <c r="IJ3" s="14" t="n"/>
      <c r="IK3" s="14" t="n"/>
      <c r="IL3" s="14" t="n"/>
      <c r="IM3" s="14" t="n"/>
      <c r="IN3" s="14" t="n"/>
      <c r="IO3" s="14" t="n"/>
      <c r="IP3" s="14" t="n"/>
      <c r="IQ3" s="14" t="n"/>
      <c r="IR3" s="14" t="n"/>
      <c r="IS3" s="14" t="n"/>
      <c r="IT3" s="14" t="n"/>
      <c r="IU3" s="14" t="n"/>
      <c r="IV3" s="14" t="n"/>
      <c r="IW3" s="14" t="n"/>
      <c r="IX3" s="14" t="n"/>
      <c r="IY3" s="14" t="n"/>
      <c r="IZ3" s="14" t="n"/>
      <c r="JA3" s="14" t="n"/>
      <c r="JB3" s="14" t="n"/>
      <c r="JC3" s="14" t="n"/>
      <c r="JD3" s="14" t="n"/>
      <c r="JE3" s="14" t="n"/>
    </row>
    <row r="4" ht="84" customFormat="1" customHeight="1" s="15">
      <c r="B4" s="93" t="inlineStr">
        <is>
          <t>risk ID</t>
        </is>
      </c>
      <c r="C4" s="93" t="inlineStr">
        <is>
          <t xml:space="preserve">creation date </t>
        </is>
      </c>
      <c r="D4" s="93" t="inlineStr">
        <is>
          <t>risk category</t>
        </is>
      </c>
      <c r="E4" s="93" t="inlineStr">
        <is>
          <t>cause(s)</t>
        </is>
      </c>
      <c r="F4" s="93" t="inlineStr">
        <is>
          <t>event</t>
        </is>
      </c>
      <c r="G4" s="93" t="inlineStr">
        <is>
          <t>effect(s)</t>
        </is>
      </c>
      <c r="H4" s="93" t="inlineStr">
        <is>
          <t>risk event date</t>
        </is>
      </c>
      <c r="I4" s="93" t="inlineStr">
        <is>
          <t>owner</t>
        </is>
      </c>
      <c r="J4" s="93" t="inlineStr">
        <is>
          <t>source</t>
        </is>
      </c>
      <c r="K4" s="3" t="inlineStr"/>
      <c r="L4" s="93" t="inlineStr">
        <is>
          <t>impact</t>
        </is>
      </c>
      <c r="M4" s="93" t="n"/>
      <c r="N4" s="93" t="inlineStr">
        <is>
          <t>prob- ability</t>
        </is>
      </c>
      <c r="O4" s="93" t="n"/>
      <c r="P4" s="93" t="inlineStr">
        <is>
          <t>threat / opportunity</t>
        </is>
      </c>
      <c r="Q4" s="93" t="inlineStr">
        <is>
          <t>matrix score</t>
        </is>
      </c>
      <c r="R4" s="93" t="inlineStr">
        <is>
          <t xml:space="preserve">qualitative impact 
(including period of consideration) </t>
        </is>
      </c>
      <c r="S4" s="93" t="inlineStr">
        <is>
          <t>monetary impact [EUR] current year</t>
        </is>
      </c>
      <c r="T4" s="93" t="inlineStr">
        <is>
          <t>monetary impact [EUR] three subsequent years</t>
        </is>
      </c>
      <c r="U4" s="3" t="inlineStr"/>
      <c r="V4" s="93" t="inlineStr">
        <is>
          <t>risk response strategy</t>
        </is>
      </c>
      <c r="W4" s="93" t="inlineStr">
        <is>
          <t>measure</t>
        </is>
      </c>
      <c r="X4" s="93" t="inlineStr">
        <is>
          <t>due
date</t>
        </is>
      </c>
      <c r="Y4" s="3" t="inlineStr"/>
      <c r="Z4" s="93" t="inlineStr">
        <is>
          <t>status</t>
        </is>
      </c>
      <c r="AA4" s="93" t="inlineStr">
        <is>
          <t>reporting date</t>
        </is>
      </c>
      <c r="AB4" s="93" t="inlineStr">
        <is>
          <t>impact actual</t>
        </is>
      </c>
      <c r="AC4" s="93" t="n"/>
      <c r="AD4" s="93" t="inlineStr">
        <is>
          <t>prob- ability actual</t>
        </is>
      </c>
      <c r="AE4" s="93" t="n"/>
      <c r="AF4" s="93" t="inlineStr">
        <is>
          <t>impact 
(actual)</t>
        </is>
      </c>
      <c r="AG4" s="93" t="inlineStr">
        <is>
          <t>probability
(actual)</t>
        </is>
      </c>
      <c r="AH4" s="93" t="inlineStr">
        <is>
          <t>matrix score (actual)</t>
        </is>
      </c>
      <c r="AI4" s="93" t="inlineStr">
        <is>
          <t>notes</t>
        </is>
      </c>
    </row>
    <row r="5" ht="37.95" customHeight="1">
      <c r="B5" s="16" t="n">
        <v>1</v>
      </c>
      <c r="C5" s="161" t="inlineStr">
        <is>
          <t>05/04/2026</t>
        </is>
      </c>
      <c r="D5" s="96" t="inlineStr">
        <is>
          <t>Strategy &amp; Portfolio</t>
        </is>
      </c>
      <c r="E5" s="124" t="inlineStr">
        <is>
          <t>Antitrust due diligence for the 50/50 Gamma JV between Robert Bosch China and Alibaba is still open, and legal has only allowed a restricted clean-team planning model during Phase 0 and Phase 1.</t>
        </is>
      </c>
      <c r="F5" s="96" t="inlineStr">
        <is>
          <t>Legal confirmation on JV perimeter and approval mechanics arrives after the 29/10/2026 QG1 concept gate, forcing redesign of Day 1 scope, transition governance, and the interim service model.</t>
        </is>
      </c>
      <c r="G5" s="124" t="inlineStr">
        <is>
          <t>Concept rework delays Phase 2 build entry by 2 - 4 weeks, pushes vendor commitments, and increases programme management cost.</t>
        </is>
      </c>
      <c r="H5" s="161" t="inlineStr">
        <is>
          <t>20/10/2026</t>
        </is>
      </c>
      <c r="I5" s="96" t="inlineStr">
        <is>
          <t>Bosch China Legal Lead</t>
        </is>
      </c>
      <c r="J5" s="98" t="inlineStr">
        <is>
          <t>Formal Risk Review</t>
        </is>
      </c>
      <c r="K5" s="115" t="n"/>
      <c r="L5" s="99" t="inlineStr">
        <is>
          <t>High</t>
        </is>
      </c>
      <c r="M5" s="100">
        <f>_xlfn.IFNA(VLOOKUP(L5,$D$182:$E$186,2,FALSE),"")</f>
        <v/>
      </c>
      <c r="N5" s="101" t="inlineStr">
        <is>
          <t>70%</t>
        </is>
      </c>
      <c r="O5" s="101">
        <f>_xlfn.IFNA(VLOOKUP(N5,$D$189:$E$193,2,FALSE),"")</f>
        <v/>
      </c>
      <c r="P5" s="96" t="inlineStr">
        <is>
          <t>threat</t>
        </is>
      </c>
      <c r="Q5" s="17">
        <f>M5*O5</f>
        <v/>
      </c>
      <c r="R5" s="109" t="inlineStr">
        <is>
          <t>QG1 and downstream build mobilization are directly exposed to legal timing.</t>
        </is>
      </c>
      <c r="S5" s="105" t="n">
        <v>180000</v>
      </c>
      <c r="T5" s="105" t="n">
        <v>420000</v>
      </c>
      <c r="U5" s="115" t="n"/>
      <c r="V5" s="106" t="inlineStr">
        <is>
          <t>Mitigate</t>
        </is>
      </c>
      <c r="W5" s="124" t="inlineStr">
        <is>
          <t>Run a weekly legal dependency review, maintain an assumptions log approved by legal, prepare a fallback Day 1 perimeter by 30/09/2026, and pre-draft alternate governance approvals before QG1.</t>
        </is>
      </c>
      <c r="X5" s="162" t="inlineStr">
        <is>
          <t>15/10/2026</t>
        </is>
      </c>
      <c r="Y5" s="115" t="n"/>
      <c r="Z5" s="106" t="inlineStr">
        <is>
          <t>in progress</t>
        </is>
      </c>
      <c r="AA5" s="161" t="inlineStr">
        <is>
          <t>05/04/2026</t>
        </is>
      </c>
      <c r="AB5" s="99" t="inlineStr">
        <is>
          <t>High</t>
        </is>
      </c>
      <c r="AC5" s="100">
        <f>_xlfn.IFNA(VLOOKUP(AB5,$D$182:$E$186,2,FALSE),"")</f>
        <v/>
      </c>
      <c r="AD5" s="101" t="inlineStr">
        <is>
          <t>70%</t>
        </is>
      </c>
      <c r="AE5" s="101">
        <f>_xlfn.IFNA(VLOOKUP(AD5,$D$189:$E$193,2,FALSE),"")</f>
        <v/>
      </c>
      <c r="AF5" s="99">
        <f>AC5</f>
        <v/>
      </c>
      <c r="AG5" s="101">
        <f>AE5</f>
        <v/>
      </c>
      <c r="AH5" s="108">
        <f>AF5*AG5</f>
        <v/>
      </c>
      <c r="AI5" s="98" t="inlineStr">
        <is>
          <t>Top strategic risk because legal uncertainty is a true schedule dependency in Gamma.</t>
        </is>
      </c>
    </row>
    <row r="6" ht="100.95" customHeight="1">
      <c r="B6" s="18" t="n">
        <v>2</v>
      </c>
      <c r="C6" s="161" t="inlineStr">
        <is>
          <t>05/04/2026</t>
        </is>
      </c>
      <c r="D6" s="102" t="inlineStr">
        <is>
          <t>Legal &amp; Compliance</t>
        </is>
      </c>
      <c r="E6" s="124" t="inlineStr">
        <is>
          <t>High confidentiality and the very limited aware stakeholder group require restricted distribution of designs, inventories, and migration plans across Bosch China, Alibaba, and vendors.</t>
        </is>
      </c>
      <c r="F6" s="96" t="inlineStr">
        <is>
          <t>Sensitive JV information is shared beyond the approved clean-team perimeter during discovery or design workshops, triggering legal escalation and an immediate freeze on collaboration sessions.</t>
        </is>
      </c>
      <c r="G6" s="124" t="inlineStr">
        <is>
          <t>Planning pauses, trust between parties deteriorates, and the project faces reputational and compliance consequences.</t>
        </is>
      </c>
      <c r="H6" s="163" t="inlineStr">
        <is>
          <t>30/09/2026</t>
        </is>
      </c>
      <c r="I6" s="102" t="inlineStr">
        <is>
          <t>EY PMO Lead</t>
        </is>
      </c>
      <c r="J6" s="98" t="inlineStr">
        <is>
          <t>Formal Risk Review</t>
        </is>
      </c>
      <c r="K6" s="115" t="n"/>
      <c r="L6" s="99" t="inlineStr">
        <is>
          <t>Very High</t>
        </is>
      </c>
      <c r="M6" s="100">
        <f>_xlfn.IFNA(VLOOKUP(L6,$D$182:$E$186,2,FALSE),"")</f>
        <v/>
      </c>
      <c r="N6" s="101" t="inlineStr">
        <is>
          <t>50%</t>
        </is>
      </c>
      <c r="O6" s="101">
        <f>_xlfn.IFNA(VLOOKUP(N6,$D$189:$E$193,2,FALSE),"")</f>
        <v/>
      </c>
      <c r="P6" s="96" t="inlineStr">
        <is>
          <t>threat</t>
        </is>
      </c>
      <c r="Q6" s="17">
        <f>M6*O6</f>
        <v/>
      </c>
      <c r="R6" s="109" t="inlineStr">
        <is>
          <t>A confidentiality incident would halt planning at the most sensitive stage of the programme.</t>
        </is>
      </c>
      <c r="S6" s="105" t="n">
        <v>150000</v>
      </c>
      <c r="T6" s="105" t="n">
        <v>300000</v>
      </c>
      <c r="U6" s="115" t="n"/>
      <c r="V6" s="106" t="inlineStr">
        <is>
          <t>Mitigate</t>
        </is>
      </c>
      <c r="W6" s="124" t="inlineStr">
        <is>
          <t>Use named-access workspaces only, maintain an approved audience register, watermark pack distributions, and require legal review before any stakeholder expansion.</t>
        </is>
      </c>
      <c r="X6" s="162" t="inlineStr">
        <is>
          <t>01/09/2026</t>
        </is>
      </c>
      <c r="Y6" s="115" t="n"/>
      <c r="Z6" s="106" t="inlineStr">
        <is>
          <t>in progress</t>
        </is>
      </c>
      <c r="AA6" s="161" t="inlineStr">
        <is>
          <t>05/04/2026</t>
        </is>
      </c>
      <c r="AB6" s="99" t="inlineStr">
        <is>
          <t>Very High</t>
        </is>
      </c>
      <c r="AC6" s="100">
        <f>_xlfn.IFNA(VLOOKUP(AB6,$D$182:$E$186,2,FALSE),"")</f>
        <v/>
      </c>
      <c r="AD6" s="101" t="inlineStr">
        <is>
          <t>50%</t>
        </is>
      </c>
      <c r="AE6" s="101">
        <f>_xlfn.IFNA(VLOOKUP(AD6,$D$189:$E$193,2,FALSE),"")</f>
        <v/>
      </c>
      <c r="AF6" s="99">
        <f>AC6</f>
        <v/>
      </c>
      <c r="AG6" s="101">
        <f>AE6</f>
        <v/>
      </c>
      <c r="AH6" s="108">
        <f>AF6*AG6</f>
        <v/>
      </c>
      <c r="AI6" s="103" t="inlineStr">
        <is>
          <t>This risk is unique to Gamma because awareness is intentionally constrained.</t>
        </is>
      </c>
    </row>
    <row r="7" ht="59.4" customHeight="1">
      <c r="B7" s="18" t="n">
        <v>3</v>
      </c>
      <c r="C7" s="161" t="inlineStr">
        <is>
          <t>05/04/2026</t>
        </is>
      </c>
      <c r="D7" s="102" t="inlineStr">
        <is>
          <t>Schedule</t>
        </is>
      </c>
      <c r="E7" s="96" t="inlineStr">
        <is>
          <t>Because only a small clean team can validate assumptions, discovery across 5 sites, 250 users, and 20 applications depends on serial rather than parallel interviews and reviews.</t>
        </is>
      </c>
      <c r="F7" s="96" t="inlineStr">
        <is>
          <t>Inventory confirmation and dependency mapping remain incomplete by 03/09/2026, causing QG0 output quality gaps and compressing the concept phase.</t>
        </is>
      </c>
      <c r="G7" s="96" t="inlineStr">
        <is>
          <t>Schedule float is consumed before build starts, and downstream test preparation is forced into a shorter window.</t>
        </is>
      </c>
      <c r="H7" s="163" t="inlineStr">
        <is>
          <t>03/09/2026</t>
        </is>
      </c>
      <c r="I7" s="102" t="inlineStr">
        <is>
          <t>EY PMO Lead</t>
        </is>
      </c>
      <c r="J7" s="103" t="inlineStr">
        <is>
          <t>Status Meeting</t>
        </is>
      </c>
      <c r="K7" s="115" t="n"/>
      <c r="L7" s="99" t="inlineStr">
        <is>
          <t>High</t>
        </is>
      </c>
      <c r="M7" s="100">
        <f>_xlfn.IFNA(VLOOKUP(L7,$D$182:$E$186,2,FALSE),"")</f>
        <v/>
      </c>
      <c r="N7" s="101" t="inlineStr">
        <is>
          <t>70%</t>
        </is>
      </c>
      <c r="O7" s="101">
        <f>_xlfn.IFNA(VLOOKUP(N7,$D$189:$E$193,2,FALSE),"")</f>
        <v/>
      </c>
      <c r="P7" s="102" t="inlineStr">
        <is>
          <t>threat</t>
        </is>
      </c>
      <c r="Q7" s="17">
        <f>M7*O7</f>
        <v/>
      </c>
      <c r="R7" s="109" t="inlineStr">
        <is>
          <t>Early timeline compression creates persistent pressure on QG1, QG2 and QG3, and QG4 readiness.</t>
        </is>
      </c>
      <c r="S7" s="110" t="n">
        <v>90000</v>
      </c>
      <c r="T7" s="110" t="n">
        <v>180000</v>
      </c>
      <c r="U7" s="115" t="n"/>
      <c r="V7" s="111" t="inlineStr">
        <is>
          <t>Mitigate</t>
        </is>
      </c>
      <c r="W7" s="102" t="inlineStr">
        <is>
          <t>Lock a discovery calendar for the clean team, prioritize critical infrastructure towers first, and use staged inventory validation with weekly variance closure.</t>
        </is>
      </c>
      <c r="X7" s="164" t="inlineStr">
        <is>
          <t>28/08/2026</t>
        </is>
      </c>
      <c r="Y7" s="115" t="n"/>
      <c r="Z7" s="111" t="inlineStr">
        <is>
          <t>in progress</t>
        </is>
      </c>
      <c r="AA7" s="165" t="inlineStr">
        <is>
          <t>05/04/2026</t>
        </is>
      </c>
      <c r="AB7" s="99" t="inlineStr">
        <is>
          <t>High</t>
        </is>
      </c>
      <c r="AC7" s="100">
        <f>_xlfn.IFNA(VLOOKUP(AB7,$D$182:$E$186,2,FALSE),"")</f>
        <v/>
      </c>
      <c r="AD7" s="101" t="inlineStr">
        <is>
          <t>70%</t>
        </is>
      </c>
      <c r="AE7" s="101">
        <f>_xlfn.IFNA(VLOOKUP(AD7,$D$189:$E$193,2,FALSE),"")</f>
        <v/>
      </c>
      <c r="AF7" s="99">
        <f>AC7</f>
        <v/>
      </c>
      <c r="AG7" s="101">
        <f>AE7</f>
        <v/>
      </c>
      <c r="AH7" s="108">
        <f>AF7*AG7</f>
        <v/>
      </c>
      <c r="AI7" s="103" t="inlineStr">
        <is>
          <t>Gamma schedule risk is driven more by restricted access than by raw scale.</t>
        </is>
      </c>
    </row>
    <row r="8" ht="48" customHeight="1">
      <c r="B8" s="18" t="n">
        <v>4</v>
      </c>
      <c r="C8" s="161" t="inlineStr">
        <is>
          <t>05/04/2026</t>
        </is>
      </c>
      <c r="D8" s="102" t="inlineStr">
        <is>
          <t>Resources</t>
        </is>
      </c>
      <c r="E8" s="96" t="inlineStr">
        <is>
          <t>The same limited group of legal, infrastructure, and leadership staff are serving as clean-team reviewers, approvers, and subject matter experts during the first two phases.</t>
        </is>
      </c>
      <c r="F8" s="96" t="inlineStr">
        <is>
          <t>Key clean-team members become unavailable during concept sign-off or build mobilization, leaving no approved back-up resources for decisions and validations.</t>
        </is>
      </c>
      <c r="G8" s="96" t="inlineStr">
        <is>
          <t>Decision latency increases, rework grows, and issue resolution extends into the critical path.</t>
        </is>
      </c>
      <c r="H8" s="163" t="inlineStr">
        <is>
          <t>29/10/2026</t>
        </is>
      </c>
      <c r="I8" s="102" t="inlineStr">
        <is>
          <t>EY PMO Lead</t>
        </is>
      </c>
      <c r="J8" s="103" t="inlineStr">
        <is>
          <t>Status Meeting</t>
        </is>
      </c>
      <c r="K8" s="115" t="n"/>
      <c r="L8" s="99" t="inlineStr">
        <is>
          <t>High</t>
        </is>
      </c>
      <c r="M8" s="100">
        <f>_xlfn.IFNA(VLOOKUP(L8,$D$182:$E$186,2,FALSE),"")</f>
        <v/>
      </c>
      <c r="N8" s="101" t="inlineStr">
        <is>
          <t>50%</t>
        </is>
      </c>
      <c r="O8" s="101">
        <f>_xlfn.IFNA(VLOOKUP(N8,$D$189:$E$193,2,FALSE),"")</f>
        <v/>
      </c>
      <c r="P8" s="102" t="inlineStr">
        <is>
          <t>threat</t>
        </is>
      </c>
      <c r="Q8" s="17">
        <f>M8*O8</f>
        <v/>
      </c>
      <c r="R8" s="109" t="inlineStr">
        <is>
          <t>A small approved resource pool creates single-person dependency risk across multiple gates.</t>
        </is>
      </c>
      <c r="S8" s="110" t="n">
        <v>80000</v>
      </c>
      <c r="T8" s="110" t="n">
        <v>160000</v>
      </c>
      <c r="U8" s="115" t="n"/>
      <c r="V8" s="111" t="inlineStr">
        <is>
          <t>Mitigate</t>
        </is>
      </c>
      <c r="W8" s="102" t="inlineStr">
        <is>
          <t>Nominate alternates who can be pre-cleared by legal, reserve capacity for clean-team SMEs, and escalate conflicting assignments in weekly steerco.</t>
        </is>
      </c>
      <c r="X8" s="164" t="inlineStr">
        <is>
          <t>15/09/2026</t>
        </is>
      </c>
      <c r="Y8" s="115" t="n"/>
      <c r="Z8" s="111" t="inlineStr">
        <is>
          <t>not started</t>
        </is>
      </c>
      <c r="AA8" s="165" t="inlineStr">
        <is>
          <t>05/04/2026</t>
        </is>
      </c>
      <c r="AB8" s="99" t="inlineStr">
        <is>
          <t>High</t>
        </is>
      </c>
      <c r="AC8" s="100">
        <f>_xlfn.IFNA(VLOOKUP(AB8,$D$182:$E$186,2,FALSE),"")</f>
        <v/>
      </c>
      <c r="AD8" s="101" t="inlineStr">
        <is>
          <t>50%</t>
        </is>
      </c>
      <c r="AE8" s="101">
        <f>_xlfn.IFNA(VLOOKUP(AD8,$D$189:$E$193,2,FALSE),"")</f>
        <v/>
      </c>
      <c r="AF8" s="99">
        <f>AC8</f>
        <v/>
      </c>
      <c r="AG8" s="101">
        <f>AE8</f>
        <v/>
      </c>
      <c r="AH8" s="108">
        <f>AF8*AG8</f>
        <v/>
      </c>
      <c r="AI8" s="103" t="inlineStr">
        <is>
          <t>Resource concentration is high despite the smaller programme size.</t>
        </is>
      </c>
    </row>
    <row r="9" ht="34.2" customHeight="1">
      <c r="B9" s="18" t="n">
        <v>5</v>
      </c>
      <c r="C9" s="161" t="inlineStr">
        <is>
          <t>05/04/2026</t>
        </is>
      </c>
      <c r="D9" s="102" t="inlineStr">
        <is>
          <t>Technology, R&amp;D</t>
        </is>
      </c>
      <c r="E9" s="96" t="inlineStr">
        <is>
          <t>The Bosch Cloud business relies on shared Bosch China infrastructure services, and 20 in-scope applications may still have hidden dependencies on shared network, identity, monitoring, backup, or certificates.</t>
        </is>
      </c>
      <c r="F9" s="96" t="inlineStr">
        <is>
          <t>Previously undocumented shared service dependencies are discovered during build or SIT, requiring late redesign of the target hosting and connectivity model.</t>
        </is>
      </c>
      <c r="G9" s="96" t="inlineStr">
        <is>
          <t>Phase 2 build expands, integration testing slips, and GoLive readiness is weakened.</t>
        </is>
      </c>
      <c r="H9" s="163" t="inlineStr">
        <is>
          <t>15/12/2026</t>
        </is>
      </c>
      <c r="I9" s="102" t="inlineStr">
        <is>
          <t>Bosch China Infrastructure Lead</t>
        </is>
      </c>
      <c r="J9" s="103" t="inlineStr">
        <is>
          <t>Formal Risk Review</t>
        </is>
      </c>
      <c r="K9" s="115" t="n"/>
      <c r="L9" s="99" t="inlineStr">
        <is>
          <t>Very High</t>
        </is>
      </c>
      <c r="M9" s="100">
        <f>_xlfn.IFNA(VLOOKUP(L9,$D$182:$E$186,2,FALSE),"")</f>
        <v/>
      </c>
      <c r="N9" s="101" t="inlineStr">
        <is>
          <t>70%</t>
        </is>
      </c>
      <c r="O9" s="101">
        <f>_xlfn.IFNA(VLOOKUP(N9,$D$189:$E$193,2,FALSE),"")</f>
        <v/>
      </c>
      <c r="P9" s="102" t="inlineStr">
        <is>
          <t>threat</t>
        </is>
      </c>
      <c r="Q9" s="17">
        <f>M9*O9</f>
        <v/>
      </c>
      <c r="R9" s="109" t="inlineStr">
        <is>
          <t>Shared infrastructure blind spots are the largest technical threat to the Gamma build plan.</t>
        </is>
      </c>
      <c r="S9" s="110" t="n">
        <v>200000</v>
      </c>
      <c r="T9" s="110" t="n">
        <v>350000</v>
      </c>
      <c r="U9" s="115" t="n"/>
      <c r="V9" s="111" t="inlineStr">
        <is>
          <t>Mitigate</t>
        </is>
      </c>
      <c r="W9" s="102" t="inlineStr">
        <is>
          <t>Run dependency walk-throughs by tower, require evidence for each of the 20 applications, and validate shared-service assumptions before 30/10/2026 build start.</t>
        </is>
      </c>
      <c r="X9" s="164" t="inlineStr">
        <is>
          <t>23/10/2026</t>
        </is>
      </c>
      <c r="Y9" s="115" t="n"/>
      <c r="Z9" s="111" t="inlineStr">
        <is>
          <t>not started</t>
        </is>
      </c>
      <c r="AA9" s="165" t="inlineStr">
        <is>
          <t>05/04/2026</t>
        </is>
      </c>
      <c r="AB9" s="99" t="inlineStr">
        <is>
          <t>Very High</t>
        </is>
      </c>
      <c r="AC9" s="100">
        <f>_xlfn.IFNA(VLOOKUP(AB9,$D$182:$E$186,2,FALSE),"")</f>
        <v/>
      </c>
      <c r="AD9" s="101" t="inlineStr">
        <is>
          <t>70%</t>
        </is>
      </c>
      <c r="AE9" s="101">
        <f>_xlfn.IFNA(VLOOKUP(AD9,$D$189:$E$193,2,FALSE),"")</f>
        <v/>
      </c>
      <c r="AF9" s="99">
        <f>AC9</f>
        <v/>
      </c>
      <c r="AG9" s="101">
        <f>AE9</f>
        <v/>
      </c>
      <c r="AH9" s="108">
        <f>AF9*AG9</f>
        <v/>
      </c>
      <c r="AI9" s="103" t="inlineStr">
        <is>
          <t>The pure infrastructure scope concentrates risk in shared platform dependencies rather than SAP complexity.</t>
        </is>
      </c>
    </row>
    <row r="10" ht="32.4" customHeight="1">
      <c r="B10" s="18" t="n">
        <v>6</v>
      </c>
      <c r="C10" s="161" t="inlineStr">
        <is>
          <t>05/04/2026</t>
        </is>
      </c>
      <c r="D10" s="102" t="inlineStr">
        <is>
          <t>Security &amp; Data Protection</t>
        </is>
      </c>
      <c r="E10" s="96" t="inlineStr">
        <is>
          <t>Identity and privileged access are being redesigned while the project is still operating with restricted stakeholder access and partially shared Bosch China administration patterns.</t>
        </is>
      </c>
      <c r="F10" s="96" t="inlineStr">
        <is>
          <t>JV users or administrators retain inherited Bosch China privileges after cutover, leaving over-entitled access to shared directories, service consoles, or operational tooling.</t>
        </is>
      </c>
      <c r="G10" s="96" t="inlineStr">
        <is>
          <t>Unauthorized access, audit findings, and manual remediation during hypercare undermine Day 1 stability.</t>
        </is>
      </c>
      <c r="H10" s="163" t="inlineStr">
        <is>
          <t>01/02/2027</t>
        </is>
      </c>
      <c r="I10" s="102" t="inlineStr">
        <is>
          <t>Bosch China Security Lead</t>
        </is>
      </c>
      <c r="J10" s="103" t="inlineStr">
        <is>
          <t>Formal Risk Review</t>
        </is>
      </c>
      <c r="K10" s="115" t="n"/>
      <c r="L10" s="99" t="inlineStr">
        <is>
          <t>Very High</t>
        </is>
      </c>
      <c r="M10" s="100">
        <f>_xlfn.IFNA(VLOOKUP(L10,$D$182:$E$186,2,FALSE),"")</f>
        <v/>
      </c>
      <c r="N10" s="101" t="inlineStr">
        <is>
          <t>50%</t>
        </is>
      </c>
      <c r="O10" s="101">
        <f>_xlfn.IFNA(VLOOKUP(N10,$D$189:$E$193,2,FALSE),"")</f>
        <v/>
      </c>
      <c r="P10" s="102" t="inlineStr">
        <is>
          <t>threat</t>
        </is>
      </c>
      <c r="Q10" s="17">
        <f>M10*O10</f>
        <v/>
      </c>
      <c r="R10" s="109" t="inlineStr">
        <is>
          <t>Identity leakage across the shared-to-JV boundary would create both security and operational disruption.</t>
        </is>
      </c>
      <c r="S10" s="110" t="n">
        <v>160000</v>
      </c>
      <c r="T10" s="110" t="n">
        <v>320000</v>
      </c>
      <c r="U10" s="115" t="n"/>
      <c r="V10" s="111" t="inlineStr">
        <is>
          <t>Mitigate</t>
        </is>
      </c>
      <c r="W10" s="102" t="inlineStr">
        <is>
          <t>Define role matrices early, certify privileged access before QG2 and QG3, and execute an independent access recertification before QG4.</t>
        </is>
      </c>
      <c r="X10" s="164" t="inlineStr">
        <is>
          <t>15/01/2027</t>
        </is>
      </c>
      <c r="Y10" s="115" t="n"/>
      <c r="Z10" s="111" t="inlineStr">
        <is>
          <t>not started</t>
        </is>
      </c>
      <c r="AA10" s="165" t="inlineStr">
        <is>
          <t>05/04/2026</t>
        </is>
      </c>
      <c r="AB10" s="99" t="inlineStr">
        <is>
          <t>Very High</t>
        </is>
      </c>
      <c r="AC10" s="100">
        <f>_xlfn.IFNA(VLOOKUP(AB10,$D$182:$E$186,2,FALSE),"")</f>
        <v/>
      </c>
      <c r="AD10" s="101" t="inlineStr">
        <is>
          <t>50%</t>
        </is>
      </c>
      <c r="AE10" s="101">
        <f>_xlfn.IFNA(VLOOKUP(AD10,$D$189:$E$193,2,FALSE),"")</f>
        <v/>
      </c>
      <c r="AF10" s="99">
        <f>AC10</f>
        <v/>
      </c>
      <c r="AG10" s="101">
        <f>AE10</f>
        <v/>
      </c>
      <c r="AH10" s="108">
        <f>AF10*AG10</f>
        <v/>
      </c>
      <c r="AI10" s="103" t="inlineStr">
        <is>
          <t>Security design is central to Gamma because the future JV is jointly managed.</t>
        </is>
      </c>
    </row>
    <row r="11" ht="33.6" customHeight="1">
      <c r="B11" s="16" t="n">
        <v>7</v>
      </c>
      <c r="C11" s="161" t="inlineStr">
        <is>
          <t>05/04/2026</t>
        </is>
      </c>
      <c r="D11" s="102" t="inlineStr">
        <is>
          <t>Security &amp; Data Protection</t>
        </is>
      </c>
      <c r="E11" s="96" t="inlineStr">
        <is>
          <t>Monitoring, logging, backups, and shared file repositories may still contain mixed Bosch China and Gamma JV operational data after separation design is approved.</t>
        </is>
      </c>
      <c r="F11" s="96" t="inlineStr">
        <is>
          <t>Data segregation gaps are discovered in logs, backups, or archive repositories during testing or after GoLive, exposing non-Gamma records to the JV support team.</t>
        </is>
      </c>
      <c r="G11" s="96" t="inlineStr">
        <is>
          <t>Compliance breach, emergency cleanup activity, and delayed acceptance of the target operational model.</t>
        </is>
      </c>
      <c r="H11" s="163" t="inlineStr">
        <is>
          <t>20/01/2027</t>
        </is>
      </c>
      <c r="I11" s="102" t="inlineStr">
        <is>
          <t>Data Protection Officer</t>
        </is>
      </c>
      <c r="J11" s="103" t="inlineStr">
        <is>
          <t>Formal Risk Review</t>
        </is>
      </c>
      <c r="K11" s="115" t="n"/>
      <c r="L11" s="99" t="inlineStr">
        <is>
          <t>High</t>
        </is>
      </c>
      <c r="M11" s="100">
        <f>_xlfn.IFNA(VLOOKUP(L11,$D$182:$E$186,2,FALSE),"")</f>
        <v/>
      </c>
      <c r="N11" s="101" t="inlineStr">
        <is>
          <t>50%</t>
        </is>
      </c>
      <c r="O11" s="101">
        <f>_xlfn.IFNA(VLOOKUP(N11,$D$189:$E$193,2,FALSE),"")</f>
        <v/>
      </c>
      <c r="P11" s="102" t="inlineStr">
        <is>
          <t>threat</t>
        </is>
      </c>
      <c r="Q11" s="17">
        <f>M11*O11</f>
        <v/>
      </c>
      <c r="R11" s="109" t="inlineStr">
        <is>
          <t>Operational datasets are often missed because they sit outside core application inventories.</t>
        </is>
      </c>
      <c r="S11" s="110" t="n">
        <v>120000</v>
      </c>
      <c r="T11" s="110" t="n">
        <v>250000</v>
      </c>
      <c r="U11" s="115" t="n"/>
      <c r="V11" s="111" t="inlineStr">
        <is>
          <t>Mitigate</t>
        </is>
      </c>
      <c r="W11" s="102" t="inlineStr">
        <is>
          <t>Include logs, backups, and archives in the inventory, define explicit segregation checks, and add data-protection sign-off to the QG4 evidence pack.</t>
        </is>
      </c>
      <c r="X11" s="164" t="inlineStr">
        <is>
          <t>12/01/2027</t>
        </is>
      </c>
      <c r="Y11" s="115" t="n"/>
      <c r="Z11" s="111" t="inlineStr">
        <is>
          <t>not started</t>
        </is>
      </c>
      <c r="AA11" s="165" t="inlineStr">
        <is>
          <t>05/04/2026</t>
        </is>
      </c>
      <c r="AB11" s="99" t="inlineStr">
        <is>
          <t>High</t>
        </is>
      </c>
      <c r="AC11" s="100">
        <f>_xlfn.IFNA(VLOOKUP(AB11,$D$182:$E$186,2,FALSE),"")</f>
        <v/>
      </c>
      <c r="AD11" s="101" t="inlineStr">
        <is>
          <t>50%</t>
        </is>
      </c>
      <c r="AE11" s="101">
        <f>_xlfn.IFNA(VLOOKUP(AD11,$D$189:$E$193,2,FALSE),"")</f>
        <v/>
      </c>
      <c r="AF11" s="99">
        <f>AC11</f>
        <v/>
      </c>
      <c r="AG11" s="101">
        <f>AE11</f>
        <v/>
      </c>
      <c r="AH11" s="108">
        <f>AF11*AG11</f>
        <v/>
      </c>
      <c r="AI11" s="103" t="inlineStr">
        <is>
          <t>Gamma has lower application volume but still meaningful operational data-protection exposure.</t>
        </is>
      </c>
    </row>
    <row r="12" ht="45" customHeight="1">
      <c r="B12" s="18" t="n">
        <v>8</v>
      </c>
      <c r="C12" s="166" t="inlineStr">
        <is>
          <t>05/04/2026</t>
        </is>
      </c>
      <c r="D12" s="102" t="inlineStr">
        <is>
          <t>Quality</t>
        </is>
      </c>
      <c r="E12" s="102" t="inlineStr">
        <is>
          <t>UAT is intentionally limited to a narrow set of approved representatives because broader business awareness is still constrained by legal confidentiality.</t>
        </is>
      </c>
      <c r="F12" s="102" t="inlineStr">
        <is>
          <t>The reduced UAT group fails to cover critical business and operational scenarios across the 20 applications and the core infrastructure workflows.</t>
        </is>
      </c>
      <c r="G12" s="102" t="inlineStr">
        <is>
          <t>Defects surface during final readiness or early hypercare, increasing incident volume and reducing user confidence in the cutover.</t>
        </is>
      </c>
      <c r="H12" s="165" t="inlineStr">
        <is>
          <t>30/12/2026</t>
        </is>
      </c>
      <c r="I12" s="102" t="inlineStr">
        <is>
          <t>EY Test Lead</t>
        </is>
      </c>
      <c r="J12" s="103" t="inlineStr">
        <is>
          <t>Status Meeting</t>
        </is>
      </c>
      <c r="K12" s="115" t="n"/>
      <c r="L12" s="99" t="inlineStr">
        <is>
          <t>High</t>
        </is>
      </c>
      <c r="M12" s="100">
        <f>_xlfn.IFNA(VLOOKUP(L12,$D$182:$E$186,2,FALSE),"")</f>
        <v/>
      </c>
      <c r="N12" s="101" t="inlineStr">
        <is>
          <t>70%</t>
        </is>
      </c>
      <c r="O12" s="101">
        <f>_xlfn.IFNA(VLOOKUP(N12,$D$189:$E$193,2,FALSE),"")</f>
        <v/>
      </c>
      <c r="P12" s="102" t="inlineStr">
        <is>
          <t>threat</t>
        </is>
      </c>
      <c r="Q12" s="17">
        <f>M12*O12</f>
        <v/>
      </c>
      <c r="R12" s="114" t="inlineStr">
        <is>
          <t>Testing depth is constrained by confidentiality rather than by lack of planning discipline.</t>
        </is>
      </c>
      <c r="S12" s="110" t="n">
        <v>95000</v>
      </c>
      <c r="T12" s="110" t="n">
        <v>170000</v>
      </c>
      <c r="U12" s="115" t="n"/>
      <c r="V12" s="111" t="inlineStr">
        <is>
          <t>Mitigate</t>
        </is>
      </c>
      <c r="W12" s="102" t="inlineStr">
        <is>
          <t>Expand scenario coverage through scripted walkthroughs, supplement business UAT with SME dry runs, and require defect trend review before QG2 and QG3 approval.</t>
        </is>
      </c>
      <c r="X12" s="164" t="inlineStr">
        <is>
          <t>18/12/2026</t>
        </is>
      </c>
      <c r="Y12" s="115" t="n"/>
      <c r="Z12" s="111" t="inlineStr">
        <is>
          <t>not started</t>
        </is>
      </c>
      <c r="AA12" s="165" t="inlineStr">
        <is>
          <t>05/04/2026</t>
        </is>
      </c>
      <c r="AB12" s="99" t="inlineStr">
        <is>
          <t>High</t>
        </is>
      </c>
      <c r="AC12" s="100">
        <f>_xlfn.IFNA(VLOOKUP(AB12,$D$182:$E$186,2,FALSE),"")</f>
        <v/>
      </c>
      <c r="AD12" s="101" t="inlineStr">
        <is>
          <t>70%</t>
        </is>
      </c>
      <c r="AE12" s="101">
        <f>_xlfn.IFNA(VLOOKUP(AD12,$D$189:$E$193,2,FALSE),"")</f>
        <v/>
      </c>
      <c r="AF12" s="99">
        <f>AC12</f>
        <v/>
      </c>
      <c r="AG12" s="101">
        <f>AE12</f>
        <v/>
      </c>
      <c r="AH12" s="108">
        <f>AF12*AG12</f>
        <v/>
      </c>
      <c r="AI12" s="103" t="inlineStr">
        <is>
          <t>This is one of the strongest links between confidentiality and delivery quality.</t>
        </is>
      </c>
    </row>
    <row r="13" ht="18.75" customHeight="1">
      <c r="B13" s="18" t="n">
        <v>9</v>
      </c>
      <c r="C13" s="166" t="inlineStr">
        <is>
          <t>05/04/2026</t>
        </is>
      </c>
      <c r="D13" s="102" t="inlineStr">
        <is>
          <t>Customers</t>
        </is>
      </c>
      <c r="E13" s="102" t="inlineStr">
        <is>
          <t>The Bosch Cloud business provides infrastructure services, so the 250 users and dependent service consumers have low tolerance for outages during identity, network, and application cutover.</t>
        </is>
      </c>
      <c r="F13" s="102" t="inlineStr">
        <is>
          <t>Service continuity fails on 01/02/2027 because network, authentication, or shared tooling do not transition cleanly for the first working day in the new environment.</t>
        </is>
      </c>
      <c r="G13" s="102" t="inlineStr">
        <is>
          <t>Customer-facing service degradation, urgent rollback pressure, and reputational damage for both JV shareholders.</t>
        </is>
      </c>
      <c r="H13" s="165" t="inlineStr">
        <is>
          <t>01/02/2027</t>
        </is>
      </c>
      <c r="I13" s="102" t="inlineStr">
        <is>
          <t>Bosch China Operations Lead</t>
        </is>
      </c>
      <c r="J13" s="103" t="inlineStr">
        <is>
          <t>Stakeholder</t>
        </is>
      </c>
      <c r="K13" s="115" t="n"/>
      <c r="L13" s="99" t="inlineStr">
        <is>
          <t>Very High</t>
        </is>
      </c>
      <c r="M13" s="100">
        <f>_xlfn.IFNA(VLOOKUP(L13,$D$182:$E$186,2,FALSE),"")</f>
        <v/>
      </c>
      <c r="N13" s="101" t="inlineStr">
        <is>
          <t>50%</t>
        </is>
      </c>
      <c r="O13" s="101">
        <f>_xlfn.IFNA(VLOOKUP(N13,$D$189:$E$193,2,FALSE),"")</f>
        <v/>
      </c>
      <c r="P13" s="102" t="inlineStr">
        <is>
          <t>threat</t>
        </is>
      </c>
      <c r="Q13" s="17">
        <f>M13*O13</f>
        <v/>
      </c>
      <c r="R13" s="114" t="inlineStr">
        <is>
          <t>Day 1 stability is a visible business outcome and a joint reputational event for Bosch and Alibaba.</t>
        </is>
      </c>
      <c r="S13" s="110" t="n">
        <v>220000</v>
      </c>
      <c r="T13" s="110" t="n">
        <v>400000</v>
      </c>
      <c r="U13" s="115" t="n"/>
      <c r="V13" s="111" t="inlineStr">
        <is>
          <t>Mitigate</t>
        </is>
      </c>
      <c r="W13" s="102" t="inlineStr">
        <is>
          <t>Rehearse the cutover, verify critical service chains, pre-stage command center runbooks, and maintain validated rollback criteria through the final readiness window.</t>
        </is>
      </c>
      <c r="X13" s="164" t="inlineStr">
        <is>
          <t>29/01/2027</t>
        </is>
      </c>
      <c r="Y13" s="115" t="n"/>
      <c r="Z13" s="111" t="inlineStr">
        <is>
          <t>not started</t>
        </is>
      </c>
      <c r="AA13" s="165" t="inlineStr">
        <is>
          <t>05/04/2026</t>
        </is>
      </c>
      <c r="AB13" s="99" t="inlineStr">
        <is>
          <t>Very High</t>
        </is>
      </c>
      <c r="AC13" s="100">
        <f>_xlfn.IFNA(VLOOKUP(AB13,$D$182:$E$186,2,FALSE),"")</f>
        <v/>
      </c>
      <c r="AD13" s="101" t="inlineStr">
        <is>
          <t>50%</t>
        </is>
      </c>
      <c r="AE13" s="101">
        <f>_xlfn.IFNA(VLOOKUP(AD13,$D$189:$E$193,2,FALSE),"")</f>
        <v/>
      </c>
      <c r="AF13" s="99">
        <f>AC13</f>
        <v/>
      </c>
      <c r="AG13" s="101">
        <f>AE13</f>
        <v/>
      </c>
      <c r="AH13" s="108">
        <f>AF13*AG13</f>
        <v/>
      </c>
      <c r="AI13" s="103" t="inlineStr">
        <is>
          <t>Customer/service continuity risk is elevated because Gamma is infrastructure service heavy.</t>
        </is>
      </c>
    </row>
    <row r="14" ht="18.75" customHeight="1">
      <c r="B14" s="18" t="n">
        <v>10</v>
      </c>
      <c r="C14" s="166" t="inlineStr">
        <is>
          <t>05/04/2026</t>
        </is>
      </c>
      <c r="D14" s="102" t="inlineStr">
        <is>
          <t>Supply Chain</t>
        </is>
      </c>
      <c r="E14" s="102" t="inlineStr">
        <is>
          <t>Network circuits, DNS changes, certificates, and third-party enablement for 5 sites and 20 applications still depend on external providers and approval lead times.</t>
        </is>
      </c>
      <c r="F14" s="102" t="inlineStr">
        <is>
          <t>Provider lead times exceed plan, leaving one or more sites or shared services without the required certificates, routing, or external connectivity for integrated testing and cutover.</t>
        </is>
      </c>
      <c r="G14" s="102" t="inlineStr">
        <is>
          <t>SIT defects remain open, pre-GoLive completion slips, and manual workarounds increase operational risk.</t>
        </is>
      </c>
      <c r="H14" s="165" t="inlineStr">
        <is>
          <t>11/01/2027</t>
        </is>
      </c>
      <c r="I14" s="102" t="inlineStr">
        <is>
          <t>Bosch China Infrastructure Lead</t>
        </is>
      </c>
      <c r="J14" s="103" t="inlineStr">
        <is>
          <t>Status Meeting</t>
        </is>
      </c>
      <c r="K14" s="115" t="n"/>
      <c r="L14" s="99" t="inlineStr">
        <is>
          <t>High</t>
        </is>
      </c>
      <c r="M14" s="100">
        <f>_xlfn.IFNA(VLOOKUP(L14,$D$182:$E$186,2,FALSE),"")</f>
        <v/>
      </c>
      <c r="N14" s="101" t="inlineStr">
        <is>
          <t>50%</t>
        </is>
      </c>
      <c r="O14" s="101">
        <f>_xlfn.IFNA(VLOOKUP(N14,$D$189:$E$193,2,FALSE),"")</f>
        <v/>
      </c>
      <c r="P14" s="102" t="inlineStr">
        <is>
          <t>threat</t>
        </is>
      </c>
      <c r="Q14" s="17">
        <f>M14*O14</f>
        <v/>
      </c>
      <c r="R14" s="114" t="inlineStr">
        <is>
          <t>Third-party technical lead times directly influence QG2 and QG3 and QG4 readiness.</t>
        </is>
      </c>
      <c r="S14" s="110" t="n">
        <v>70000</v>
      </c>
      <c r="T14" s="110" t="n">
        <v>110000</v>
      </c>
      <c r="U14" s="115" t="n"/>
      <c r="V14" s="111" t="inlineStr">
        <is>
          <t>Mitigate</t>
        </is>
      </c>
      <c r="W14" s="102" t="inlineStr">
        <is>
          <t>Submit provider requests early, track certificates and circuit milestones weekly, and define temporary fallback routing for priority services.</t>
        </is>
      </c>
      <c r="X14" s="164" t="inlineStr">
        <is>
          <t>30/11/2026</t>
        </is>
      </c>
      <c r="Y14" s="115" t="n"/>
      <c r="Z14" s="111" t="inlineStr">
        <is>
          <t>in progress</t>
        </is>
      </c>
      <c r="AA14" s="165" t="inlineStr">
        <is>
          <t>05/04/2026</t>
        </is>
      </c>
      <c r="AB14" s="99" t="inlineStr">
        <is>
          <t>High</t>
        </is>
      </c>
      <c r="AC14" s="100">
        <f>_xlfn.IFNA(VLOOKUP(AB14,$D$182:$E$186,2,FALSE),"")</f>
        <v/>
      </c>
      <c r="AD14" s="101" t="inlineStr">
        <is>
          <t>50%</t>
        </is>
      </c>
      <c r="AE14" s="101">
        <f>_xlfn.IFNA(VLOOKUP(AD14,$D$189:$E$193,2,FALSE),"")</f>
        <v/>
      </c>
      <c r="AF14" s="99">
        <f>AC14</f>
        <v/>
      </c>
      <c r="AG14" s="101">
        <f>AE14</f>
        <v/>
      </c>
      <c r="AH14" s="108">
        <f>AF14*AG14</f>
        <v/>
      </c>
      <c r="AI14" s="103" t="inlineStr">
        <is>
          <t>A smaller site count lowers volume but not dependency sensitivity.</t>
        </is>
      </c>
    </row>
    <row r="15" ht="18.75" customHeight="1">
      <c r="B15" s="18" t="n">
        <v>11</v>
      </c>
      <c r="C15" s="166" t="inlineStr">
        <is>
          <t>05/04/2026</t>
        </is>
      </c>
      <c r="D15" s="102" t="inlineStr">
        <is>
          <t>Budget</t>
        </is>
      </c>
      <c r="E15" s="102" t="inlineStr">
        <is>
          <t>If legal decisions or third-party approvals arrive late, Gamma may need extended dual running, extra transition services, and more PMO effort beyond the initial v1.0 baseline.</t>
        </is>
      </c>
      <c r="F15" s="102" t="inlineStr">
        <is>
          <t>Temporary seller-hosted services and duplicated environments stay active beyond the planned build and readiness windows.</t>
        </is>
      </c>
      <c r="G15" s="102" t="inlineStr">
        <is>
          <t>The cost plan requires an uplift, and management approval is needed for unplanned run costs during late build or hypercare.</t>
        </is>
      </c>
      <c r="H15" s="165" t="inlineStr">
        <is>
          <t>25/01/2027</t>
        </is>
      </c>
      <c r="I15" s="102" t="inlineStr">
        <is>
          <t>EY Finance Lead</t>
        </is>
      </c>
      <c r="J15" s="103" t="inlineStr">
        <is>
          <t>Formal Risk Review</t>
        </is>
      </c>
      <c r="K15" s="115" t="n"/>
      <c r="L15" s="99" t="inlineStr">
        <is>
          <t>Moderate</t>
        </is>
      </c>
      <c r="M15" s="100">
        <f>_xlfn.IFNA(VLOOKUP(L15,$D$182:$E$186,2,FALSE),"")</f>
        <v/>
      </c>
      <c r="N15" s="101" t="inlineStr">
        <is>
          <t>70%</t>
        </is>
      </c>
      <c r="O15" s="101">
        <f>_xlfn.IFNA(VLOOKUP(N15,$D$189:$E$193,2,FALSE),"")</f>
        <v/>
      </c>
      <c r="P15" s="102" t="inlineStr">
        <is>
          <t>threat</t>
        </is>
      </c>
      <c r="Q15" s="17">
        <f>M15*O15</f>
        <v/>
      </c>
      <c r="R15" s="114" t="inlineStr">
        <is>
          <t>Budget pressure is more likely than severe because the project is smaller, but dual running can still add material cost.</t>
        </is>
      </c>
      <c r="S15" s="110" t="n">
        <v>110000</v>
      </c>
      <c r="T15" s="110" t="n">
        <v>140000</v>
      </c>
      <c r="U15" s="115" t="n"/>
      <c r="V15" s="111" t="inlineStr">
        <is>
          <t>Mitigate</t>
        </is>
      </c>
      <c r="W15" s="102" t="inlineStr">
        <is>
          <t>Track transition-service demand monthly, define a clear exit baseline in the cost plan, and escalate any extension request through steerco within five working days.</t>
        </is>
      </c>
      <c r="X15" s="164" t="inlineStr">
        <is>
          <t>15/01/2027</t>
        </is>
      </c>
      <c r="Y15" s="115" t="n"/>
      <c r="Z15" s="111" t="inlineStr">
        <is>
          <t>not started</t>
        </is>
      </c>
      <c r="AA15" s="165" t="inlineStr">
        <is>
          <t>05/04/2026</t>
        </is>
      </c>
      <c r="AB15" s="99" t="inlineStr">
        <is>
          <t>Moderate</t>
        </is>
      </c>
      <c r="AC15" s="100">
        <f>_xlfn.IFNA(VLOOKUP(AB15,$D$182:$E$186,2,FALSE),"")</f>
        <v/>
      </c>
      <c r="AD15" s="101" t="inlineStr">
        <is>
          <t>70%</t>
        </is>
      </c>
      <c r="AE15" s="101">
        <f>_xlfn.IFNA(VLOOKUP(AD15,$D$189:$E$193,2,FALSE),"")</f>
        <v/>
      </c>
      <c r="AF15" s="99">
        <f>AC15</f>
        <v/>
      </c>
      <c r="AG15" s="101">
        <f>AE15</f>
        <v/>
      </c>
      <c r="AH15" s="108">
        <f>AF15*AG15</f>
        <v/>
      </c>
      <c r="AI15" s="103" t="inlineStr">
        <is>
          <t>This risk will directly inform the Gamma cost-plan contingency.</t>
        </is>
      </c>
    </row>
    <row r="16" ht="18.75" customHeight="1">
      <c r="B16" s="18" t="n">
        <v>12</v>
      </c>
      <c r="C16" s="166" t="inlineStr">
        <is>
          <t>05/04/2026</t>
        </is>
      </c>
      <c r="D16" s="102" t="inlineStr">
        <is>
          <t>Ecosystems &amp; Ethics</t>
        </is>
      </c>
      <c r="E16" s="102" t="inlineStr">
        <is>
          <t>The future operating model is a 50/50 jointly managed JV, which can create split accountability and slower decisions if responsibilities are not explicit by QG1 and QG4.</t>
        </is>
      </c>
      <c r="F16" s="102" t="inlineStr">
        <is>
          <t>Bosch China and Alibaba disagree on service ownership, priority defects, or acceptance criteria during build or final readiness.</t>
        </is>
      </c>
      <c r="G16" s="102" t="inlineStr">
        <is>
          <t>Critical decisions stall, support ownership remains ambiguous, and the post-GoLive run model is weaker than planned.</t>
        </is>
      </c>
      <c r="H16" s="165" t="inlineStr">
        <is>
          <t>25/01/2027</t>
        </is>
      </c>
      <c r="I16" s="102" t="inlineStr">
        <is>
          <t>Gamma Steering Committee Chair</t>
        </is>
      </c>
      <c r="J16" s="103" t="inlineStr">
        <is>
          <t>Stakeholder</t>
        </is>
      </c>
      <c r="K16" s="115" t="n"/>
      <c r="L16" s="99" t="inlineStr">
        <is>
          <t>High</t>
        </is>
      </c>
      <c r="M16" s="100">
        <f>_xlfn.IFNA(VLOOKUP(L16,$D$182:$E$186,2,FALSE),"")</f>
        <v/>
      </c>
      <c r="N16" s="101" t="inlineStr">
        <is>
          <t>50%</t>
        </is>
      </c>
      <c r="O16" s="101">
        <f>_xlfn.IFNA(VLOOKUP(N16,$D$189:$E$193,2,FALSE),"")</f>
        <v/>
      </c>
      <c r="P16" s="102" t="inlineStr">
        <is>
          <t>threat</t>
        </is>
      </c>
      <c r="Q16" s="17">
        <f>M16*O16</f>
        <v/>
      </c>
      <c r="R16" s="114" t="inlineStr">
        <is>
          <t>Joint governance ambiguity can turn minor operational issues into gate-blocking issues.</t>
        </is>
      </c>
      <c r="S16" s="110" t="n">
        <v>85000</v>
      </c>
      <c r="T16" s="110" t="n">
        <v>160000</v>
      </c>
      <c r="U16" s="115" t="n"/>
      <c r="V16" s="111" t="inlineStr">
        <is>
          <t>Mitigate</t>
        </is>
      </c>
      <c r="W16" s="102" t="inlineStr">
        <is>
          <t>Document service ownership in the operating model, pre-approve decision rights, and require both parties to sign the final readiness acceptance matrix.</t>
        </is>
      </c>
      <c r="X16" s="164" t="inlineStr">
        <is>
          <t>20/01/2027</t>
        </is>
      </c>
      <c r="Y16" s="115" t="n"/>
      <c r="Z16" s="111" t="inlineStr">
        <is>
          <t>not started</t>
        </is>
      </c>
      <c r="AA16" s="165" t="inlineStr">
        <is>
          <t>05/04/2026</t>
        </is>
      </c>
      <c r="AB16" s="99" t="inlineStr">
        <is>
          <t>High</t>
        </is>
      </c>
      <c r="AC16" s="100">
        <f>_xlfn.IFNA(VLOOKUP(AB16,$D$182:$E$186,2,FALSE),"")</f>
        <v/>
      </c>
      <c r="AD16" s="101" t="inlineStr">
        <is>
          <t>50%</t>
        </is>
      </c>
      <c r="AE16" s="101">
        <f>_xlfn.IFNA(VLOOKUP(AD16,$D$189:$E$193,2,FALSE),"")</f>
        <v/>
      </c>
      <c r="AF16" s="99">
        <f>AC16</f>
        <v/>
      </c>
      <c r="AG16" s="101">
        <f>AE16</f>
        <v/>
      </c>
      <c r="AH16" s="108">
        <f>AF16*AG16</f>
        <v/>
      </c>
      <c r="AI16" s="103" t="inlineStr">
        <is>
          <t>This is a Gamma-specific governance risk driven by the 50/50 JV structure.</t>
        </is>
      </c>
    </row>
    <row r="17" ht="18.75" customHeight="1">
      <c r="B17" s="16" t="n">
        <v>13</v>
      </c>
      <c r="C17" s="166" t="inlineStr">
        <is>
          <t>05/04/2026</t>
        </is>
      </c>
      <c r="D17" s="102" t="inlineStr">
        <is>
          <t>Legal &amp; Compliance</t>
        </is>
      </c>
      <c r="E17" s="102" t="inlineStr">
        <is>
          <t>Several of the 20 applications and supporting services may have contracts, licences, or processing terms that require change-of-control approval for the new JV structure.</t>
        </is>
      </c>
      <c r="F17" s="102" t="inlineStr">
        <is>
          <t>One or more providers do not approve the transfer or require terms that are not acceptable before cutover.</t>
        </is>
      </c>
      <c r="G17" s="102" t="inlineStr">
        <is>
          <t>Scope exceptions, delayed cutover readiness, or unplanned replacement work are required for affected services.</t>
        </is>
      </c>
      <c r="H17" s="165" t="inlineStr">
        <is>
          <t>12/12/2026</t>
        </is>
      </c>
      <c r="I17" s="102" t="inlineStr">
        <is>
          <t>Procurement Lead</t>
        </is>
      </c>
      <c r="J17" s="103" t="inlineStr">
        <is>
          <t>Formal Risk Review</t>
        </is>
      </c>
      <c r="K17" s="115" t="n"/>
      <c r="L17" s="99" t="inlineStr">
        <is>
          <t>High</t>
        </is>
      </c>
      <c r="M17" s="100">
        <f>_xlfn.IFNA(VLOOKUP(L17,$D$182:$E$186,2,FALSE),"")</f>
        <v/>
      </c>
      <c r="N17" s="101" t="inlineStr">
        <is>
          <t>50%</t>
        </is>
      </c>
      <c r="O17" s="101">
        <f>_xlfn.IFNA(VLOOKUP(N17,$D$189:$E$193,2,FALSE),"")</f>
        <v/>
      </c>
      <c r="P17" s="102" t="inlineStr">
        <is>
          <t>threat</t>
        </is>
      </c>
      <c r="Q17" s="17">
        <f>M17*O17</f>
        <v/>
      </c>
      <c r="R17" s="114" t="inlineStr">
        <is>
          <t>A small number of blocked providers could still create a large operational gap because the application landscape is compact.</t>
        </is>
      </c>
      <c r="S17" s="110" t="n">
        <v>100000</v>
      </c>
      <c r="T17" s="110" t="n">
        <v>180000</v>
      </c>
      <c r="U17" s="115" t="n"/>
      <c r="V17" s="111" t="inlineStr">
        <is>
          <t>Mitigate</t>
        </is>
      </c>
      <c r="W17" s="102" t="inlineStr">
        <is>
          <t>Complete contract review during concept phase, contact affected vendors by 31/10/2026, and define alternatives for any provider without timely consent.</t>
        </is>
      </c>
      <c r="X17" s="164" t="inlineStr">
        <is>
          <t>30/11/2026</t>
        </is>
      </c>
      <c r="Y17" s="115" t="n"/>
      <c r="Z17" s="111" t="inlineStr">
        <is>
          <t>not started</t>
        </is>
      </c>
      <c r="AA17" s="165" t="inlineStr">
        <is>
          <t>05/04/2026</t>
        </is>
      </c>
      <c r="AB17" s="99" t="inlineStr">
        <is>
          <t>High</t>
        </is>
      </c>
      <c r="AC17" s="100">
        <f>_xlfn.IFNA(VLOOKUP(AB17,$D$182:$E$186,2,FALSE),"")</f>
        <v/>
      </c>
      <c r="AD17" s="101" t="inlineStr">
        <is>
          <t>50%</t>
        </is>
      </c>
      <c r="AE17" s="101">
        <f>_xlfn.IFNA(VLOOKUP(AD17,$D$189:$E$193,2,FALSE),"")</f>
        <v/>
      </c>
      <c r="AF17" s="99">
        <f>AC17</f>
        <v/>
      </c>
      <c r="AG17" s="101">
        <f>AE17</f>
        <v/>
      </c>
      <c r="AH17" s="108">
        <f>AF17*AG17</f>
        <v/>
      </c>
      <c r="AI17" s="103" t="inlineStr">
        <is>
          <t>The smaller portfolio makes early vendor outreach feasible and essential.</t>
        </is>
      </c>
    </row>
    <row r="18" ht="18.75" customHeight="1">
      <c r="B18" s="18" t="n">
        <v>14</v>
      </c>
      <c r="C18" s="166" t="inlineStr">
        <is>
          <t>05/04/2026</t>
        </is>
      </c>
      <c r="D18" s="102" t="inlineStr">
        <is>
          <t>Stakeholder Relations &amp; Public Affairs</t>
        </is>
      </c>
      <c r="E18" s="102" t="inlineStr">
        <is>
          <t>Because only limited associates are aware of the carve-out and JV plan, rumors or partial disclosures can spread without an approved narrative or response plan.</t>
        </is>
      </c>
      <c r="F18" s="102" t="inlineStr">
        <is>
          <t>Uncontrolled internal discussion reaches broader teams, suppliers, or customers before formal communication windows are approved.</t>
        </is>
      </c>
      <c r="G18" s="102" t="inlineStr">
        <is>
          <t>Stakeholder anxiety rises, cooperation drops, and management spends time on damage control instead of execution.</t>
        </is>
      </c>
      <c r="H18" s="165" t="inlineStr">
        <is>
          <t>30/11/2026</t>
        </is>
      </c>
      <c r="I18" s="102" t="inlineStr">
        <is>
          <t>Communications Lead</t>
        </is>
      </c>
      <c r="J18" s="103" t="inlineStr">
        <is>
          <t>Stakeholder</t>
        </is>
      </c>
      <c r="K18" s="115" t="n"/>
      <c r="L18" s="99" t="inlineStr">
        <is>
          <t>Moderate</t>
        </is>
      </c>
      <c r="M18" s="100">
        <f>_xlfn.IFNA(VLOOKUP(L18,$D$182:$E$186,2,FALSE),"")</f>
        <v/>
      </c>
      <c r="N18" s="101" t="inlineStr">
        <is>
          <t>50%</t>
        </is>
      </c>
      <c r="O18" s="101">
        <f>_xlfn.IFNA(VLOOKUP(N18,$D$189:$E$193,2,FALSE),"")</f>
        <v/>
      </c>
      <c r="P18" s="102" t="inlineStr">
        <is>
          <t>threat</t>
        </is>
      </c>
      <c r="Q18" s="17">
        <f>M18*O18</f>
        <v/>
      </c>
      <c r="R18" s="114" t="inlineStr">
        <is>
          <t>Narrative gaps can create avoidable friction even when technical work remains on plan.</t>
        </is>
      </c>
      <c r="S18" s="110" t="n">
        <v>40000</v>
      </c>
      <c r="T18" s="110" t="n">
        <v>70000</v>
      </c>
      <c r="U18" s="115" t="n"/>
      <c r="V18" s="111" t="inlineStr">
        <is>
          <t>Mitigate</t>
        </is>
      </c>
      <c r="W18" s="102" t="inlineStr">
        <is>
          <t>Prepare confidential Q and A packs, align response owners, and release controlled stakeholder messages in phases approved by legal.</t>
        </is>
      </c>
      <c r="X18" s="164" t="inlineStr">
        <is>
          <t>15/10/2026</t>
        </is>
      </c>
      <c r="Y18" s="115" t="n"/>
      <c r="Z18" s="111" t="inlineStr">
        <is>
          <t>not started</t>
        </is>
      </c>
      <c r="AA18" s="165" t="inlineStr">
        <is>
          <t>05/04/2026</t>
        </is>
      </c>
      <c r="AB18" s="99" t="inlineStr">
        <is>
          <t>Moderate</t>
        </is>
      </c>
      <c r="AC18" s="100">
        <f>_xlfn.IFNA(VLOOKUP(AB18,$D$182:$E$186,2,FALSE),"")</f>
        <v/>
      </c>
      <c r="AD18" s="101" t="inlineStr">
        <is>
          <t>50%</t>
        </is>
      </c>
      <c r="AE18" s="101">
        <f>_xlfn.IFNA(VLOOKUP(AD18,$D$189:$E$193,2,FALSE),"")</f>
        <v/>
      </c>
      <c r="AF18" s="99">
        <f>AC18</f>
        <v/>
      </c>
      <c r="AG18" s="101">
        <f>AE18</f>
        <v/>
      </c>
      <c r="AH18" s="108">
        <f>AF18*AG18</f>
        <v/>
      </c>
      <c r="AI18" s="103" t="inlineStr">
        <is>
          <t>Communication control is a management discipline risk rather than a pure technical issue.</t>
        </is>
      </c>
    </row>
    <row r="19" ht="18.75" customHeight="1">
      <c r="B19" s="18" t="n">
        <v>15</v>
      </c>
      <c r="C19" s="166" t="inlineStr">
        <is>
          <t>05/04/2026</t>
        </is>
      </c>
      <c r="D19" s="102" t="inlineStr">
        <is>
          <t>Technology, R&amp;D</t>
        </is>
      </c>
      <c r="E19" s="102" t="inlineStr">
        <is>
          <t>The new JV operating model depends on monitoring, incident routing, service desk procedures, and support tooling being ready before the 01/02/2027 cutover.</t>
        </is>
      </c>
      <c r="F19" s="102" t="inlineStr">
        <is>
          <t>Operational tooling is only partially configured by the time SIT closes, leaving alert routing, ticket triage, or backup reporting incomplete at GoLive.</t>
        </is>
      </c>
      <c r="G19" s="102" t="inlineStr">
        <is>
          <t>Incident response slows during hypercare and early production issues take longer to diagnose and resolve.</t>
        </is>
      </c>
      <c r="H19" s="165" t="inlineStr">
        <is>
          <t>25/01/2027</t>
        </is>
      </c>
      <c r="I19" s="102" t="inlineStr">
        <is>
          <t>Operations Lead</t>
        </is>
      </c>
      <c r="J19" s="103" t="inlineStr">
        <is>
          <t>Status Meeting</t>
        </is>
      </c>
      <c r="K19" s="115" t="n"/>
      <c r="L19" s="99" t="inlineStr">
        <is>
          <t>High</t>
        </is>
      </c>
      <c r="M19" s="100">
        <f>_xlfn.IFNA(VLOOKUP(L19,$D$182:$E$186,2,FALSE),"")</f>
        <v/>
      </c>
      <c r="N19" s="101" t="inlineStr">
        <is>
          <t>50%</t>
        </is>
      </c>
      <c r="O19" s="101">
        <f>_xlfn.IFNA(VLOOKUP(N19,$D$189:$E$193,2,FALSE),"")</f>
        <v/>
      </c>
      <c r="P19" s="102" t="inlineStr">
        <is>
          <t>threat</t>
        </is>
      </c>
      <c r="Q19" s="17">
        <f>M19*O19</f>
        <v/>
      </c>
      <c r="R19" s="114" t="inlineStr">
        <is>
          <t>Service-management immaturity would turn manageable technical issues into prolonged outages.</t>
        </is>
      </c>
      <c r="S19" s="110" t="n">
        <v>90000</v>
      </c>
      <c r="T19" s="110" t="n">
        <v>150000</v>
      </c>
      <c r="U19" s="115" t="n"/>
      <c r="V19" s="111" t="inlineStr">
        <is>
          <t>Mitigate</t>
        </is>
      </c>
      <c r="W19" s="102" t="inlineStr">
        <is>
          <t>Treat operational tooling as a gateable deliverable, run command-center rehearsals, and include service desk proof points in the QG4 evidence pack.</t>
        </is>
      </c>
      <c r="X19" s="164" t="inlineStr">
        <is>
          <t>19/01/2027</t>
        </is>
      </c>
      <c r="Y19" s="115" t="n"/>
      <c r="Z19" s="111" t="inlineStr">
        <is>
          <t>not started</t>
        </is>
      </c>
      <c r="AA19" s="165" t="inlineStr">
        <is>
          <t>05/04/2026</t>
        </is>
      </c>
      <c r="AB19" s="99" t="inlineStr">
        <is>
          <t>High</t>
        </is>
      </c>
      <c r="AC19" s="100">
        <f>_xlfn.IFNA(VLOOKUP(AB19,$D$182:$E$186,2,FALSE),"")</f>
        <v/>
      </c>
      <c r="AD19" s="101" t="inlineStr">
        <is>
          <t>50%</t>
        </is>
      </c>
      <c r="AE19" s="101">
        <f>_xlfn.IFNA(VLOOKUP(AD19,$D$189:$E$193,2,FALSE),"")</f>
        <v/>
      </c>
      <c r="AF19" s="99">
        <f>AC19</f>
        <v/>
      </c>
      <c r="AG19" s="101">
        <f>AE19</f>
        <v/>
      </c>
      <c r="AH19" s="108">
        <f>AF19*AG19</f>
        <v/>
      </c>
      <c r="AI19" s="103" t="inlineStr">
        <is>
          <t>This risk aligns directly with schedule task 31 and the final readiness phase.</t>
        </is>
      </c>
    </row>
    <row r="20" ht="18.75" customHeight="1">
      <c r="B20" s="18" t="n">
        <v>16</v>
      </c>
      <c r="C20" s="166" t="inlineStr">
        <is>
          <t>05/04/2026</t>
        </is>
      </c>
      <c r="D20" s="102" t="inlineStr">
        <is>
          <t>Schedule</t>
        </is>
      </c>
      <c r="E20" s="102" t="inlineStr">
        <is>
          <t>Gamma has a firm GoLive on 01/02/2027 and a five-day final-readiness window after QG4, leaving limited tolerance for residual defects, unclosed actions, or incomplete migrations.</t>
        </is>
      </c>
      <c r="F20" s="102" t="inlineStr">
        <is>
          <t>One or more QG4 prerequisites remain open on 25/01/2027, leaving insufficient time to close defects, re-run checks, and secure business sign-off before GoLive.</t>
        </is>
      </c>
      <c r="G20" s="102" t="inlineStr">
        <is>
          <t>Management must choose between delaying GoLive or accepting elevated operational and governance risk.</t>
        </is>
      </c>
      <c r="H20" s="165" t="inlineStr">
        <is>
          <t>25/01/2027</t>
        </is>
      </c>
      <c r="I20" s="102" t="inlineStr">
        <is>
          <t>EY PMO Lead</t>
        </is>
      </c>
      <c r="J20" s="103" t="inlineStr">
        <is>
          <t>Formal Risk Review</t>
        </is>
      </c>
      <c r="K20" s="115" t="n"/>
      <c r="L20" s="99" t="inlineStr">
        <is>
          <t>Very High</t>
        </is>
      </c>
      <c r="M20" s="100">
        <f>_xlfn.IFNA(VLOOKUP(L20,$D$182:$E$186,2,FALSE),"")</f>
        <v/>
      </c>
      <c r="N20" s="101" t="inlineStr">
        <is>
          <t>50%</t>
        </is>
      </c>
      <c r="O20" s="101">
        <f>_xlfn.IFNA(VLOOKUP(N20,$D$189:$E$193,2,FALSE),"")</f>
        <v/>
      </c>
      <c r="P20" s="102" t="inlineStr">
        <is>
          <t>threat</t>
        </is>
      </c>
      <c r="Q20" s="17">
        <f>M20*O20</f>
        <v/>
      </c>
      <c r="R20" s="114" t="inlineStr">
        <is>
          <t>This is the principal gate risk tied to the QG4 to GoLive buffer.</t>
        </is>
      </c>
      <c r="S20" s="110" t="n">
        <v>140000</v>
      </c>
      <c r="T20" s="110" t="n">
        <v>220000</v>
      </c>
      <c r="U20" s="115" t="n"/>
      <c r="V20" s="111" t="inlineStr">
        <is>
          <t>Mitigate</t>
        </is>
      </c>
      <c r="W20" s="102" t="inlineStr">
        <is>
          <t>Run a daily readiness burn-down from 12/01/2027, freeze non-essential changes, and escalate any red item within 24 hours to steerco.</t>
        </is>
      </c>
      <c r="X20" s="164" t="inlineStr">
        <is>
          <t>22/01/2027</t>
        </is>
      </c>
      <c r="Y20" s="115" t="n"/>
      <c r="Z20" s="111" t="inlineStr">
        <is>
          <t>not started</t>
        </is>
      </c>
      <c r="AA20" s="165" t="inlineStr">
        <is>
          <t>05/04/2026</t>
        </is>
      </c>
      <c r="AB20" s="99" t="inlineStr">
        <is>
          <t>Very High</t>
        </is>
      </c>
      <c r="AC20" s="100">
        <f>_xlfn.IFNA(VLOOKUP(AB20,$D$182:$E$186,2,FALSE),"")</f>
        <v/>
      </c>
      <c r="AD20" s="101" t="inlineStr">
        <is>
          <t>50%</t>
        </is>
      </c>
      <c r="AE20" s="101">
        <f>_xlfn.IFNA(VLOOKUP(AD20,$D$189:$E$193,2,FALSE),"")</f>
        <v/>
      </c>
      <c r="AF20" s="99">
        <f>AC20</f>
        <v/>
      </c>
      <c r="AG20" s="101">
        <f>AE20</f>
        <v/>
      </c>
      <c r="AH20" s="108">
        <f>AF20*AG20</f>
        <v/>
      </c>
      <c r="AI20" s="103" t="inlineStr">
        <is>
          <t>Directly linked to the mandatory QG4 and final-readiness rules in the schedule skill.</t>
        </is>
      </c>
    </row>
    <row r="21" ht="18.75" customHeight="1">
      <c r="B21" s="18" t="n">
        <v>17</v>
      </c>
      <c r="C21" s="166" t="inlineStr">
        <is>
          <t>05/04/2026</t>
        </is>
      </c>
      <c r="D21" s="102" t="inlineStr">
        <is>
          <t>Technology, R&amp;D</t>
        </is>
      </c>
      <c r="E21" s="102" t="inlineStr">
        <is>
          <t>Gamma has no SAP and only about 20 applications in scope, which reduces interface complexity and allows deeper engineering attention on the infrastructure and identity stack.</t>
        </is>
      </c>
      <c r="F21" s="102" t="inlineStr">
        <is>
          <t>The smaller application footprint enables earlier completion of SIT and a lower open-defect count than planned before QG2 and QG3.</t>
        </is>
      </c>
      <c r="G21" s="102" t="inlineStr">
        <is>
          <t>Build stabilizes sooner, QG4 readiness improves, and management gains schedule buffer for legal or supplier-driven issues.</t>
        </is>
      </c>
      <c r="H21" s="165" t="inlineStr">
        <is>
          <t>11/01/2027</t>
        </is>
      </c>
      <c r="I21" s="102" t="inlineStr">
        <is>
          <t>Bosch China Infrastructure Lead</t>
        </is>
      </c>
      <c r="J21" s="103" t="inlineStr">
        <is>
          <t>Other</t>
        </is>
      </c>
      <c r="K21" s="115" t="n"/>
      <c r="L21" s="99" t="inlineStr">
        <is>
          <t>Moderate</t>
        </is>
      </c>
      <c r="M21" s="100">
        <f>_xlfn.IFNA(VLOOKUP(L21,$D$182:$E$186,2,FALSE),"")</f>
        <v/>
      </c>
      <c r="N21" s="101" t="inlineStr">
        <is>
          <t>70%</t>
        </is>
      </c>
      <c r="O21" s="101">
        <f>_xlfn.IFNA(VLOOKUP(N21,$D$189:$E$193,2,FALSE),"")</f>
        <v/>
      </c>
      <c r="P21" s="102" t="inlineStr">
        <is>
          <t>opportunity</t>
        </is>
      </c>
      <c r="Q21" s="17">
        <f>M21*O21</f>
        <v/>
      </c>
      <c r="R21" s="114" t="inlineStr">
        <is>
          <t>Gamma can benefit from a relatively compact application estate if execution stays disciplined.</t>
        </is>
      </c>
      <c r="S21" s="110" t="n">
        <v>60000</v>
      </c>
      <c r="T21" s="110" t="n">
        <v>120000</v>
      </c>
      <c r="U21" s="115" t="n"/>
      <c r="V21" s="111" t="inlineStr">
        <is>
          <t>Exploit</t>
        </is>
      </c>
      <c r="W21" s="102" t="inlineStr">
        <is>
          <t>Prioritize early application classification, keep scope discipline, and redirect saved effort into security hardening and operational readiness.</t>
        </is>
      </c>
      <c r="X21" s="164" t="inlineStr">
        <is>
          <t>18/12/2026</t>
        </is>
      </c>
      <c r="Y21" s="115" t="n"/>
      <c r="Z21" s="111" t="inlineStr">
        <is>
          <t>not started</t>
        </is>
      </c>
      <c r="AA21" s="165" t="inlineStr">
        <is>
          <t>05/04/2026</t>
        </is>
      </c>
      <c r="AB21" s="99" t="inlineStr">
        <is>
          <t>Moderate</t>
        </is>
      </c>
      <c r="AC21" s="100">
        <f>_xlfn.IFNA(VLOOKUP(AB21,$D$182:$E$186,2,FALSE),"")</f>
        <v/>
      </c>
      <c r="AD21" s="101" t="inlineStr">
        <is>
          <t>70%</t>
        </is>
      </c>
      <c r="AE21" s="101">
        <f>_xlfn.IFNA(VLOOKUP(AD21,$D$189:$E$193,2,FALSE),"")</f>
        <v/>
      </c>
      <c r="AF21" s="99">
        <f>AC21</f>
        <v/>
      </c>
      <c r="AG21" s="101">
        <f>AE21</f>
        <v/>
      </c>
      <c r="AH21" s="108">
        <f>AF21*AG21</f>
        <v/>
      </c>
      <c r="AI21" s="103" t="inlineStr">
        <is>
          <t>First positive risk - smaller scope can create usable contingency.</t>
        </is>
      </c>
    </row>
    <row r="22" ht="18.75" customHeight="1">
      <c r="B22" s="16" t="n">
        <v>18</v>
      </c>
      <c r="C22" s="166" t="inlineStr">
        <is>
          <t>05/04/2026</t>
        </is>
      </c>
      <c r="D22" s="102" t="inlineStr">
        <is>
          <t>Budget</t>
        </is>
      </c>
      <c r="E22" s="102" t="inlineStr">
        <is>
          <t>The carve-out is pure infrastructure services, which creates an opportunity to standardize cloud operations, remove legacy duplications, and consolidate vendors in the new JV run model.</t>
        </is>
      </c>
      <c r="F22" s="102" t="inlineStr">
        <is>
          <t>The project identifies vendor and platform simplifications during build and hypercare that can be locked into the Day 2 operating model without additional delivery risk.</t>
        </is>
      </c>
      <c r="G22" s="102" t="inlineStr">
        <is>
          <t>The JV reduces recurring run cost and simplifies the support footprint in the first three years after cutover.</t>
        </is>
      </c>
      <c r="H22" s="165" t="inlineStr">
        <is>
          <t>07/05/2027</t>
        </is>
      </c>
      <c r="I22" s="102" t="inlineStr">
        <is>
          <t>EY Finance Lead</t>
        </is>
      </c>
      <c r="J22" s="103" t="inlineStr">
        <is>
          <t>Other</t>
        </is>
      </c>
      <c r="K22" s="115" t="n"/>
      <c r="L22" s="99" t="inlineStr">
        <is>
          <t>Moderate</t>
        </is>
      </c>
      <c r="M22" s="100">
        <f>_xlfn.IFNA(VLOOKUP(L22,$D$182:$E$186,2,FALSE),"")</f>
        <v/>
      </c>
      <c r="N22" s="101" t="inlineStr">
        <is>
          <t>50%</t>
        </is>
      </c>
      <c r="O22" s="101">
        <f>_xlfn.IFNA(VLOOKUP(N22,$D$189:$E$193,2,FALSE),"")</f>
        <v/>
      </c>
      <c r="P22" s="102" t="inlineStr">
        <is>
          <t>opportunity</t>
        </is>
      </c>
      <c r="Q22" s="17">
        <f>M22*O22</f>
        <v/>
      </c>
      <c r="R22" s="114" t="inlineStr">
        <is>
          <t>A focused infrastructure scope can unlock meaningful steady-state savings if captured intentionally.</t>
        </is>
      </c>
      <c r="S22" s="110" t="n">
        <v>50000</v>
      </c>
      <c r="T22" s="110" t="n">
        <v>250000</v>
      </c>
      <c r="U22" s="115" t="n"/>
      <c r="V22" s="111" t="inlineStr">
        <is>
          <t>Enhance</t>
        </is>
      </c>
      <c r="W22" s="102" t="inlineStr">
        <is>
          <t>Track standardization candidates during build, validate savings in hypercare, and include approved simplifications in the post-GoLive handover plan.</t>
        </is>
      </c>
      <c r="X22" s="164" t="inlineStr">
        <is>
          <t>30/04/2027</t>
        </is>
      </c>
      <c r="Y22" s="115" t="n"/>
      <c r="Z22" s="111" t="inlineStr">
        <is>
          <t>not started</t>
        </is>
      </c>
      <c r="AA22" s="165" t="inlineStr">
        <is>
          <t>05/04/2026</t>
        </is>
      </c>
      <c r="AB22" s="99" t="inlineStr">
        <is>
          <t>Moderate</t>
        </is>
      </c>
      <c r="AC22" s="100">
        <f>_xlfn.IFNA(VLOOKUP(AB22,$D$182:$E$186,2,FALSE),"")</f>
        <v/>
      </c>
      <c r="AD22" s="101" t="inlineStr">
        <is>
          <t>50%</t>
        </is>
      </c>
      <c r="AE22" s="101">
        <f>_xlfn.IFNA(VLOOKUP(AD22,$D$189:$E$193,2,FALSE),"")</f>
        <v/>
      </c>
      <c r="AF22" s="99">
        <f>AC22</f>
        <v/>
      </c>
      <c r="AG22" s="101">
        <f>AE22</f>
        <v/>
      </c>
      <c r="AH22" s="108">
        <f>AF22*AG22</f>
        <v/>
      </c>
      <c r="AI22" s="103" t="inlineStr">
        <is>
          <t>Second positive risk - operating-model simplification can offset part of the carve-out cost.</t>
        </is>
      </c>
    </row>
    <row r="23" ht="18.75" customHeight="1">
      <c r="B23" s="18" t="n">
        <v>19</v>
      </c>
      <c r="C23" s="166" t="inlineStr">
        <is>
          <t>05/04/2026</t>
        </is>
      </c>
      <c r="D23" s="102" t="inlineStr">
        <is>
          <t>Intellectual Property</t>
        </is>
      </c>
      <c r="E23" s="102" t="inlineStr">
        <is>
          <t>Bosch Cloud automation scripts, runbooks, and operational patterns may need to be shared selectively with the new JV team while confidentiality and ownership boundaries are still being defined.</t>
        </is>
      </c>
      <c r="F23" s="102" t="inlineStr">
        <is>
          <t>Proprietary Bosch operational content is transferred to the JV without the right usage restrictions, inventory, or approval trail.</t>
        </is>
      </c>
      <c r="G23" s="102" t="inlineStr">
        <is>
          <t>Intellectual-property exposure creates legal cleanup work, governance friction, and re-documentation effort.</t>
        </is>
      </c>
      <c r="H23" s="165" t="inlineStr">
        <is>
          <t>23/04/2027</t>
        </is>
      </c>
      <c r="I23" s="102" t="inlineStr">
        <is>
          <t>Bosch China Legal Lead</t>
        </is>
      </c>
      <c r="J23" s="103" t="inlineStr">
        <is>
          <t>Formal Risk Review</t>
        </is>
      </c>
      <c r="K23" s="115" t="n"/>
      <c r="L23" s="99" t="inlineStr">
        <is>
          <t>Moderate</t>
        </is>
      </c>
      <c r="M23" s="100">
        <f>_xlfn.IFNA(VLOOKUP(L23,$D$182:$E$186,2,FALSE),"")</f>
        <v/>
      </c>
      <c r="N23" s="101" t="inlineStr">
        <is>
          <t>30%</t>
        </is>
      </c>
      <c r="O23" s="101">
        <f>_xlfn.IFNA(VLOOKUP(N23,$D$189:$E$193,2,FALSE),"")</f>
        <v/>
      </c>
      <c r="P23" s="102" t="inlineStr">
        <is>
          <t>threat</t>
        </is>
      </c>
      <c r="Q23" s="17">
        <f>M23*O23</f>
        <v/>
      </c>
      <c r="R23" s="114" t="inlineStr">
        <is>
          <t>The risk is narrower than in product carve-outs but still relevant because Gamma is infrastructure-led.</t>
        </is>
      </c>
      <c r="S23" s="110" t="n">
        <v>45000</v>
      </c>
      <c r="T23" s="110" t="n">
        <v>90000</v>
      </c>
      <c r="U23" s="115" t="n"/>
      <c r="V23" s="111" t="inlineStr">
        <is>
          <t>Mitigate</t>
        </is>
      </c>
      <c r="W23" s="102" t="inlineStr">
        <is>
          <t>Classify operational artefacts, define approved sharing boundaries, and require legal approval for any proprietary automation transferred into the JV runbook set.</t>
        </is>
      </c>
      <c r="X23" s="164" t="inlineStr">
        <is>
          <t>31/03/2027</t>
        </is>
      </c>
      <c r="Y23" s="115" t="n"/>
      <c r="Z23" s="111" t="inlineStr">
        <is>
          <t>not started</t>
        </is>
      </c>
      <c r="AA23" s="165" t="inlineStr">
        <is>
          <t>05/04/2026</t>
        </is>
      </c>
      <c r="AB23" s="99" t="inlineStr">
        <is>
          <t>Moderate</t>
        </is>
      </c>
      <c r="AC23" s="100">
        <f>_xlfn.IFNA(VLOOKUP(AB23,$D$182:$E$186,2,FALSE),"")</f>
        <v/>
      </c>
      <c r="AD23" s="101" t="inlineStr">
        <is>
          <t>30%</t>
        </is>
      </c>
      <c r="AE23" s="101">
        <f>_xlfn.IFNA(VLOOKUP(AD23,$D$189:$E$193,2,FALSE),"")</f>
        <v/>
      </c>
      <c r="AF23" s="99">
        <f>AC23</f>
        <v/>
      </c>
      <c r="AG23" s="101">
        <f>AE23</f>
        <v/>
      </c>
      <c r="AH23" s="17">
        <f>AF23*AG23</f>
        <v/>
      </c>
      <c r="AI23" s="103" t="inlineStr">
        <is>
          <t>Gamma IP exposure is concentrated in operational know-how rather than product IP.</t>
        </is>
      </c>
    </row>
    <row r="24" ht="18.75" customHeight="1">
      <c r="B24" s="18" t="n">
        <v>20</v>
      </c>
      <c r="C24" s="166" t="inlineStr">
        <is>
          <t>05/04/2026</t>
        </is>
      </c>
      <c r="D24" s="102" t="inlineStr">
        <is>
          <t>Resources</t>
        </is>
      </c>
      <c r="E24" s="102" t="inlineStr">
        <is>
          <t>Because broader user exposure is delayed, training and support preparation may remain lighter than the actual demand created at GoLive across 250 users and 5 sites.</t>
        </is>
      </c>
      <c r="F24" s="102" t="inlineStr">
        <is>
          <t>Incident and support demand in the first four weeks of hypercare exceeds plan, and the command center does not have enough skilled staff to sustain response times.</t>
        </is>
      </c>
      <c r="G24" s="102" t="inlineStr">
        <is>
          <t>Ticket backlogs grow, user confidence drops, and the hypercare period risks extension beyond the planned 90 days.</t>
        </is>
      </c>
      <c r="H24" s="165" t="inlineStr">
        <is>
          <t>20/02/2027</t>
        </is>
      </c>
      <c r="I24" s="102" t="inlineStr">
        <is>
          <t>Operations Lead</t>
        </is>
      </c>
      <c r="J24" s="103" t="inlineStr">
        <is>
          <t>Status Meeting</t>
        </is>
      </c>
      <c r="K24" s="115" t="n"/>
      <c r="L24" s="99" t="inlineStr">
        <is>
          <t>High</t>
        </is>
      </c>
      <c r="M24" s="100">
        <f>_xlfn.IFNA(VLOOKUP(L24,$D$182:$E$186,2,FALSE),"")</f>
        <v/>
      </c>
      <c r="N24" s="101" t="inlineStr">
        <is>
          <t>50%</t>
        </is>
      </c>
      <c r="O24" s="101">
        <f>_xlfn.IFNA(VLOOKUP(N24,$D$189:$E$193,2,FALSE),"")</f>
        <v/>
      </c>
      <c r="P24" s="102" t="inlineStr">
        <is>
          <t>threat</t>
        </is>
      </c>
      <c r="Q24" s="17">
        <f>M24*O24</f>
        <v/>
      </c>
      <c r="R24" s="114" t="inlineStr">
        <is>
          <t>Support under-capacity is a realistic early-life risk when awareness and training are intentionally constrained.</t>
        </is>
      </c>
      <c r="S24" s="110" t="n">
        <v>75000</v>
      </c>
      <c r="T24" s="110" t="n">
        <v>100000</v>
      </c>
      <c r="U24" s="115" t="n"/>
      <c r="V24" s="111" t="inlineStr">
        <is>
          <t>Mitigate</t>
        </is>
      </c>
      <c r="W24" s="102" t="inlineStr">
        <is>
          <t>Model hypercare demand from pilot issues, reserve surge support capacity, and refresh training packs before 31/01/2027.</t>
        </is>
      </c>
      <c r="X24" s="164" t="inlineStr">
        <is>
          <t>25/01/2027</t>
        </is>
      </c>
      <c r="Y24" s="115" t="n"/>
      <c r="Z24" s="111" t="inlineStr">
        <is>
          <t>not started</t>
        </is>
      </c>
      <c r="AA24" s="165" t="inlineStr">
        <is>
          <t>05/04/2026</t>
        </is>
      </c>
      <c r="AB24" s="99" t="inlineStr">
        <is>
          <t>High</t>
        </is>
      </c>
      <c r="AC24" s="100">
        <f>_xlfn.IFNA(VLOOKUP(AB24,$D$182:$E$186,2,FALSE),"")</f>
        <v/>
      </c>
      <c r="AD24" s="101" t="inlineStr">
        <is>
          <t>50%</t>
        </is>
      </c>
      <c r="AE24" s="101">
        <f>_xlfn.IFNA(VLOOKUP(AD24,$D$189:$E$193,2,FALSE),"")</f>
        <v/>
      </c>
      <c r="AF24" s="99">
        <f>AC24</f>
        <v/>
      </c>
      <c r="AG24" s="101">
        <f>AE24</f>
        <v/>
      </c>
      <c r="AH24" s="17">
        <f>AF24*AG24</f>
        <v/>
      </c>
      <c r="AI24" s="103" t="inlineStr">
        <is>
          <t>Links directly to the 90-day stabilization-only phase in the schedule baseline.</t>
        </is>
      </c>
    </row>
    <row r="25" ht="18.75" customHeight="1">
      <c r="B25" s="18" t="n"/>
      <c r="C25" s="166" t="n"/>
      <c r="D25" s="102" t="n"/>
      <c r="E25" s="102" t="n"/>
      <c r="F25" s="102" t="n"/>
      <c r="G25" s="102" t="n"/>
      <c r="H25" s="165" t="n"/>
      <c r="I25" s="102" t="n"/>
      <c r="J25" s="103" t="n"/>
      <c r="K25" s="115" t="n"/>
      <c r="L25" s="99" t="n"/>
      <c r="M25" s="100" t="n"/>
      <c r="N25" s="101" t="n"/>
      <c r="O25" s="101" t="n"/>
      <c r="P25" s="102" t="n"/>
      <c r="Q25" s="17" t="n"/>
      <c r="R25" s="114" t="n"/>
      <c r="S25" s="110" t="n"/>
      <c r="T25" s="110" t="n"/>
      <c r="U25" s="115" t="n"/>
      <c r="V25" s="111" t="n"/>
      <c r="W25" s="102" t="n"/>
      <c r="X25" s="164" t="n"/>
      <c r="Y25" s="115" t="n"/>
      <c r="Z25" s="111" t="n"/>
      <c r="AA25" s="165" t="n"/>
      <c r="AB25" s="99" t="n"/>
      <c r="AC25" s="100" t="n"/>
      <c r="AD25" s="101" t="n"/>
      <c r="AE25" s="101" t="n"/>
      <c r="AF25" s="99" t="n"/>
      <c r="AG25" s="101" t="n"/>
      <c r="AH25" s="17" t="n"/>
      <c r="AI25" s="103" t="n"/>
    </row>
    <row r="26" ht="18.75" customHeight="1">
      <c r="B26" s="18" t="n"/>
      <c r="C26" s="166" t="n"/>
      <c r="D26" s="102" t="n"/>
      <c r="E26" s="102" t="n"/>
      <c r="F26" s="102" t="n"/>
      <c r="G26" s="102" t="n"/>
      <c r="H26" s="165" t="n"/>
      <c r="I26" s="102" t="n"/>
      <c r="J26" s="103" t="n"/>
      <c r="K26" s="115" t="n"/>
      <c r="L26" s="99" t="n"/>
      <c r="M26" s="100" t="n"/>
      <c r="N26" s="101" t="n"/>
      <c r="O26" s="101" t="n"/>
      <c r="P26" s="102" t="n"/>
      <c r="Q26" s="17" t="n"/>
      <c r="R26" s="114" t="n"/>
      <c r="S26" s="110" t="n"/>
      <c r="T26" s="110" t="n"/>
      <c r="U26" s="115" t="n"/>
      <c r="V26" s="111" t="n"/>
      <c r="W26" s="102" t="n"/>
      <c r="X26" s="164" t="n"/>
      <c r="Y26" s="115" t="n"/>
      <c r="Z26" s="111" t="n"/>
      <c r="AA26" s="165" t="n"/>
      <c r="AB26" s="99" t="n"/>
      <c r="AC26" s="100" t="n"/>
      <c r="AD26" s="101" t="n"/>
      <c r="AE26" s="101" t="n"/>
      <c r="AF26" s="99" t="n"/>
      <c r="AG26" s="101" t="n"/>
      <c r="AH26" s="17" t="n"/>
      <c r="AI26" s="103" t="n"/>
    </row>
    <row r="27" ht="18.75" customHeight="1">
      <c r="B27" s="18" t="n"/>
      <c r="C27" s="166" t="n"/>
      <c r="D27" s="102" t="n"/>
      <c r="E27" s="102" t="n"/>
      <c r="F27" s="102" t="n"/>
      <c r="G27" s="102" t="n"/>
      <c r="H27" s="165" t="n"/>
      <c r="I27" s="102" t="n"/>
      <c r="J27" s="103" t="n"/>
      <c r="K27" s="115" t="n"/>
      <c r="L27" s="99" t="n"/>
      <c r="M27" s="100" t="n"/>
      <c r="N27" s="101" t="n"/>
      <c r="O27" s="101" t="n"/>
      <c r="P27" s="102" t="n"/>
      <c r="Q27" s="17" t="n"/>
      <c r="R27" s="114" t="n"/>
      <c r="S27" s="110" t="n"/>
      <c r="T27" s="110" t="n"/>
      <c r="U27" s="115" t="n"/>
      <c r="V27" s="111" t="n"/>
      <c r="W27" s="102" t="n"/>
      <c r="X27" s="164" t="n"/>
      <c r="Y27" s="115" t="n"/>
      <c r="Z27" s="111" t="n"/>
      <c r="AA27" s="165" t="n"/>
      <c r="AB27" s="99" t="n"/>
      <c r="AC27" s="100" t="n"/>
      <c r="AD27" s="101" t="n"/>
      <c r="AE27" s="101" t="n"/>
      <c r="AF27" s="99" t="n"/>
      <c r="AG27" s="101" t="n"/>
      <c r="AH27" s="17" t="n"/>
      <c r="AI27" s="103" t="n"/>
    </row>
    <row r="28" ht="18.75" customHeight="1">
      <c r="B28" s="16" t="n"/>
      <c r="C28" s="166" t="n"/>
      <c r="D28" s="102" t="n"/>
      <c r="E28" s="102" t="n"/>
      <c r="F28" s="102" t="n"/>
      <c r="G28" s="102" t="n"/>
      <c r="H28" s="165" t="n"/>
      <c r="I28" s="102" t="n"/>
      <c r="J28" s="103" t="n"/>
      <c r="K28" s="115" t="n"/>
      <c r="L28" s="99" t="n"/>
      <c r="M28" s="100" t="n"/>
      <c r="N28" s="101" t="n"/>
      <c r="O28" s="101" t="n"/>
      <c r="P28" s="102" t="n"/>
      <c r="Q28" s="17" t="n"/>
      <c r="R28" s="114" t="n"/>
      <c r="S28" s="110" t="n"/>
      <c r="T28" s="110" t="n"/>
      <c r="U28" s="115" t="n"/>
      <c r="V28" s="111" t="n"/>
      <c r="W28" s="102" t="n"/>
      <c r="X28" s="164" t="n"/>
      <c r="Y28" s="115" t="n"/>
      <c r="Z28" s="111" t="n"/>
      <c r="AA28" s="165" t="n"/>
      <c r="AB28" s="99" t="n"/>
      <c r="AC28" s="100" t="n"/>
      <c r="AD28" s="101" t="n"/>
      <c r="AE28" s="101" t="n"/>
      <c r="AF28" s="99" t="n"/>
      <c r="AG28" s="101" t="n"/>
      <c r="AH28" s="17" t="n"/>
      <c r="AI28" s="103" t="n"/>
    </row>
    <row r="29" ht="18.75" customHeight="1">
      <c r="B29" s="18" t="n"/>
      <c r="C29" s="166" t="n"/>
      <c r="D29" s="102" t="n"/>
      <c r="E29" s="102" t="n"/>
      <c r="F29" s="102" t="n"/>
      <c r="G29" s="102" t="n"/>
      <c r="H29" s="165" t="n"/>
      <c r="I29" s="102" t="n"/>
      <c r="J29" s="103" t="n"/>
      <c r="K29" s="115" t="n"/>
      <c r="L29" s="99" t="n"/>
      <c r="M29" s="100" t="n"/>
      <c r="N29" s="101" t="n"/>
      <c r="O29" s="101" t="n"/>
      <c r="P29" s="102" t="n"/>
      <c r="Q29" s="17" t="n"/>
      <c r="R29" s="114" t="n"/>
      <c r="S29" s="110" t="n"/>
      <c r="T29" s="110" t="n"/>
      <c r="U29" s="115" t="n"/>
      <c r="V29" s="111" t="n"/>
      <c r="W29" s="102" t="n"/>
      <c r="X29" s="164" t="n"/>
      <c r="Y29" s="115" t="n"/>
      <c r="Z29" s="111" t="n"/>
      <c r="AA29" s="165" t="n"/>
      <c r="AB29" s="99" t="n"/>
      <c r="AC29" s="100" t="n"/>
      <c r="AD29" s="101" t="n"/>
      <c r="AE29" s="101" t="n"/>
      <c r="AF29" s="99" t="n"/>
      <c r="AG29" s="101" t="n"/>
      <c r="AH29" s="17" t="n"/>
      <c r="AI29" s="103" t="n"/>
    </row>
    <row r="30" ht="18.75" customHeight="1">
      <c r="B30" s="18" t="n"/>
      <c r="C30" s="166" t="n"/>
      <c r="D30" s="102" t="n"/>
      <c r="E30" s="102" t="n"/>
      <c r="F30" s="102" t="n"/>
      <c r="G30" s="102" t="n"/>
      <c r="H30" s="165" t="n"/>
      <c r="I30" s="102" t="n"/>
      <c r="J30" s="103" t="n"/>
      <c r="K30" s="115" t="n"/>
      <c r="L30" s="99" t="n"/>
      <c r="M30" s="100" t="n"/>
      <c r="N30" s="101" t="n"/>
      <c r="O30" s="101" t="n"/>
      <c r="P30" s="102" t="n"/>
      <c r="Q30" s="17" t="n"/>
      <c r="R30" s="114" t="n"/>
      <c r="S30" s="110" t="n"/>
      <c r="T30" s="110" t="n"/>
      <c r="U30" s="115" t="n"/>
      <c r="V30" s="111" t="n"/>
      <c r="W30" s="102" t="n"/>
      <c r="X30" s="164" t="n"/>
      <c r="Y30" s="115" t="n"/>
      <c r="Z30" s="111" t="n"/>
      <c r="AA30" s="165" t="n"/>
      <c r="AB30" s="99" t="n"/>
      <c r="AC30" s="100" t="n"/>
      <c r="AD30" s="101" t="n"/>
      <c r="AE30" s="101" t="n"/>
      <c r="AF30" s="99" t="n"/>
      <c r="AG30" s="101" t="n"/>
      <c r="AH30" s="17" t="n"/>
      <c r="AI30" s="103" t="n"/>
    </row>
    <row r="31" ht="18.75" customHeight="1">
      <c r="B31" s="18" t="n"/>
      <c r="C31" s="166" t="n"/>
      <c r="D31" s="102" t="n"/>
      <c r="E31" s="102" t="n"/>
      <c r="F31" s="102" t="n"/>
      <c r="G31" s="102" t="n"/>
      <c r="H31" s="165" t="n"/>
      <c r="I31" s="102" t="n"/>
      <c r="J31" s="103" t="n"/>
      <c r="K31" s="115" t="n"/>
      <c r="L31" s="99" t="n"/>
      <c r="M31" s="100" t="n"/>
      <c r="N31" s="101" t="n"/>
      <c r="O31" s="101" t="n"/>
      <c r="P31" s="102" t="n"/>
      <c r="Q31" s="17" t="n"/>
      <c r="R31" s="114" t="n"/>
      <c r="S31" s="110" t="n"/>
      <c r="T31" s="110" t="n"/>
      <c r="U31" s="115" t="n"/>
      <c r="V31" s="111" t="n"/>
      <c r="W31" s="102" t="n"/>
      <c r="X31" s="164" t="n"/>
      <c r="Y31" s="115" t="n"/>
      <c r="Z31" s="111" t="n"/>
      <c r="AA31" s="165" t="n"/>
      <c r="AB31" s="99" t="n"/>
      <c r="AC31" s="100" t="n"/>
      <c r="AD31" s="101" t="n"/>
      <c r="AE31" s="101" t="n"/>
      <c r="AF31" s="99" t="n"/>
      <c r="AG31" s="101" t="n"/>
      <c r="AH31" s="17" t="n"/>
      <c r="AI31" s="103" t="n"/>
    </row>
    <row r="32" ht="18.75" customHeight="1">
      <c r="B32" s="18" t="n"/>
      <c r="C32" s="166" t="n"/>
      <c r="D32" s="102" t="n"/>
      <c r="E32" s="102" t="n"/>
      <c r="F32" s="102" t="n"/>
      <c r="G32" s="102" t="n"/>
      <c r="H32" s="165" t="n"/>
      <c r="I32" s="102" t="n"/>
      <c r="J32" s="103" t="n"/>
      <c r="K32" s="115" t="n"/>
      <c r="L32" s="99" t="n"/>
      <c r="M32" s="100" t="n"/>
      <c r="N32" s="101" t="n"/>
      <c r="O32" s="101" t="n"/>
      <c r="P32" s="102" t="n"/>
      <c r="Q32" s="17" t="n"/>
      <c r="R32" s="114" t="n"/>
      <c r="S32" s="110" t="n"/>
      <c r="T32" s="110" t="n"/>
      <c r="U32" s="115" t="n"/>
      <c r="V32" s="111" t="n"/>
      <c r="W32" s="102" t="n"/>
      <c r="X32" s="164" t="n"/>
      <c r="Y32" s="115" t="n"/>
      <c r="Z32" s="111" t="n"/>
      <c r="AA32" s="165" t="n"/>
      <c r="AB32" s="99" t="n"/>
      <c r="AC32" s="100" t="n"/>
      <c r="AD32" s="101" t="n"/>
      <c r="AE32" s="101" t="n"/>
      <c r="AF32" s="99" t="n"/>
      <c r="AG32" s="101" t="n"/>
      <c r="AH32" s="17" t="n"/>
      <c r="AI32" s="103" t="n"/>
    </row>
    <row r="33" ht="18.75" customHeight="1">
      <c r="B33" s="18" t="n"/>
      <c r="C33" s="166" t="n"/>
      <c r="D33" s="102" t="n"/>
      <c r="E33" s="102" t="n"/>
      <c r="F33" s="102" t="n"/>
      <c r="G33" s="102" t="n"/>
      <c r="H33" s="165" t="n"/>
      <c r="I33" s="102" t="n"/>
      <c r="J33" s="103" t="n"/>
      <c r="K33" s="115" t="n"/>
      <c r="L33" s="99" t="n"/>
      <c r="M33" s="100" t="n"/>
      <c r="N33" s="101" t="n"/>
      <c r="O33" s="101" t="n"/>
      <c r="P33" s="102" t="n"/>
      <c r="Q33" s="17" t="n"/>
      <c r="R33" s="114" t="n"/>
      <c r="S33" s="110" t="n"/>
      <c r="T33" s="110" t="n"/>
      <c r="U33" s="115" t="n"/>
      <c r="V33" s="111" t="n"/>
      <c r="W33" s="102" t="n"/>
      <c r="X33" s="164" t="n"/>
      <c r="Y33" s="115" t="n"/>
      <c r="Z33" s="111" t="n"/>
      <c r="AA33" s="165" t="n"/>
      <c r="AB33" s="99" t="n"/>
      <c r="AC33" s="100" t="n"/>
      <c r="AD33" s="101" t="n"/>
      <c r="AE33" s="101" t="n"/>
      <c r="AF33" s="99" t="n"/>
      <c r="AG33" s="101" t="n"/>
      <c r="AH33" s="17" t="n"/>
      <c r="AI33" s="103" t="n"/>
    </row>
    <row r="34" ht="18.75" customHeight="1">
      <c r="B34" s="16" t="n"/>
      <c r="C34" s="166" t="n"/>
      <c r="D34" s="102" t="n"/>
      <c r="E34" s="102" t="n"/>
      <c r="F34" s="102" t="n"/>
      <c r="G34" s="102" t="n"/>
      <c r="H34" s="165" t="n"/>
      <c r="I34" s="102" t="n"/>
      <c r="J34" s="103" t="n"/>
      <c r="K34" s="115" t="n"/>
      <c r="L34" s="99" t="n"/>
      <c r="M34" s="100" t="n"/>
      <c r="N34" s="101" t="n"/>
      <c r="O34" s="101" t="n"/>
      <c r="P34" s="102" t="n"/>
      <c r="Q34" s="17" t="n"/>
      <c r="R34" s="114" t="n"/>
      <c r="S34" s="110" t="n"/>
      <c r="T34" s="110" t="n"/>
      <c r="U34" s="115" t="n"/>
      <c r="V34" s="111" t="n"/>
      <c r="W34" s="102" t="n"/>
      <c r="X34" s="164" t="n"/>
      <c r="Y34" s="115" t="n"/>
      <c r="Z34" s="111" t="n"/>
      <c r="AA34" s="165" t="n"/>
      <c r="AB34" s="99" t="n"/>
      <c r="AC34" s="100" t="n"/>
      <c r="AD34" s="101" t="n"/>
      <c r="AE34" s="101" t="n"/>
      <c r="AF34" s="99" t="n"/>
      <c r="AG34" s="101" t="n"/>
      <c r="AH34" s="17" t="n"/>
      <c r="AI34" s="103" t="n"/>
    </row>
    <row r="35" ht="18.75" customHeight="1">
      <c r="B35" s="18" t="n"/>
      <c r="C35" s="166" t="n"/>
      <c r="D35" s="102" t="n"/>
      <c r="E35" s="102" t="n"/>
      <c r="F35" s="102" t="n"/>
      <c r="G35" s="102" t="n"/>
      <c r="H35" s="165" t="n"/>
      <c r="I35" s="102" t="n"/>
      <c r="J35" s="103" t="n"/>
      <c r="K35" s="115" t="n"/>
      <c r="L35" s="99" t="n"/>
      <c r="M35" s="100" t="n"/>
      <c r="N35" s="101" t="n"/>
      <c r="O35" s="101" t="n"/>
      <c r="P35" s="102" t="n"/>
      <c r="Q35" s="17" t="n"/>
      <c r="R35" s="114" t="n"/>
      <c r="S35" s="110" t="n"/>
      <c r="T35" s="110" t="n"/>
      <c r="U35" s="115" t="n"/>
      <c r="V35" s="111" t="n"/>
      <c r="W35" s="102" t="n"/>
      <c r="X35" s="164" t="n"/>
      <c r="Y35" s="115" t="n"/>
      <c r="Z35" s="111" t="n"/>
      <c r="AA35" s="165" t="n"/>
      <c r="AB35" s="99" t="n"/>
      <c r="AC35" s="100" t="n"/>
      <c r="AD35" s="101" t="n"/>
      <c r="AE35" s="101" t="n"/>
      <c r="AF35" s="99" t="n"/>
      <c r="AG35" s="101" t="n"/>
      <c r="AH35" s="17" t="n"/>
      <c r="AI35" s="103" t="n"/>
    </row>
    <row r="36" ht="18.75" customHeight="1">
      <c r="B36" s="18" t="n"/>
      <c r="C36" s="166" t="n"/>
      <c r="D36" s="102" t="n"/>
      <c r="E36" s="102" t="n"/>
      <c r="F36" s="102" t="n"/>
      <c r="G36" s="102" t="n"/>
      <c r="H36" s="165" t="n"/>
      <c r="I36" s="102" t="n"/>
      <c r="J36" s="103" t="n"/>
      <c r="K36" s="115" t="n"/>
      <c r="L36" s="99" t="n"/>
      <c r="M36" s="100" t="n"/>
      <c r="N36" s="101" t="n"/>
      <c r="O36" s="101" t="n"/>
      <c r="P36" s="102" t="n"/>
      <c r="Q36" s="17" t="n"/>
      <c r="R36" s="114" t="n"/>
      <c r="S36" s="110" t="n"/>
      <c r="T36" s="110" t="n"/>
      <c r="U36" s="115" t="n"/>
      <c r="V36" s="111" t="n"/>
      <c r="W36" s="102" t="n"/>
      <c r="X36" s="164" t="n"/>
      <c r="Y36" s="115" t="n"/>
      <c r="Z36" s="111" t="n"/>
      <c r="AA36" s="165" t="n"/>
      <c r="AB36" s="99" t="n"/>
      <c r="AC36" s="100" t="n"/>
      <c r="AD36" s="101" t="n"/>
      <c r="AE36" s="101" t="n"/>
      <c r="AF36" s="99" t="n"/>
      <c r="AG36" s="101" t="n"/>
      <c r="AH36" s="17" t="n"/>
      <c r="AI36" s="103" t="n"/>
    </row>
    <row r="37" ht="18.75" customHeight="1">
      <c r="B37" s="18" t="n"/>
      <c r="C37" s="166" t="n"/>
      <c r="D37" s="102" t="n"/>
      <c r="E37" s="102" t="n"/>
      <c r="F37" s="102" t="n"/>
      <c r="G37" s="102" t="n"/>
      <c r="H37" s="165" t="n"/>
      <c r="I37" s="102" t="n"/>
      <c r="J37" s="103" t="n"/>
      <c r="K37" s="115" t="n"/>
      <c r="L37" s="99" t="n"/>
      <c r="M37" s="100" t="n"/>
      <c r="N37" s="101" t="n"/>
      <c r="O37" s="101" t="n"/>
      <c r="P37" s="102" t="n"/>
      <c r="Q37" s="17" t="n"/>
      <c r="R37" s="114" t="n"/>
      <c r="S37" s="110" t="n"/>
      <c r="T37" s="110" t="n"/>
      <c r="U37" s="115" t="n"/>
      <c r="V37" s="111" t="n"/>
      <c r="W37" s="102" t="n"/>
      <c r="X37" s="164" t="n"/>
      <c r="Y37" s="115" t="n"/>
      <c r="Z37" s="111" t="n"/>
      <c r="AA37" s="165" t="n"/>
      <c r="AB37" s="99" t="n"/>
      <c r="AC37" s="100" t="n"/>
      <c r="AD37" s="101" t="n"/>
      <c r="AE37" s="101" t="n"/>
      <c r="AF37" s="99" t="n"/>
      <c r="AG37" s="101" t="n"/>
      <c r="AH37" s="17" t="n"/>
      <c r="AI37" s="103" t="n"/>
    </row>
    <row r="38" ht="18.75" customHeight="1">
      <c r="B38" s="18" t="n"/>
      <c r="C38" s="166" t="n"/>
      <c r="D38" s="102" t="n"/>
      <c r="E38" s="102" t="n"/>
      <c r="F38" s="102" t="n"/>
      <c r="G38" s="102" t="n"/>
      <c r="H38" s="165" t="n"/>
      <c r="I38" s="102" t="n"/>
      <c r="J38" s="103" t="n"/>
      <c r="K38" s="115" t="n"/>
      <c r="L38" s="99" t="n"/>
      <c r="M38" s="100" t="n"/>
      <c r="N38" s="101" t="n"/>
      <c r="O38" s="101" t="n"/>
      <c r="P38" s="102" t="n"/>
      <c r="Q38" s="17" t="n"/>
      <c r="R38" s="114" t="n"/>
      <c r="S38" s="110" t="n"/>
      <c r="T38" s="110" t="n"/>
      <c r="U38" s="115" t="n"/>
      <c r="V38" s="111" t="n"/>
      <c r="W38" s="102" t="n"/>
      <c r="X38" s="164" t="n"/>
      <c r="Y38" s="115" t="n"/>
      <c r="Z38" s="111" t="n"/>
      <c r="AA38" s="165" t="n"/>
      <c r="AB38" s="99" t="n"/>
      <c r="AC38" s="100" t="n"/>
      <c r="AD38" s="101" t="n"/>
      <c r="AE38" s="101" t="n"/>
      <c r="AF38" s="99" t="n"/>
      <c r="AG38" s="101" t="n"/>
      <c r="AH38" s="17" t="n"/>
      <c r="AI38" s="103" t="n"/>
    </row>
    <row r="39" ht="18.75" customHeight="1">
      <c r="B39" s="16" t="n"/>
      <c r="C39" s="166" t="n"/>
      <c r="D39" s="102" t="n"/>
      <c r="E39" s="102" t="n"/>
      <c r="F39" s="102" t="n"/>
      <c r="G39" s="102" t="n"/>
      <c r="H39" s="165" t="n"/>
      <c r="I39" s="102" t="n"/>
      <c r="J39" s="103" t="n"/>
      <c r="K39" s="115" t="n"/>
      <c r="L39" s="99" t="n"/>
      <c r="M39" s="100" t="n"/>
      <c r="N39" s="101" t="n"/>
      <c r="O39" s="101" t="n"/>
      <c r="P39" s="102" t="n"/>
      <c r="Q39" s="17" t="n"/>
      <c r="R39" s="114" t="n"/>
      <c r="S39" s="110" t="n"/>
      <c r="T39" s="110" t="n"/>
      <c r="U39" s="115" t="n"/>
      <c r="V39" s="111" t="n"/>
      <c r="W39" s="102" t="n"/>
      <c r="X39" s="164" t="n"/>
      <c r="Y39" s="115" t="n"/>
      <c r="Z39" s="111" t="n"/>
      <c r="AA39" s="165" t="n"/>
      <c r="AB39" s="99" t="n"/>
      <c r="AC39" s="100" t="n"/>
      <c r="AD39" s="101" t="n"/>
      <c r="AE39" s="101" t="n"/>
      <c r="AF39" s="99" t="n"/>
      <c r="AG39" s="101" t="n"/>
      <c r="AH39" s="17" t="n"/>
      <c r="AI39" s="103" t="n"/>
    </row>
    <row r="40" ht="18.75" customHeight="1">
      <c r="B40" s="18" t="n"/>
      <c r="C40" s="166" t="n"/>
      <c r="D40" s="102" t="n"/>
      <c r="E40" s="102" t="n"/>
      <c r="F40" s="102" t="n"/>
      <c r="G40" s="102" t="n"/>
      <c r="H40" s="165" t="n"/>
      <c r="I40" s="102" t="n"/>
      <c r="J40" s="103" t="n"/>
      <c r="K40" s="115" t="n"/>
      <c r="L40" s="99" t="n"/>
      <c r="M40" s="100" t="n"/>
      <c r="N40" s="101" t="n"/>
      <c r="O40" s="101" t="n"/>
      <c r="P40" s="102" t="n"/>
      <c r="Q40" s="17" t="n"/>
      <c r="R40" s="114" t="n"/>
      <c r="S40" s="110" t="n"/>
      <c r="T40" s="110" t="n"/>
      <c r="U40" s="115" t="n"/>
      <c r="V40" s="111" t="n"/>
      <c r="W40" s="102" t="n"/>
      <c r="X40" s="164" t="n"/>
      <c r="Y40" s="115" t="n"/>
      <c r="Z40" s="111" t="n"/>
      <c r="AA40" s="165" t="n"/>
      <c r="AB40" s="99" t="n"/>
      <c r="AC40" s="100" t="n"/>
      <c r="AD40" s="101" t="n"/>
      <c r="AE40" s="101" t="n"/>
      <c r="AF40" s="99" t="n"/>
      <c r="AG40" s="101" t="n"/>
      <c r="AH40" s="17" t="n"/>
      <c r="AI40" s="103" t="n"/>
    </row>
    <row r="41" ht="18.75" customHeight="1">
      <c r="B41" s="18" t="n"/>
      <c r="C41" s="166" t="n"/>
      <c r="D41" s="102" t="n"/>
      <c r="E41" s="102" t="n"/>
      <c r="F41" s="102" t="n"/>
      <c r="G41" s="102" t="n"/>
      <c r="H41" s="165" t="n"/>
      <c r="I41" s="102" t="n"/>
      <c r="J41" s="103" t="n"/>
      <c r="K41" s="115" t="n"/>
      <c r="L41" s="99" t="n"/>
      <c r="M41" s="100" t="n"/>
      <c r="N41" s="101" t="n"/>
      <c r="O41" s="101" t="n"/>
      <c r="P41" s="102" t="n"/>
      <c r="Q41" s="17" t="n"/>
      <c r="R41" s="114" t="n"/>
      <c r="S41" s="110" t="n"/>
      <c r="T41" s="110" t="n"/>
      <c r="U41" s="115" t="n"/>
      <c r="V41" s="111" t="n"/>
      <c r="W41" s="102" t="n"/>
      <c r="X41" s="164" t="n"/>
      <c r="Y41" s="115" t="n"/>
      <c r="Z41" s="111" t="n"/>
      <c r="AA41" s="165" t="n"/>
      <c r="AB41" s="99" t="n"/>
      <c r="AC41" s="100" t="n"/>
      <c r="AD41" s="101" t="n"/>
      <c r="AE41" s="101" t="n"/>
      <c r="AF41" s="99" t="n"/>
      <c r="AG41" s="101" t="n"/>
      <c r="AH41" s="17" t="n"/>
      <c r="AI41" s="103" t="n"/>
    </row>
    <row r="42" ht="18.75" customHeight="1">
      <c r="B42" s="18" t="n"/>
      <c r="C42" s="166" t="n"/>
      <c r="D42" s="102" t="n"/>
      <c r="E42" s="102" t="n"/>
      <c r="F42" s="102" t="n"/>
      <c r="G42" s="102" t="n"/>
      <c r="H42" s="165" t="n"/>
      <c r="I42" s="102" t="n"/>
      <c r="J42" s="103" t="n"/>
      <c r="K42" s="115" t="n"/>
      <c r="L42" s="99" t="n"/>
      <c r="M42" s="100" t="n"/>
      <c r="N42" s="101" t="n"/>
      <c r="O42" s="101" t="n"/>
      <c r="P42" s="102" t="n"/>
      <c r="Q42" s="17" t="n"/>
      <c r="R42" s="114" t="n"/>
      <c r="S42" s="110" t="n"/>
      <c r="T42" s="110" t="n"/>
      <c r="U42" s="115" t="n"/>
      <c r="V42" s="111" t="n"/>
      <c r="W42" s="102" t="n"/>
      <c r="X42" s="164" t="n"/>
      <c r="Y42" s="115" t="n"/>
      <c r="Z42" s="111" t="n"/>
      <c r="AA42" s="165" t="n"/>
      <c r="AB42" s="99" t="n"/>
      <c r="AC42" s="100" t="n"/>
      <c r="AD42" s="101" t="n"/>
      <c r="AE42" s="101" t="n"/>
      <c r="AF42" s="99" t="n"/>
      <c r="AG42" s="101" t="n"/>
      <c r="AH42" s="17" t="n"/>
      <c r="AI42" s="103" t="n"/>
    </row>
    <row r="43" ht="18.75" customHeight="1">
      <c r="B43" s="18" t="n"/>
      <c r="C43" s="166" t="n"/>
      <c r="D43" s="102" t="n"/>
      <c r="E43" s="102" t="n"/>
      <c r="F43" s="102" t="n"/>
      <c r="G43" s="102" t="n"/>
      <c r="H43" s="165" t="n"/>
      <c r="I43" s="102" t="n"/>
      <c r="J43" s="103" t="n"/>
      <c r="K43" s="115" t="n"/>
      <c r="L43" s="99" t="n"/>
      <c r="M43" s="100" t="n"/>
      <c r="N43" s="101" t="n"/>
      <c r="O43" s="101" t="n"/>
      <c r="P43" s="102" t="n"/>
      <c r="Q43" s="17" t="n"/>
      <c r="R43" s="114" t="n"/>
      <c r="S43" s="110" t="n"/>
      <c r="T43" s="110" t="n"/>
      <c r="U43" s="115" t="n"/>
      <c r="V43" s="111" t="n"/>
      <c r="W43" s="102" t="n"/>
      <c r="X43" s="164" t="n"/>
      <c r="Y43" s="115" t="n"/>
      <c r="Z43" s="111" t="n"/>
      <c r="AA43" s="165" t="n"/>
      <c r="AB43" s="99" t="n"/>
      <c r="AC43" s="100" t="n"/>
      <c r="AD43" s="101" t="n"/>
      <c r="AE43" s="101" t="n"/>
      <c r="AF43" s="99" t="n"/>
      <c r="AG43" s="101" t="n"/>
      <c r="AH43" s="17" t="n"/>
      <c r="AI43" s="103" t="n"/>
    </row>
    <row r="44" ht="18.75" customHeight="1">
      <c r="B44" s="18" t="n"/>
      <c r="C44" s="166" t="n"/>
      <c r="D44" s="102" t="n"/>
      <c r="E44" s="102" t="n"/>
      <c r="F44" s="102" t="n"/>
      <c r="G44" s="102" t="n"/>
      <c r="H44" s="165" t="n"/>
      <c r="I44" s="102" t="n"/>
      <c r="J44" s="103" t="n"/>
      <c r="K44" s="115" t="n"/>
      <c r="L44" s="99" t="n"/>
      <c r="M44" s="100" t="n"/>
      <c r="N44" s="101" t="n"/>
      <c r="O44" s="101" t="n"/>
      <c r="P44" s="102" t="n"/>
      <c r="Q44" s="17" t="n"/>
      <c r="R44" s="114" t="n"/>
      <c r="S44" s="110" t="n"/>
      <c r="T44" s="110" t="n"/>
      <c r="U44" s="115" t="n"/>
      <c r="V44" s="111" t="n"/>
      <c r="W44" s="102" t="n"/>
      <c r="X44" s="164" t="n"/>
      <c r="Y44" s="115" t="n"/>
      <c r="Z44" s="111" t="n"/>
      <c r="AA44" s="165" t="n"/>
      <c r="AB44" s="99" t="n"/>
      <c r="AC44" s="100" t="n"/>
      <c r="AD44" s="101" t="n"/>
      <c r="AE44" s="101" t="n"/>
      <c r="AF44" s="99" t="n"/>
      <c r="AG44" s="101" t="n"/>
      <c r="AH44" s="17" t="n"/>
      <c r="AI44" s="103" t="n"/>
    </row>
    <row r="45" ht="18.75" customHeight="1">
      <c r="B45" s="16" t="n"/>
      <c r="C45" s="166" t="n"/>
      <c r="D45" s="102" t="n"/>
      <c r="E45" s="102" t="n"/>
      <c r="F45" s="102" t="n"/>
      <c r="G45" s="102" t="n"/>
      <c r="H45" s="165" t="n"/>
      <c r="I45" s="102" t="n"/>
      <c r="J45" s="103" t="n"/>
      <c r="K45" s="115" t="n"/>
      <c r="L45" s="99" t="n"/>
      <c r="M45" s="100" t="n"/>
      <c r="N45" s="101" t="n"/>
      <c r="O45" s="101" t="n"/>
      <c r="P45" s="102" t="n"/>
      <c r="Q45" s="17" t="n"/>
      <c r="R45" s="114" t="n"/>
      <c r="S45" s="110" t="n"/>
      <c r="T45" s="110" t="n"/>
      <c r="U45" s="115" t="n"/>
      <c r="V45" s="111" t="n"/>
      <c r="W45" s="102" t="n"/>
      <c r="X45" s="164" t="n"/>
      <c r="Y45" s="115" t="n"/>
      <c r="Z45" s="111" t="n"/>
      <c r="AA45" s="165" t="n"/>
      <c r="AB45" s="99" t="n"/>
      <c r="AC45" s="100" t="n"/>
      <c r="AD45" s="101" t="n"/>
      <c r="AE45" s="101" t="n"/>
      <c r="AF45" s="99" t="n"/>
      <c r="AG45" s="101" t="n"/>
      <c r="AH45" s="17" t="n"/>
      <c r="AI45" s="103" t="n"/>
    </row>
    <row r="46" ht="18.75" customHeight="1">
      <c r="B46" s="18" t="n"/>
      <c r="C46" s="166" t="n"/>
      <c r="D46" s="102" t="n"/>
      <c r="E46" s="102" t="n"/>
      <c r="F46" s="102" t="n"/>
      <c r="G46" s="102" t="n"/>
      <c r="H46" s="165" t="n"/>
      <c r="I46" s="102" t="n"/>
      <c r="J46" s="103" t="n"/>
      <c r="K46" s="115" t="n"/>
      <c r="L46" s="99" t="n"/>
      <c r="M46" s="100" t="n"/>
      <c r="N46" s="101" t="n"/>
      <c r="O46" s="101" t="n"/>
      <c r="P46" s="102" t="n"/>
      <c r="Q46" s="17" t="n"/>
      <c r="R46" s="114" t="n"/>
      <c r="S46" s="110" t="n"/>
      <c r="T46" s="110" t="n"/>
      <c r="U46" s="115" t="n"/>
      <c r="V46" s="111" t="n"/>
      <c r="W46" s="102" t="n"/>
      <c r="X46" s="164" t="n"/>
      <c r="Y46" s="115" t="n"/>
      <c r="Z46" s="111" t="n"/>
      <c r="AA46" s="165" t="n"/>
      <c r="AB46" s="99" t="n"/>
      <c r="AC46" s="100" t="n"/>
      <c r="AD46" s="101" t="n"/>
      <c r="AE46" s="101" t="n"/>
      <c r="AF46" s="99" t="n"/>
      <c r="AG46" s="101" t="n"/>
      <c r="AH46" s="17" t="n"/>
      <c r="AI46" s="103" t="n"/>
    </row>
    <row r="47" ht="18.75" customHeight="1">
      <c r="B47" s="18" t="n"/>
      <c r="C47" s="166" t="n"/>
      <c r="D47" s="102" t="n"/>
      <c r="E47" s="102" t="n"/>
      <c r="F47" s="102" t="n"/>
      <c r="G47" s="102" t="n"/>
      <c r="H47" s="165" t="n"/>
      <c r="I47" s="102" t="n"/>
      <c r="J47" s="103" t="n"/>
      <c r="K47" s="115" t="n"/>
      <c r="L47" s="99" t="n"/>
      <c r="M47" s="100" t="n"/>
      <c r="N47" s="101" t="n"/>
      <c r="O47" s="101" t="n"/>
      <c r="P47" s="102" t="n"/>
      <c r="Q47" s="17" t="n"/>
      <c r="R47" s="114" t="n"/>
      <c r="S47" s="110" t="n"/>
      <c r="T47" s="110" t="n"/>
      <c r="U47" s="115" t="n"/>
      <c r="V47" s="111" t="n"/>
      <c r="W47" s="102" t="n"/>
      <c r="X47" s="164" t="n"/>
      <c r="Y47" s="115" t="n"/>
      <c r="Z47" s="111" t="n"/>
      <c r="AA47" s="165" t="n"/>
      <c r="AB47" s="99" t="n"/>
      <c r="AC47" s="100" t="n"/>
      <c r="AD47" s="101" t="n"/>
      <c r="AE47" s="101" t="n"/>
      <c r="AF47" s="99" t="n"/>
      <c r="AG47" s="101" t="n"/>
      <c r="AH47" s="17" t="n"/>
      <c r="AI47" s="103" t="n"/>
    </row>
    <row r="48" ht="18.75" customHeight="1">
      <c r="B48" s="18" t="n"/>
      <c r="C48" s="166" t="n"/>
      <c r="D48" s="102" t="n"/>
      <c r="E48" s="102" t="n"/>
      <c r="F48" s="102" t="n"/>
      <c r="G48" s="102" t="n"/>
      <c r="H48" s="165" t="n"/>
      <c r="I48" s="102" t="n"/>
      <c r="J48" s="103" t="n"/>
      <c r="K48" s="115" t="n"/>
      <c r="L48" s="99" t="n"/>
      <c r="M48" s="100" t="n"/>
      <c r="N48" s="101" t="n"/>
      <c r="O48" s="101" t="n"/>
      <c r="P48" s="102" t="n"/>
      <c r="Q48" s="17" t="n"/>
      <c r="R48" s="114" t="n"/>
      <c r="S48" s="110" t="n"/>
      <c r="T48" s="110" t="n"/>
      <c r="U48" s="115" t="n"/>
      <c r="V48" s="111" t="n"/>
      <c r="W48" s="102" t="n"/>
      <c r="X48" s="164" t="n"/>
      <c r="Y48" s="115" t="n"/>
      <c r="Z48" s="111" t="n"/>
      <c r="AA48" s="165" t="n"/>
      <c r="AB48" s="99" t="n"/>
      <c r="AC48" s="100" t="n"/>
      <c r="AD48" s="101" t="n"/>
      <c r="AE48" s="101" t="n"/>
      <c r="AF48" s="99" t="n"/>
      <c r="AG48" s="101" t="n"/>
      <c r="AH48" s="17" t="n"/>
      <c r="AI48" s="103" t="n"/>
    </row>
    <row r="49" ht="18.75" customHeight="1">
      <c r="B49" s="18" t="n"/>
      <c r="C49" s="166" t="n"/>
      <c r="D49" s="102" t="n"/>
      <c r="E49" s="102" t="n"/>
      <c r="F49" s="102" t="n"/>
      <c r="G49" s="102" t="n"/>
      <c r="H49" s="165" t="n"/>
      <c r="I49" s="102" t="n"/>
      <c r="J49" s="103" t="n"/>
      <c r="K49" s="115" t="n"/>
      <c r="L49" s="99" t="n"/>
      <c r="M49" s="100" t="n"/>
      <c r="N49" s="101" t="n"/>
      <c r="O49" s="101" t="n"/>
      <c r="P49" s="102" t="n"/>
      <c r="Q49" s="17" t="n"/>
      <c r="R49" s="114" t="n"/>
      <c r="S49" s="110" t="n"/>
      <c r="T49" s="110" t="n"/>
      <c r="U49" s="115" t="n"/>
      <c r="V49" s="111" t="n"/>
      <c r="W49" s="102" t="n"/>
      <c r="X49" s="164" t="n"/>
      <c r="Y49" s="115" t="n"/>
      <c r="Z49" s="111" t="n"/>
      <c r="AA49" s="165" t="n"/>
      <c r="AB49" s="99" t="n"/>
      <c r="AC49" s="100" t="n"/>
      <c r="AD49" s="101" t="n"/>
      <c r="AE49" s="101" t="n"/>
      <c r="AF49" s="99" t="n"/>
      <c r="AG49" s="101" t="n"/>
      <c r="AH49" s="17" t="n"/>
      <c r="AI49" s="103" t="n"/>
    </row>
    <row r="50" ht="18.75" customHeight="1">
      <c r="B50" s="18" t="n"/>
      <c r="C50" s="166" t="n"/>
      <c r="D50" s="102" t="n"/>
      <c r="E50" s="102" t="n"/>
      <c r="F50" s="102" t="n"/>
      <c r="G50" s="102" t="n"/>
      <c r="H50" s="165" t="n"/>
      <c r="I50" s="102" t="n"/>
      <c r="J50" s="103" t="n"/>
      <c r="K50" s="115" t="n"/>
      <c r="L50" s="99" t="n"/>
      <c r="M50" s="100" t="n"/>
      <c r="N50" s="101" t="n"/>
      <c r="O50" s="101" t="n"/>
      <c r="P50" s="102" t="n"/>
      <c r="Q50" s="17" t="n"/>
      <c r="R50" s="114" t="n"/>
      <c r="S50" s="110" t="n"/>
      <c r="T50" s="110" t="n"/>
      <c r="U50" s="115" t="n"/>
      <c r="V50" s="111" t="n"/>
      <c r="W50" s="102" t="n"/>
      <c r="X50" s="164" t="n"/>
      <c r="Y50" s="115" t="n"/>
      <c r="Z50" s="111" t="n"/>
      <c r="AA50" s="165" t="n"/>
      <c r="AB50" s="99" t="n"/>
      <c r="AC50" s="100" t="n"/>
      <c r="AD50" s="101" t="n"/>
      <c r="AE50" s="101" t="n"/>
      <c r="AF50" s="99" t="n"/>
      <c r="AG50" s="101" t="n"/>
      <c r="AH50" s="17" t="n"/>
      <c r="AI50" s="103" t="n"/>
    </row>
    <row r="51" ht="18.75" customHeight="1">
      <c r="B51" s="16" t="n"/>
      <c r="C51" s="166" t="n"/>
      <c r="D51" s="102" t="n"/>
      <c r="E51" s="102" t="n"/>
      <c r="F51" s="102" t="n"/>
      <c r="G51" s="102" t="n"/>
      <c r="H51" s="165" t="n"/>
      <c r="I51" s="102" t="n"/>
      <c r="J51" s="103" t="n"/>
      <c r="K51" s="115" t="n"/>
      <c r="L51" s="99" t="n"/>
      <c r="M51" s="100" t="n"/>
      <c r="N51" s="101" t="n"/>
      <c r="O51" s="101" t="n"/>
      <c r="P51" s="102" t="n"/>
      <c r="Q51" s="17" t="n"/>
      <c r="R51" s="114" t="n"/>
      <c r="S51" s="110" t="n"/>
      <c r="T51" s="110" t="n"/>
      <c r="U51" s="115" t="n"/>
      <c r="V51" s="111" t="n"/>
      <c r="W51" s="102" t="n"/>
      <c r="X51" s="164" t="n"/>
      <c r="Y51" s="115" t="n"/>
      <c r="Z51" s="111" t="n"/>
      <c r="AA51" s="165" t="n"/>
      <c r="AB51" s="99" t="n"/>
      <c r="AC51" s="100" t="n"/>
      <c r="AD51" s="101" t="n"/>
      <c r="AE51" s="101" t="n"/>
      <c r="AF51" s="99" t="n"/>
      <c r="AG51" s="101" t="n"/>
      <c r="AH51" s="17" t="n"/>
      <c r="AI51" s="103" t="n"/>
    </row>
    <row r="52" ht="18.75" customHeight="1">
      <c r="B52" s="18" t="n"/>
      <c r="C52" s="166" t="n"/>
      <c r="D52" s="102" t="n"/>
      <c r="E52" s="102" t="n"/>
      <c r="F52" s="102" t="n"/>
      <c r="G52" s="102" t="n"/>
      <c r="H52" s="165" t="n"/>
      <c r="I52" s="102" t="n"/>
      <c r="J52" s="103" t="n"/>
      <c r="K52" s="115" t="n"/>
      <c r="L52" s="99" t="n"/>
      <c r="M52" s="100" t="n"/>
      <c r="N52" s="101" t="n"/>
      <c r="O52" s="101" t="n"/>
      <c r="P52" s="102" t="n"/>
      <c r="Q52" s="17" t="n"/>
      <c r="R52" s="114" t="n"/>
      <c r="S52" s="110" t="n"/>
      <c r="T52" s="110" t="n"/>
      <c r="U52" s="115" t="n"/>
      <c r="V52" s="111" t="n"/>
      <c r="W52" s="102" t="n"/>
      <c r="X52" s="164" t="n"/>
      <c r="Y52" s="115" t="n"/>
      <c r="Z52" s="111" t="n"/>
      <c r="AA52" s="165" t="n"/>
      <c r="AB52" s="99" t="n"/>
      <c r="AC52" s="100" t="n"/>
      <c r="AD52" s="101" t="n"/>
      <c r="AE52" s="101" t="n"/>
      <c r="AF52" s="99" t="n"/>
      <c r="AG52" s="101" t="n"/>
      <c r="AH52" s="17" t="n"/>
      <c r="AI52" s="103" t="n"/>
    </row>
    <row r="53" ht="18.75" customHeight="1">
      <c r="B53" s="18" t="n"/>
      <c r="C53" s="166" t="n"/>
      <c r="D53" s="102" t="n"/>
      <c r="E53" s="102" t="n"/>
      <c r="F53" s="102" t="n"/>
      <c r="G53" s="102" t="n"/>
      <c r="H53" s="165" t="n"/>
      <c r="I53" s="102" t="n"/>
      <c r="J53" s="103" t="n"/>
      <c r="K53" s="115" t="n"/>
      <c r="L53" s="99" t="n"/>
      <c r="M53" s="100" t="n"/>
      <c r="N53" s="101" t="n"/>
      <c r="O53" s="101" t="n"/>
      <c r="P53" s="102" t="n"/>
      <c r="Q53" s="17" t="n"/>
      <c r="R53" s="114" t="n"/>
      <c r="S53" s="110" t="n"/>
      <c r="T53" s="110" t="n"/>
      <c r="U53" s="115" t="n"/>
      <c r="V53" s="111" t="n"/>
      <c r="W53" s="102" t="n"/>
      <c r="X53" s="164" t="n"/>
      <c r="Y53" s="115" t="n"/>
      <c r="Z53" s="111" t="n"/>
      <c r="AA53" s="165" t="n"/>
      <c r="AB53" s="99" t="n"/>
      <c r="AC53" s="100" t="n"/>
      <c r="AD53" s="101" t="n"/>
      <c r="AE53" s="101" t="n"/>
      <c r="AF53" s="99" t="n"/>
      <c r="AG53" s="101" t="n"/>
      <c r="AH53" s="17" t="n"/>
      <c r="AI53" s="103" t="n"/>
    </row>
    <row r="54" ht="18.75" customHeight="1">
      <c r="B54" s="18" t="n"/>
      <c r="C54" s="166" t="n"/>
      <c r="D54" s="102" t="n"/>
      <c r="E54" s="102" t="n"/>
      <c r="F54" s="102" t="n"/>
      <c r="G54" s="102" t="n"/>
      <c r="H54" s="165" t="n"/>
      <c r="I54" s="102" t="n"/>
      <c r="J54" s="103" t="n"/>
      <c r="K54" s="115" t="n"/>
      <c r="L54" s="99" t="n"/>
      <c r="M54" s="100" t="n"/>
      <c r="N54" s="101" t="n"/>
      <c r="O54" s="101" t="n"/>
      <c r="P54" s="102" t="n"/>
      <c r="Q54" s="17" t="n"/>
      <c r="R54" s="114" t="n"/>
      <c r="S54" s="110" t="n"/>
      <c r="T54" s="110" t="n"/>
      <c r="U54" s="115" t="n"/>
      <c r="V54" s="111" t="n"/>
      <c r="W54" s="102" t="n"/>
      <c r="X54" s="164" t="n"/>
      <c r="Y54" s="115" t="n"/>
      <c r="Z54" s="111" t="n"/>
      <c r="AA54" s="165" t="n"/>
      <c r="AB54" s="99" t="n"/>
      <c r="AC54" s="100" t="n"/>
      <c r="AD54" s="101" t="n"/>
      <c r="AE54" s="101" t="n"/>
      <c r="AF54" s="99" t="n"/>
      <c r="AG54" s="101" t="n"/>
      <c r="AH54" s="17" t="n"/>
      <c r="AI54" s="103" t="n"/>
    </row>
    <row r="55" ht="18.75" customHeight="1">
      <c r="B55" s="18" t="n"/>
      <c r="C55" s="166" t="n"/>
      <c r="D55" s="102" t="n"/>
      <c r="E55" s="102" t="n"/>
      <c r="F55" s="102" t="n"/>
      <c r="G55" s="102" t="n"/>
      <c r="H55" s="165" t="n"/>
      <c r="I55" s="102" t="n"/>
      <c r="J55" s="103" t="n"/>
      <c r="K55" s="115" t="n"/>
      <c r="L55" s="99" t="n"/>
      <c r="M55" s="100" t="n"/>
      <c r="N55" s="101" t="n"/>
      <c r="O55" s="101" t="n"/>
      <c r="P55" s="102" t="n"/>
      <c r="Q55" s="17" t="n"/>
      <c r="R55" s="114" t="n"/>
      <c r="S55" s="110" t="n"/>
      <c r="T55" s="110" t="n"/>
      <c r="U55" s="115" t="n"/>
      <c r="V55" s="111" t="n"/>
      <c r="W55" s="102" t="n"/>
      <c r="X55" s="164" t="n"/>
      <c r="Y55" s="115" t="n"/>
      <c r="Z55" s="111" t="n"/>
      <c r="AA55" s="165" t="n"/>
      <c r="AB55" s="99" t="n"/>
      <c r="AC55" s="100" t="n"/>
      <c r="AD55" s="101" t="n"/>
      <c r="AE55" s="101" t="n"/>
      <c r="AF55" s="99" t="n"/>
      <c r="AG55" s="101" t="n"/>
      <c r="AH55" s="17" t="n"/>
      <c r="AI55" s="103" t="n"/>
    </row>
    <row r="56" ht="18.75" customHeight="1">
      <c r="B56" s="16" t="n"/>
      <c r="C56" s="166" t="n"/>
      <c r="D56" s="102" t="n"/>
      <c r="E56" s="102" t="n"/>
      <c r="F56" s="102" t="n"/>
      <c r="G56" s="102" t="n"/>
      <c r="H56" s="165" t="n"/>
      <c r="I56" s="102" t="n"/>
      <c r="J56" s="103" t="n"/>
      <c r="K56" s="115" t="n"/>
      <c r="L56" s="99" t="n"/>
      <c r="M56" s="100" t="n"/>
      <c r="N56" s="101" t="n"/>
      <c r="O56" s="101" t="n"/>
      <c r="P56" s="102" t="n"/>
      <c r="Q56" s="17" t="n"/>
      <c r="R56" s="114" t="n"/>
      <c r="S56" s="110" t="n"/>
      <c r="T56" s="110" t="n"/>
      <c r="U56" s="115" t="n"/>
      <c r="V56" s="111" t="n"/>
      <c r="W56" s="102" t="n"/>
      <c r="X56" s="164" t="n"/>
      <c r="Y56" s="115" t="n"/>
      <c r="Z56" s="111" t="n"/>
      <c r="AA56" s="165" t="n"/>
      <c r="AB56" s="99" t="n"/>
      <c r="AC56" s="100" t="n"/>
      <c r="AD56" s="101" t="n"/>
      <c r="AE56" s="101" t="n"/>
      <c r="AF56" s="99" t="n"/>
      <c r="AG56" s="101" t="n"/>
      <c r="AH56" s="17" t="n"/>
      <c r="AI56" s="103" t="n"/>
    </row>
    <row r="57" ht="18.75" customHeight="1">
      <c r="B57" s="18" t="n"/>
      <c r="C57" s="166" t="n"/>
      <c r="D57" s="102" t="n"/>
      <c r="E57" s="102" t="n"/>
      <c r="F57" s="102" t="n"/>
      <c r="G57" s="102" t="n"/>
      <c r="H57" s="165" t="n"/>
      <c r="I57" s="102" t="n"/>
      <c r="J57" s="103" t="n"/>
      <c r="K57" s="115" t="n"/>
      <c r="L57" s="99" t="n"/>
      <c r="M57" s="100" t="n"/>
      <c r="N57" s="101" t="n"/>
      <c r="O57" s="101" t="n"/>
      <c r="P57" s="102" t="n"/>
      <c r="Q57" s="17" t="n"/>
      <c r="R57" s="114" t="n"/>
      <c r="S57" s="110" t="n"/>
      <c r="T57" s="110" t="n"/>
      <c r="U57" s="115" t="n"/>
      <c r="V57" s="111" t="n"/>
      <c r="W57" s="102" t="n"/>
      <c r="X57" s="164" t="n"/>
      <c r="Y57" s="115" t="n"/>
      <c r="Z57" s="111" t="n"/>
      <c r="AA57" s="165" t="n"/>
      <c r="AB57" s="99" t="n"/>
      <c r="AC57" s="100" t="n"/>
      <c r="AD57" s="101" t="n"/>
      <c r="AE57" s="101" t="n"/>
      <c r="AF57" s="99" t="n"/>
      <c r="AG57" s="101" t="n"/>
      <c r="AH57" s="17" t="n"/>
      <c r="AI57" s="103" t="n"/>
    </row>
    <row r="58" ht="18.75" customHeight="1">
      <c r="B58" s="18" t="n"/>
      <c r="C58" s="166" t="n"/>
      <c r="D58" s="102" t="n"/>
      <c r="E58" s="102" t="n"/>
      <c r="F58" s="102" t="n"/>
      <c r="G58" s="102" t="n"/>
      <c r="H58" s="165" t="n"/>
      <c r="I58" s="102" t="n"/>
      <c r="J58" s="103" t="n"/>
      <c r="K58" s="115" t="n"/>
      <c r="L58" s="99" t="n"/>
      <c r="M58" s="100" t="n"/>
      <c r="N58" s="101" t="n"/>
      <c r="O58" s="101" t="n"/>
      <c r="P58" s="102" t="n"/>
      <c r="Q58" s="17" t="n"/>
      <c r="R58" s="114" t="n"/>
      <c r="S58" s="110" t="n"/>
      <c r="T58" s="110" t="n"/>
      <c r="U58" s="115" t="n"/>
      <c r="V58" s="111" t="n"/>
      <c r="W58" s="102" t="n"/>
      <c r="X58" s="164" t="n"/>
      <c r="Y58" s="115" t="n"/>
      <c r="Z58" s="111" t="n"/>
      <c r="AA58" s="165" t="n"/>
      <c r="AB58" s="99" t="n"/>
      <c r="AC58" s="100" t="n"/>
      <c r="AD58" s="101" t="n"/>
      <c r="AE58" s="101" t="n"/>
      <c r="AF58" s="99" t="n"/>
      <c r="AG58" s="101" t="n"/>
      <c r="AH58" s="17" t="n"/>
      <c r="AI58" s="103" t="n"/>
    </row>
    <row r="59" ht="18.75" customHeight="1">
      <c r="B59" s="18" t="n"/>
      <c r="C59" s="166" t="n"/>
      <c r="D59" s="102" t="n"/>
      <c r="E59" s="102" t="n"/>
      <c r="F59" s="102" t="n"/>
      <c r="G59" s="102" t="n"/>
      <c r="H59" s="165" t="n"/>
      <c r="I59" s="102" t="n"/>
      <c r="J59" s="103" t="n"/>
      <c r="K59" s="115" t="n"/>
      <c r="L59" s="99" t="n"/>
      <c r="M59" s="100" t="n"/>
      <c r="N59" s="101" t="n"/>
      <c r="O59" s="101" t="n"/>
      <c r="P59" s="102" t="n"/>
      <c r="Q59" s="17" t="n"/>
      <c r="R59" s="114" t="n"/>
      <c r="S59" s="110" t="n"/>
      <c r="T59" s="110" t="n"/>
      <c r="U59" s="115" t="n"/>
      <c r="V59" s="111" t="n"/>
      <c r="W59" s="102" t="n"/>
      <c r="X59" s="164" t="n"/>
      <c r="Y59" s="115" t="n"/>
      <c r="Z59" s="111" t="n"/>
      <c r="AA59" s="165" t="n"/>
      <c r="AB59" s="99" t="n"/>
      <c r="AC59" s="100" t="n"/>
      <c r="AD59" s="101" t="n"/>
      <c r="AE59" s="101" t="n"/>
      <c r="AF59" s="99" t="n"/>
      <c r="AG59" s="101" t="n"/>
      <c r="AH59" s="17" t="n"/>
      <c r="AI59" s="103" t="n"/>
    </row>
    <row r="60" ht="18.75" customHeight="1">
      <c r="B60" s="18" t="n"/>
      <c r="C60" s="166" t="n"/>
      <c r="D60" s="102" t="n"/>
      <c r="E60" s="102" t="n"/>
      <c r="F60" s="102" t="n"/>
      <c r="G60" s="102" t="n"/>
      <c r="H60" s="165" t="n"/>
      <c r="I60" s="102" t="n"/>
      <c r="J60" s="103" t="n"/>
      <c r="K60" s="115" t="n"/>
      <c r="L60" s="99" t="n"/>
      <c r="M60" s="100" t="n"/>
      <c r="N60" s="101" t="n"/>
      <c r="O60" s="101" t="n"/>
      <c r="P60" s="102" t="n"/>
      <c r="Q60" s="17" t="n"/>
      <c r="R60" s="114" t="n"/>
      <c r="S60" s="110" t="n"/>
      <c r="T60" s="110" t="n"/>
      <c r="U60" s="115" t="n"/>
      <c r="V60" s="111" t="n"/>
      <c r="W60" s="102" t="n"/>
      <c r="X60" s="164" t="n"/>
      <c r="Y60" s="115" t="n"/>
      <c r="Z60" s="111" t="n"/>
      <c r="AA60" s="165" t="n"/>
      <c r="AB60" s="99" t="n"/>
      <c r="AC60" s="100" t="n"/>
      <c r="AD60" s="101" t="n"/>
      <c r="AE60" s="101" t="n"/>
      <c r="AF60" s="99" t="n"/>
      <c r="AG60" s="101" t="n"/>
      <c r="AH60" s="17" t="n"/>
      <c r="AI60" s="103" t="n"/>
    </row>
    <row r="61" ht="18.75" customHeight="1">
      <c r="B61" s="18" t="n"/>
      <c r="C61" s="166" t="n"/>
      <c r="D61" s="102" t="n"/>
      <c r="E61" s="102" t="n"/>
      <c r="F61" s="102" t="n"/>
      <c r="G61" s="102" t="n"/>
      <c r="H61" s="165" t="n"/>
      <c r="I61" s="102" t="n"/>
      <c r="J61" s="103" t="n"/>
      <c r="K61" s="115" t="n"/>
      <c r="L61" s="99" t="n"/>
      <c r="M61" s="100" t="n"/>
      <c r="N61" s="101" t="n"/>
      <c r="O61" s="101" t="n"/>
      <c r="P61" s="102" t="n"/>
      <c r="Q61" s="17" t="n"/>
      <c r="R61" s="114" t="n"/>
      <c r="S61" s="110" t="n"/>
      <c r="T61" s="110" t="n"/>
      <c r="U61" s="115" t="n"/>
      <c r="V61" s="111" t="n"/>
      <c r="W61" s="102" t="n"/>
      <c r="X61" s="164" t="n"/>
      <c r="Y61" s="115" t="n"/>
      <c r="Z61" s="111" t="n"/>
      <c r="AA61" s="165" t="n"/>
      <c r="AB61" s="99" t="n"/>
      <c r="AC61" s="100" t="n"/>
      <c r="AD61" s="101" t="n"/>
      <c r="AE61" s="101" t="n"/>
      <c r="AF61" s="99" t="n"/>
      <c r="AG61" s="101" t="n"/>
      <c r="AH61" s="17" t="n"/>
      <c r="AI61" s="103" t="n"/>
    </row>
    <row r="62" ht="18.75" customHeight="1">
      <c r="B62" s="16" t="n"/>
      <c r="C62" s="166" t="n"/>
      <c r="D62" s="102" t="n"/>
      <c r="E62" s="102" t="n"/>
      <c r="F62" s="102" t="n"/>
      <c r="G62" s="102" t="n"/>
      <c r="H62" s="165" t="n"/>
      <c r="I62" s="102" t="n"/>
      <c r="J62" s="103" t="n"/>
      <c r="K62" s="115" t="n"/>
      <c r="L62" s="99" t="n"/>
      <c r="M62" s="100" t="n"/>
      <c r="N62" s="101" t="n"/>
      <c r="O62" s="101" t="n"/>
      <c r="P62" s="102" t="n"/>
      <c r="Q62" s="17" t="n"/>
      <c r="R62" s="114" t="n"/>
      <c r="S62" s="110" t="n"/>
      <c r="T62" s="110" t="n"/>
      <c r="U62" s="115" t="n"/>
      <c r="V62" s="111" t="n"/>
      <c r="W62" s="102" t="n"/>
      <c r="X62" s="164" t="n"/>
      <c r="Y62" s="115" t="n"/>
      <c r="Z62" s="111" t="n"/>
      <c r="AA62" s="165" t="n"/>
      <c r="AB62" s="99" t="n"/>
      <c r="AC62" s="100" t="n"/>
      <c r="AD62" s="101" t="n"/>
      <c r="AE62" s="101" t="n"/>
      <c r="AF62" s="99" t="n"/>
      <c r="AG62" s="101" t="n"/>
      <c r="AH62" s="17" t="n"/>
      <c r="AI62" s="103" t="n"/>
    </row>
    <row r="63" ht="18.75" customHeight="1">
      <c r="B63" s="18" t="n"/>
      <c r="C63" s="166" t="n"/>
      <c r="D63" s="102" t="n"/>
      <c r="E63" s="102" t="n"/>
      <c r="F63" s="102" t="n"/>
      <c r="G63" s="102" t="n"/>
      <c r="H63" s="165" t="n"/>
      <c r="I63" s="102" t="n"/>
      <c r="J63" s="103" t="n"/>
      <c r="K63" s="115" t="n"/>
      <c r="L63" s="99" t="n"/>
      <c r="M63" s="100" t="n"/>
      <c r="N63" s="101" t="n"/>
      <c r="O63" s="101" t="n"/>
      <c r="P63" s="102" t="n"/>
      <c r="Q63" s="17" t="n"/>
      <c r="R63" s="114" t="n"/>
      <c r="S63" s="110" t="n"/>
      <c r="T63" s="110" t="n"/>
      <c r="U63" s="115" t="n"/>
      <c r="V63" s="111" t="n"/>
      <c r="W63" s="102" t="n"/>
      <c r="X63" s="164" t="n"/>
      <c r="Y63" s="115" t="n"/>
      <c r="Z63" s="111" t="n"/>
      <c r="AA63" s="165" t="n"/>
      <c r="AB63" s="99" t="n"/>
      <c r="AC63" s="100" t="n"/>
      <c r="AD63" s="101" t="n"/>
      <c r="AE63" s="101" t="n"/>
      <c r="AF63" s="99" t="n"/>
      <c r="AG63" s="101" t="n"/>
      <c r="AH63" s="17" t="n"/>
      <c r="AI63" s="103" t="n"/>
    </row>
    <row r="64" ht="18.75" customHeight="1">
      <c r="B64" s="18" t="n"/>
      <c r="C64" s="166" t="n"/>
      <c r="D64" s="102" t="n"/>
      <c r="E64" s="102" t="n"/>
      <c r="F64" s="102" t="n"/>
      <c r="G64" s="102" t="n"/>
      <c r="H64" s="165" t="n"/>
      <c r="I64" s="102" t="n"/>
      <c r="J64" s="103" t="n"/>
      <c r="K64" s="115" t="n"/>
      <c r="L64" s="99" t="n"/>
      <c r="M64" s="100" t="n"/>
      <c r="N64" s="101" t="n"/>
      <c r="O64" s="101" t="n"/>
      <c r="P64" s="102" t="n"/>
      <c r="Q64" s="17" t="n"/>
      <c r="R64" s="114" t="n"/>
      <c r="S64" s="110" t="n"/>
      <c r="T64" s="110" t="n"/>
      <c r="U64" s="115" t="n"/>
      <c r="V64" s="111" t="n"/>
      <c r="W64" s="102" t="n"/>
      <c r="X64" s="164" t="n"/>
      <c r="Y64" s="115" t="n"/>
      <c r="Z64" s="111" t="n"/>
      <c r="AA64" s="165" t="n"/>
      <c r="AB64" s="99" t="n"/>
      <c r="AC64" s="100" t="n"/>
      <c r="AD64" s="101" t="n"/>
      <c r="AE64" s="101" t="n"/>
      <c r="AF64" s="99" t="n"/>
      <c r="AG64" s="101" t="n"/>
      <c r="AH64" s="17" t="n"/>
      <c r="AI64" s="103" t="n"/>
    </row>
    <row r="65" ht="18.75" customHeight="1">
      <c r="B65" s="18" t="n"/>
      <c r="C65" s="166" t="n"/>
      <c r="D65" s="102" t="n"/>
      <c r="E65" s="102" t="n"/>
      <c r="F65" s="102" t="n"/>
      <c r="G65" s="102" t="n"/>
      <c r="H65" s="165" t="n"/>
      <c r="I65" s="102" t="n"/>
      <c r="J65" s="103" t="n"/>
      <c r="K65" s="115" t="n"/>
      <c r="L65" s="99" t="n"/>
      <c r="M65" s="100" t="n"/>
      <c r="N65" s="101" t="n"/>
      <c r="O65" s="101" t="n"/>
      <c r="P65" s="102" t="n"/>
      <c r="Q65" s="17" t="n"/>
      <c r="R65" s="114" t="n"/>
      <c r="S65" s="110" t="n"/>
      <c r="T65" s="110" t="n"/>
      <c r="U65" s="115" t="n"/>
      <c r="V65" s="111" t="n"/>
      <c r="W65" s="102" t="n"/>
      <c r="X65" s="164" t="n"/>
      <c r="Y65" s="115" t="n"/>
      <c r="Z65" s="111" t="n"/>
      <c r="AA65" s="165" t="n"/>
      <c r="AB65" s="99" t="n"/>
      <c r="AC65" s="100" t="n"/>
      <c r="AD65" s="101" t="n"/>
      <c r="AE65" s="101" t="n"/>
      <c r="AF65" s="99" t="n"/>
      <c r="AG65" s="101" t="n"/>
      <c r="AH65" s="17" t="n"/>
      <c r="AI65" s="103" t="n"/>
    </row>
    <row r="66" ht="18.75" customHeight="1">
      <c r="B66" s="18" t="n"/>
      <c r="C66" s="166" t="n"/>
      <c r="D66" s="102" t="n"/>
      <c r="E66" s="102" t="n"/>
      <c r="F66" s="102" t="n"/>
      <c r="G66" s="102" t="n"/>
      <c r="H66" s="165" t="n"/>
      <c r="I66" s="102" t="n"/>
      <c r="J66" s="103" t="n"/>
      <c r="K66" s="115" t="n"/>
      <c r="L66" s="99" t="n"/>
      <c r="M66" s="100" t="n"/>
      <c r="N66" s="101" t="n"/>
      <c r="O66" s="101" t="n"/>
      <c r="P66" s="102" t="n"/>
      <c r="Q66" s="17" t="n"/>
      <c r="R66" s="114" t="n"/>
      <c r="S66" s="110" t="n"/>
      <c r="T66" s="110" t="n"/>
      <c r="U66" s="115" t="n"/>
      <c r="V66" s="111" t="n"/>
      <c r="W66" s="102" t="n"/>
      <c r="X66" s="164" t="n"/>
      <c r="Y66" s="115" t="n"/>
      <c r="Z66" s="111" t="n"/>
      <c r="AA66" s="165" t="n"/>
      <c r="AB66" s="99" t="n"/>
      <c r="AC66" s="100" t="n"/>
      <c r="AD66" s="101" t="n"/>
      <c r="AE66" s="101" t="n"/>
      <c r="AF66" s="99" t="n"/>
      <c r="AG66" s="101" t="n"/>
      <c r="AH66" s="17" t="n"/>
      <c r="AI66" s="103" t="n"/>
    </row>
    <row r="67" ht="18.75" customHeight="1">
      <c r="B67" s="18" t="n"/>
      <c r="C67" s="166" t="n"/>
      <c r="D67" s="102" t="n"/>
      <c r="E67" s="102" t="n"/>
      <c r="F67" s="102" t="n"/>
      <c r="G67" s="102" t="n"/>
      <c r="H67" s="165" t="n"/>
      <c r="I67" s="102" t="n"/>
      <c r="J67" s="103" t="n"/>
      <c r="K67" s="115" t="n"/>
      <c r="L67" s="99" t="n"/>
      <c r="M67" s="100" t="n"/>
      <c r="N67" s="101" t="n"/>
      <c r="O67" s="101" t="n"/>
      <c r="P67" s="102" t="n"/>
      <c r="Q67" s="17" t="n"/>
      <c r="R67" s="114" t="n"/>
      <c r="S67" s="110" t="n"/>
      <c r="T67" s="110" t="n"/>
      <c r="U67" s="115" t="n"/>
      <c r="V67" s="111" t="n"/>
      <c r="W67" s="102" t="n"/>
      <c r="X67" s="164" t="n"/>
      <c r="Y67" s="115" t="n"/>
      <c r="Z67" s="111" t="n"/>
      <c r="AA67" s="165" t="n"/>
      <c r="AB67" s="99" t="n"/>
      <c r="AC67" s="100" t="n"/>
      <c r="AD67" s="101" t="n"/>
      <c r="AE67" s="101" t="n"/>
      <c r="AF67" s="99" t="n"/>
      <c r="AG67" s="101" t="n"/>
      <c r="AH67" s="17" t="n"/>
      <c r="AI67" s="103" t="n"/>
    </row>
    <row r="68" ht="18.75" customHeight="1">
      <c r="B68" s="16" t="n"/>
      <c r="C68" s="166" t="n"/>
      <c r="D68" s="102" t="n"/>
      <c r="E68" s="102" t="n"/>
      <c r="F68" s="102" t="n"/>
      <c r="G68" s="102" t="n"/>
      <c r="H68" s="165" t="n"/>
      <c r="I68" s="102" t="n"/>
      <c r="J68" s="103" t="n"/>
      <c r="K68" s="115" t="n"/>
      <c r="L68" s="99" t="n"/>
      <c r="M68" s="100" t="n"/>
      <c r="N68" s="101" t="n"/>
      <c r="O68" s="101" t="n"/>
      <c r="P68" s="102" t="n"/>
      <c r="Q68" s="17" t="n"/>
      <c r="R68" s="114" t="n"/>
      <c r="S68" s="110" t="n"/>
      <c r="T68" s="110" t="n"/>
      <c r="U68" s="115" t="n"/>
      <c r="V68" s="111" t="n"/>
      <c r="W68" s="102" t="n"/>
      <c r="X68" s="164" t="n"/>
      <c r="Y68" s="115" t="n"/>
      <c r="Z68" s="111" t="n"/>
      <c r="AA68" s="165" t="n"/>
      <c r="AB68" s="99" t="n"/>
      <c r="AC68" s="100" t="n"/>
      <c r="AD68" s="101" t="n"/>
      <c r="AE68" s="101" t="n"/>
      <c r="AF68" s="99" t="n"/>
      <c r="AG68" s="101" t="n"/>
      <c r="AH68" s="17" t="n"/>
      <c r="AI68" s="103" t="n"/>
    </row>
    <row r="69" ht="18.75" customHeight="1">
      <c r="B69" s="18" t="n"/>
      <c r="C69" s="166" t="n"/>
      <c r="D69" s="102" t="n"/>
      <c r="E69" s="102" t="n"/>
      <c r="F69" s="102" t="n"/>
      <c r="G69" s="102" t="n"/>
      <c r="H69" s="165" t="n"/>
      <c r="I69" s="102" t="n"/>
      <c r="J69" s="103" t="n"/>
      <c r="K69" s="115" t="n"/>
      <c r="L69" s="99" t="n"/>
      <c r="M69" s="100" t="n"/>
      <c r="N69" s="101" t="n"/>
      <c r="O69" s="101" t="n"/>
      <c r="P69" s="102" t="n"/>
      <c r="Q69" s="17" t="n"/>
      <c r="R69" s="114" t="n"/>
      <c r="S69" s="110" t="n"/>
      <c r="T69" s="110" t="n"/>
      <c r="U69" s="115" t="n"/>
      <c r="V69" s="111" t="n"/>
      <c r="W69" s="102" t="n"/>
      <c r="X69" s="164" t="n"/>
      <c r="Y69" s="115" t="n"/>
      <c r="Z69" s="111" t="n"/>
      <c r="AA69" s="165" t="n"/>
      <c r="AB69" s="99" t="n"/>
      <c r="AC69" s="100" t="n"/>
      <c r="AD69" s="101" t="n"/>
      <c r="AE69" s="101" t="n"/>
      <c r="AF69" s="99" t="n"/>
      <c r="AG69" s="101" t="n"/>
      <c r="AH69" s="17" t="n"/>
      <c r="AI69" s="103" t="n"/>
    </row>
    <row r="70" ht="18.75" customHeight="1">
      <c r="B70" s="18" t="n"/>
      <c r="C70" s="166" t="n"/>
      <c r="D70" s="102" t="n"/>
      <c r="E70" s="102" t="n"/>
      <c r="F70" s="102" t="n"/>
      <c r="G70" s="102" t="n"/>
      <c r="H70" s="165" t="n"/>
      <c r="I70" s="102" t="n"/>
      <c r="J70" s="103" t="n"/>
      <c r="K70" s="115" t="n"/>
      <c r="L70" s="99" t="n"/>
      <c r="M70" s="100" t="n"/>
      <c r="N70" s="101" t="n"/>
      <c r="O70" s="101" t="n"/>
      <c r="P70" s="102" t="n"/>
      <c r="Q70" s="17" t="n"/>
      <c r="R70" s="114" t="n"/>
      <c r="S70" s="110" t="n"/>
      <c r="T70" s="110" t="n"/>
      <c r="U70" s="115" t="n"/>
      <c r="V70" s="111" t="n"/>
      <c r="W70" s="102" t="n"/>
      <c r="X70" s="164" t="n"/>
      <c r="Y70" s="115" t="n"/>
      <c r="Z70" s="111" t="n"/>
      <c r="AA70" s="165" t="n"/>
      <c r="AB70" s="99" t="n"/>
      <c r="AC70" s="100" t="n"/>
      <c r="AD70" s="101" t="n"/>
      <c r="AE70" s="101" t="n"/>
      <c r="AF70" s="99" t="n"/>
      <c r="AG70" s="101" t="n"/>
      <c r="AH70" s="17" t="n"/>
      <c r="AI70" s="103" t="n"/>
    </row>
    <row r="71" ht="18.75" customHeight="1">
      <c r="B71" s="18" t="n"/>
      <c r="C71" s="166" t="n"/>
      <c r="D71" s="102" t="n"/>
      <c r="E71" s="102" t="n"/>
      <c r="F71" s="102" t="n"/>
      <c r="G71" s="102" t="n"/>
      <c r="H71" s="165" t="n"/>
      <c r="I71" s="102" t="n"/>
      <c r="J71" s="103" t="n"/>
      <c r="K71" s="115" t="n"/>
      <c r="L71" s="99" t="n"/>
      <c r="M71" s="100" t="n"/>
      <c r="N71" s="101" t="n"/>
      <c r="O71" s="101" t="n"/>
      <c r="P71" s="102" t="n"/>
      <c r="Q71" s="17" t="n"/>
      <c r="R71" s="114" t="n"/>
      <c r="S71" s="110" t="n"/>
      <c r="T71" s="110" t="n"/>
      <c r="U71" s="115" t="n"/>
      <c r="V71" s="111" t="n"/>
      <c r="W71" s="102" t="n"/>
      <c r="X71" s="164" t="n"/>
      <c r="Y71" s="115" t="n"/>
      <c r="Z71" s="111" t="n"/>
      <c r="AA71" s="165" t="n"/>
      <c r="AB71" s="99" t="n"/>
      <c r="AC71" s="100" t="n"/>
      <c r="AD71" s="101" t="n"/>
      <c r="AE71" s="101" t="n"/>
      <c r="AF71" s="99" t="n"/>
      <c r="AG71" s="101" t="n"/>
      <c r="AH71" s="17" t="n"/>
      <c r="AI71" s="103" t="n"/>
    </row>
    <row r="72" ht="18.75" customHeight="1">
      <c r="B72" s="18" t="n"/>
      <c r="C72" s="166" t="n"/>
      <c r="D72" s="102" t="n"/>
      <c r="E72" s="102" t="n"/>
      <c r="F72" s="102" t="n"/>
      <c r="G72" s="102" t="n"/>
      <c r="H72" s="165" t="n"/>
      <c r="I72" s="102" t="n"/>
      <c r="J72" s="103" t="n"/>
      <c r="K72" s="115" t="n"/>
      <c r="L72" s="99" t="n"/>
      <c r="M72" s="100" t="n"/>
      <c r="N72" s="101" t="n"/>
      <c r="O72" s="101" t="n"/>
      <c r="P72" s="102" t="n"/>
      <c r="Q72" s="17" t="n"/>
      <c r="R72" s="114" t="n"/>
      <c r="S72" s="110" t="n"/>
      <c r="T72" s="110" t="n"/>
      <c r="U72" s="115" t="n"/>
      <c r="V72" s="111" t="n"/>
      <c r="W72" s="102" t="n"/>
      <c r="X72" s="164" t="n"/>
      <c r="Y72" s="115" t="n"/>
      <c r="Z72" s="111" t="n"/>
      <c r="AA72" s="165" t="n"/>
      <c r="AB72" s="99" t="n"/>
      <c r="AC72" s="100" t="n"/>
      <c r="AD72" s="101" t="n"/>
      <c r="AE72" s="101" t="n"/>
      <c r="AF72" s="99" t="n"/>
      <c r="AG72" s="101" t="n"/>
      <c r="AH72" s="17" t="n"/>
      <c r="AI72" s="103" t="n"/>
    </row>
    <row r="73" ht="18.75" customHeight="1">
      <c r="B73" s="16" t="n"/>
      <c r="C73" s="166" t="n"/>
      <c r="D73" s="102" t="n"/>
      <c r="E73" s="102" t="n"/>
      <c r="F73" s="102" t="n"/>
      <c r="G73" s="102" t="n"/>
      <c r="H73" s="165" t="n"/>
      <c r="I73" s="102" t="n"/>
      <c r="J73" s="103" t="n"/>
      <c r="K73" s="115" t="n"/>
      <c r="L73" s="99" t="n"/>
      <c r="M73" s="100" t="n"/>
      <c r="N73" s="101" t="n"/>
      <c r="O73" s="101" t="n"/>
      <c r="P73" s="102" t="n"/>
      <c r="Q73" s="17" t="n"/>
      <c r="R73" s="114" t="n"/>
      <c r="S73" s="110" t="n"/>
      <c r="T73" s="110" t="n"/>
      <c r="U73" s="115" t="n"/>
      <c r="V73" s="111" t="n"/>
      <c r="W73" s="102" t="n"/>
      <c r="X73" s="164" t="n"/>
      <c r="Y73" s="115" t="n"/>
      <c r="Z73" s="111" t="n"/>
      <c r="AA73" s="165" t="n"/>
      <c r="AB73" s="99" t="n"/>
      <c r="AC73" s="100" t="n"/>
      <c r="AD73" s="101" t="n"/>
      <c r="AE73" s="101" t="n"/>
      <c r="AF73" s="99" t="n"/>
      <c r="AG73" s="101" t="n"/>
      <c r="AH73" s="17" t="n"/>
      <c r="AI73" s="103" t="n"/>
    </row>
    <row r="74" ht="18.75" customHeight="1">
      <c r="B74" s="18" t="n"/>
      <c r="C74" s="166" t="n"/>
      <c r="D74" s="102" t="n"/>
      <c r="E74" s="102" t="n"/>
      <c r="F74" s="102" t="n"/>
      <c r="G74" s="102" t="n"/>
      <c r="H74" s="165" t="n"/>
      <c r="I74" s="102" t="n"/>
      <c r="J74" s="103" t="n"/>
      <c r="K74" s="115" t="n"/>
      <c r="L74" s="99" t="n"/>
      <c r="M74" s="100" t="n"/>
      <c r="N74" s="101" t="n"/>
      <c r="O74" s="101" t="n"/>
      <c r="P74" s="102" t="n"/>
      <c r="Q74" s="17" t="n"/>
      <c r="R74" s="114" t="n"/>
      <c r="S74" s="110" t="n"/>
      <c r="T74" s="110" t="n"/>
      <c r="U74" s="115" t="n"/>
      <c r="V74" s="111" t="n"/>
      <c r="W74" s="102" t="n"/>
      <c r="X74" s="164" t="n"/>
      <c r="Y74" s="115" t="n"/>
      <c r="Z74" s="111" t="n"/>
      <c r="AA74" s="165" t="n"/>
      <c r="AB74" s="99" t="n"/>
      <c r="AC74" s="100" t="n"/>
      <c r="AD74" s="101" t="n"/>
      <c r="AE74" s="101" t="n"/>
      <c r="AF74" s="99" t="n"/>
      <c r="AG74" s="101" t="n"/>
      <c r="AH74" s="17" t="n"/>
      <c r="AI74" s="103" t="n"/>
    </row>
    <row r="75" ht="18.75" customHeight="1">
      <c r="B75" s="18" t="n"/>
      <c r="C75" s="166" t="n"/>
      <c r="D75" s="102" t="n"/>
      <c r="E75" s="102" t="n"/>
      <c r="F75" s="102" t="n"/>
      <c r="G75" s="102" t="n"/>
      <c r="H75" s="165" t="n"/>
      <c r="I75" s="102" t="n"/>
      <c r="J75" s="103" t="n"/>
      <c r="K75" s="115" t="n"/>
      <c r="L75" s="99" t="n"/>
      <c r="M75" s="100" t="n"/>
      <c r="N75" s="101" t="n"/>
      <c r="O75" s="101" t="n"/>
      <c r="P75" s="102" t="n"/>
      <c r="Q75" s="17" t="n"/>
      <c r="R75" s="114" t="n"/>
      <c r="S75" s="110" t="n"/>
      <c r="T75" s="110" t="n"/>
      <c r="U75" s="115" t="n"/>
      <c r="V75" s="111" t="n"/>
      <c r="W75" s="102" t="n"/>
      <c r="X75" s="164" t="n"/>
      <c r="Y75" s="115" t="n"/>
      <c r="Z75" s="111" t="n"/>
      <c r="AA75" s="165" t="n"/>
      <c r="AB75" s="99" t="n"/>
      <c r="AC75" s="100" t="n"/>
      <c r="AD75" s="101" t="n"/>
      <c r="AE75" s="101" t="n"/>
      <c r="AF75" s="99" t="n"/>
      <c r="AG75" s="101" t="n"/>
      <c r="AH75" s="17" t="n"/>
      <c r="AI75" s="103" t="n"/>
    </row>
    <row r="76" ht="18.75" customHeight="1">
      <c r="B76" s="18" t="n"/>
      <c r="C76" s="166" t="n"/>
      <c r="D76" s="102" t="n"/>
      <c r="E76" s="102" t="n"/>
      <c r="F76" s="102" t="n"/>
      <c r="G76" s="102" t="n"/>
      <c r="H76" s="165" t="n"/>
      <c r="I76" s="102" t="n"/>
      <c r="J76" s="103" t="n"/>
      <c r="K76" s="115" t="n"/>
      <c r="L76" s="99" t="n"/>
      <c r="M76" s="100" t="n"/>
      <c r="N76" s="101" t="n"/>
      <c r="O76" s="101" t="n"/>
      <c r="P76" s="102" t="n"/>
      <c r="Q76" s="17" t="n"/>
      <c r="R76" s="114" t="n"/>
      <c r="S76" s="110" t="n"/>
      <c r="T76" s="110" t="n"/>
      <c r="U76" s="115" t="n"/>
      <c r="V76" s="111" t="n"/>
      <c r="W76" s="102" t="n"/>
      <c r="X76" s="164" t="n"/>
      <c r="Y76" s="115" t="n"/>
      <c r="Z76" s="111" t="n"/>
      <c r="AA76" s="165" t="n"/>
      <c r="AB76" s="99" t="n"/>
      <c r="AC76" s="100" t="n"/>
      <c r="AD76" s="101" t="n"/>
      <c r="AE76" s="101" t="n"/>
      <c r="AF76" s="99" t="n"/>
      <c r="AG76" s="101" t="n"/>
      <c r="AH76" s="17" t="n"/>
      <c r="AI76" s="103" t="n"/>
    </row>
    <row r="77" ht="18.75" customHeight="1">
      <c r="B77" s="18" t="n"/>
      <c r="C77" s="166" t="n"/>
      <c r="D77" s="102" t="n"/>
      <c r="E77" s="102" t="n"/>
      <c r="F77" s="102" t="n"/>
      <c r="G77" s="102" t="n"/>
      <c r="H77" s="165" t="n"/>
      <c r="I77" s="102" t="n"/>
      <c r="J77" s="103" t="n"/>
      <c r="K77" s="115" t="n"/>
      <c r="L77" s="99" t="n"/>
      <c r="M77" s="100" t="n"/>
      <c r="N77" s="101" t="n"/>
      <c r="O77" s="101" t="n"/>
      <c r="P77" s="102" t="n"/>
      <c r="Q77" s="17" t="n"/>
      <c r="R77" s="114" t="n"/>
      <c r="S77" s="110" t="n"/>
      <c r="T77" s="110" t="n"/>
      <c r="U77" s="115" t="n"/>
      <c r="V77" s="111" t="n"/>
      <c r="W77" s="102" t="n"/>
      <c r="X77" s="164" t="n"/>
      <c r="Y77" s="115" t="n"/>
      <c r="Z77" s="111" t="n"/>
      <c r="AA77" s="165" t="n"/>
      <c r="AB77" s="99" t="n"/>
      <c r="AC77" s="100" t="n"/>
      <c r="AD77" s="101" t="n"/>
      <c r="AE77" s="101" t="n"/>
      <c r="AF77" s="99" t="n"/>
      <c r="AG77" s="101" t="n"/>
      <c r="AH77" s="17" t="n"/>
      <c r="AI77" s="103" t="n"/>
    </row>
    <row r="78" ht="18.75" customHeight="1">
      <c r="B78" s="18" t="n"/>
      <c r="C78" s="166" t="n"/>
      <c r="D78" s="102" t="n"/>
      <c r="E78" s="102" t="n"/>
      <c r="F78" s="102" t="n"/>
      <c r="G78" s="102" t="n"/>
      <c r="H78" s="165" t="n"/>
      <c r="I78" s="102" t="n"/>
      <c r="J78" s="103" t="n"/>
      <c r="K78" s="115" t="n"/>
      <c r="L78" s="99" t="n"/>
      <c r="M78" s="100" t="n"/>
      <c r="N78" s="101" t="n"/>
      <c r="O78" s="101" t="n"/>
      <c r="P78" s="102" t="n"/>
      <c r="Q78" s="17" t="n"/>
      <c r="R78" s="114" t="n"/>
      <c r="S78" s="110" t="n"/>
      <c r="T78" s="110" t="n"/>
      <c r="U78" s="115" t="n"/>
      <c r="V78" s="111" t="n"/>
      <c r="W78" s="102" t="n"/>
      <c r="X78" s="164" t="n"/>
      <c r="Y78" s="115" t="n"/>
      <c r="Z78" s="111" t="n"/>
      <c r="AA78" s="165" t="n"/>
      <c r="AB78" s="99" t="n"/>
      <c r="AC78" s="100" t="n"/>
      <c r="AD78" s="101" t="n"/>
      <c r="AE78" s="101" t="n"/>
      <c r="AF78" s="99" t="n"/>
      <c r="AG78" s="101" t="n"/>
      <c r="AH78" s="17" t="n"/>
      <c r="AI78" s="103" t="n"/>
    </row>
    <row r="79" ht="18.75" customHeight="1">
      <c r="B79" s="16" t="n"/>
      <c r="C79" s="166" t="n"/>
      <c r="D79" s="102" t="n"/>
      <c r="E79" s="102" t="n"/>
      <c r="F79" s="102" t="n"/>
      <c r="G79" s="102" t="n"/>
      <c r="H79" s="165" t="n"/>
      <c r="I79" s="102" t="n"/>
      <c r="J79" s="103" t="n"/>
      <c r="K79" s="115" t="n"/>
      <c r="L79" s="99" t="n"/>
      <c r="M79" s="100" t="n"/>
      <c r="N79" s="101" t="n"/>
      <c r="O79" s="101" t="n"/>
      <c r="P79" s="102" t="n"/>
      <c r="Q79" s="17" t="n"/>
      <c r="R79" s="114" t="n"/>
      <c r="S79" s="110" t="n"/>
      <c r="T79" s="110" t="n"/>
      <c r="U79" s="115" t="n"/>
      <c r="V79" s="111" t="n"/>
      <c r="W79" s="102" t="n"/>
      <c r="X79" s="164" t="n"/>
      <c r="Y79" s="115" t="n"/>
      <c r="Z79" s="111" t="n"/>
      <c r="AA79" s="165" t="n"/>
      <c r="AB79" s="99" t="n"/>
      <c r="AC79" s="100" t="n"/>
      <c r="AD79" s="101" t="n"/>
      <c r="AE79" s="101" t="n"/>
      <c r="AF79" s="99" t="n"/>
      <c r="AG79" s="101" t="n"/>
      <c r="AH79" s="17" t="n"/>
      <c r="AI79" s="103" t="n"/>
    </row>
    <row r="80" ht="18.75" customHeight="1">
      <c r="B80" s="18" t="n"/>
      <c r="C80" s="166" t="n"/>
      <c r="D80" s="102" t="n"/>
      <c r="E80" s="102" t="n"/>
      <c r="F80" s="102" t="n"/>
      <c r="G80" s="102" t="n"/>
      <c r="H80" s="165" t="n"/>
      <c r="I80" s="102" t="n"/>
      <c r="J80" s="103" t="n"/>
      <c r="K80" s="115" t="n"/>
      <c r="L80" s="99" t="n"/>
      <c r="M80" s="100" t="n"/>
      <c r="N80" s="101" t="n"/>
      <c r="O80" s="101" t="n"/>
      <c r="P80" s="102" t="n"/>
      <c r="Q80" s="17" t="n"/>
      <c r="R80" s="114" t="n"/>
      <c r="S80" s="110" t="n"/>
      <c r="T80" s="110" t="n"/>
      <c r="U80" s="115" t="n"/>
      <c r="V80" s="111" t="n"/>
      <c r="W80" s="102" t="n"/>
      <c r="X80" s="164" t="n"/>
      <c r="Y80" s="115" t="n"/>
      <c r="Z80" s="111" t="n"/>
      <c r="AA80" s="165" t="n"/>
      <c r="AB80" s="99" t="n"/>
      <c r="AC80" s="100" t="n"/>
      <c r="AD80" s="101" t="n"/>
      <c r="AE80" s="101" t="n"/>
      <c r="AF80" s="99" t="n"/>
      <c r="AG80" s="101" t="n"/>
      <c r="AH80" s="17" t="n"/>
      <c r="AI80" s="103" t="n"/>
    </row>
    <row r="81" ht="18.75" customHeight="1">
      <c r="B81" s="18" t="n"/>
      <c r="C81" s="166" t="n"/>
      <c r="D81" s="102" t="n"/>
      <c r="E81" s="102" t="n"/>
      <c r="F81" s="102" t="n"/>
      <c r="G81" s="102" t="n"/>
      <c r="H81" s="165" t="n"/>
      <c r="I81" s="102" t="n"/>
      <c r="J81" s="103" t="n"/>
      <c r="K81" s="115" t="n"/>
      <c r="L81" s="99" t="n"/>
      <c r="M81" s="100" t="n"/>
      <c r="N81" s="101" t="n"/>
      <c r="O81" s="101" t="n"/>
      <c r="P81" s="102" t="n"/>
      <c r="Q81" s="17" t="n"/>
      <c r="R81" s="114" t="n"/>
      <c r="S81" s="110" t="n"/>
      <c r="T81" s="110" t="n"/>
      <c r="U81" s="115" t="n"/>
      <c r="V81" s="111" t="n"/>
      <c r="W81" s="102" t="n"/>
      <c r="X81" s="164" t="n"/>
      <c r="Y81" s="115" t="n"/>
      <c r="Z81" s="111" t="n"/>
      <c r="AA81" s="165" t="n"/>
      <c r="AB81" s="99" t="n"/>
      <c r="AC81" s="100" t="n"/>
      <c r="AD81" s="101" t="n"/>
      <c r="AE81" s="101" t="n"/>
      <c r="AF81" s="99" t="n"/>
      <c r="AG81" s="101" t="n"/>
      <c r="AH81" s="17" t="n"/>
      <c r="AI81" s="103" t="n"/>
    </row>
    <row r="82" ht="18.75" customHeight="1">
      <c r="B82" s="18" t="n"/>
      <c r="C82" s="166" t="n"/>
      <c r="D82" s="102" t="n"/>
      <c r="E82" s="102" t="n"/>
      <c r="F82" s="102" t="n"/>
      <c r="G82" s="102" t="n"/>
      <c r="H82" s="165" t="n"/>
      <c r="I82" s="102" t="n"/>
      <c r="J82" s="103" t="n"/>
      <c r="K82" s="115" t="n"/>
      <c r="L82" s="99" t="n"/>
      <c r="M82" s="100" t="n"/>
      <c r="N82" s="101" t="n"/>
      <c r="O82" s="101" t="n"/>
      <c r="P82" s="102" t="n"/>
      <c r="Q82" s="17" t="n"/>
      <c r="R82" s="114" t="n"/>
      <c r="S82" s="110" t="n"/>
      <c r="T82" s="110" t="n"/>
      <c r="U82" s="115" t="n"/>
      <c r="V82" s="111" t="n"/>
      <c r="W82" s="102" t="n"/>
      <c r="X82" s="164" t="n"/>
      <c r="Y82" s="115" t="n"/>
      <c r="Z82" s="111" t="n"/>
      <c r="AA82" s="165" t="n"/>
      <c r="AB82" s="99" t="n"/>
      <c r="AC82" s="100" t="n"/>
      <c r="AD82" s="101" t="n"/>
      <c r="AE82" s="101" t="n"/>
      <c r="AF82" s="99" t="n"/>
      <c r="AG82" s="101" t="n"/>
      <c r="AH82" s="17" t="n"/>
      <c r="AI82" s="103" t="n"/>
    </row>
    <row r="83" ht="18.75" customHeight="1">
      <c r="B83" s="18" t="n"/>
      <c r="C83" s="166" t="n"/>
      <c r="D83" s="102" t="n"/>
      <c r="E83" s="102" t="n"/>
      <c r="F83" s="102" t="n"/>
      <c r="G83" s="102" t="n"/>
      <c r="H83" s="165" t="n"/>
      <c r="I83" s="102" t="n"/>
      <c r="J83" s="103" t="n"/>
      <c r="K83" s="115" t="n"/>
      <c r="L83" s="99" t="n"/>
      <c r="M83" s="100" t="n"/>
      <c r="N83" s="101" t="n"/>
      <c r="O83" s="101" t="n"/>
      <c r="P83" s="102" t="n"/>
      <c r="Q83" s="17" t="n"/>
      <c r="R83" s="114" t="n"/>
      <c r="S83" s="110" t="n"/>
      <c r="T83" s="110" t="n"/>
      <c r="U83" s="115" t="n"/>
      <c r="V83" s="111" t="n"/>
      <c r="W83" s="102" t="n"/>
      <c r="X83" s="164" t="n"/>
      <c r="Y83" s="115" t="n"/>
      <c r="Z83" s="111" t="n"/>
      <c r="AA83" s="165" t="n"/>
      <c r="AB83" s="99" t="n"/>
      <c r="AC83" s="100" t="n"/>
      <c r="AD83" s="101" t="n"/>
      <c r="AE83" s="101" t="n"/>
      <c r="AF83" s="99" t="n"/>
      <c r="AG83" s="101" t="n"/>
      <c r="AH83" s="17" t="n"/>
      <c r="AI83" s="103" t="n"/>
    </row>
    <row r="84" ht="18.75" customHeight="1">
      <c r="B84" s="18" t="n"/>
      <c r="C84" s="166" t="n"/>
      <c r="D84" s="102" t="n"/>
      <c r="E84" s="102" t="n"/>
      <c r="F84" s="102" t="n"/>
      <c r="G84" s="102" t="n"/>
      <c r="H84" s="165" t="n"/>
      <c r="I84" s="102" t="n"/>
      <c r="J84" s="103" t="n"/>
      <c r="K84" s="115" t="n"/>
      <c r="L84" s="99" t="n"/>
      <c r="M84" s="100" t="n"/>
      <c r="N84" s="101" t="n"/>
      <c r="O84" s="101" t="n"/>
      <c r="P84" s="102" t="n"/>
      <c r="Q84" s="17" t="n"/>
      <c r="R84" s="114" t="n"/>
      <c r="S84" s="110" t="n"/>
      <c r="T84" s="110" t="n"/>
      <c r="U84" s="115" t="n"/>
      <c r="V84" s="111" t="n"/>
      <c r="W84" s="102" t="n"/>
      <c r="X84" s="164" t="n"/>
      <c r="Y84" s="115" t="n"/>
      <c r="Z84" s="111" t="n"/>
      <c r="AA84" s="165" t="n"/>
      <c r="AB84" s="99" t="n"/>
      <c r="AC84" s="100" t="n"/>
      <c r="AD84" s="101" t="n"/>
      <c r="AE84" s="101" t="n"/>
      <c r="AF84" s="99" t="n"/>
      <c r="AG84" s="101" t="n"/>
      <c r="AH84" s="17" t="n"/>
      <c r="AI84" s="103" t="n"/>
    </row>
    <row r="85" ht="18.75" customHeight="1">
      <c r="B85" s="16" t="n"/>
      <c r="C85" s="166" t="n"/>
      <c r="D85" s="102" t="n"/>
      <c r="E85" s="102" t="n"/>
      <c r="F85" s="102" t="n"/>
      <c r="G85" s="102" t="n"/>
      <c r="H85" s="165" t="n"/>
      <c r="I85" s="102" t="n"/>
      <c r="J85" s="103" t="n"/>
      <c r="K85" s="115" t="n"/>
      <c r="L85" s="99" t="n"/>
      <c r="M85" s="100" t="n"/>
      <c r="N85" s="101" t="n"/>
      <c r="O85" s="101" t="n"/>
      <c r="P85" s="102" t="n"/>
      <c r="Q85" s="17" t="n"/>
      <c r="R85" s="114" t="n"/>
      <c r="S85" s="110" t="n"/>
      <c r="T85" s="110" t="n"/>
      <c r="U85" s="115" t="n"/>
      <c r="V85" s="111" t="n"/>
      <c r="W85" s="102" t="n"/>
      <c r="X85" s="164" t="n"/>
      <c r="Y85" s="115" t="n"/>
      <c r="Z85" s="111" t="n"/>
      <c r="AA85" s="165" t="n"/>
      <c r="AB85" s="99" t="n"/>
      <c r="AC85" s="100" t="n"/>
      <c r="AD85" s="101" t="n"/>
      <c r="AE85" s="101" t="n"/>
      <c r="AF85" s="99" t="n"/>
      <c r="AG85" s="101" t="n"/>
      <c r="AH85" s="17" t="n"/>
      <c r="AI85" s="103" t="n"/>
    </row>
    <row r="86" ht="18.75" customHeight="1">
      <c r="B86" s="18" t="n"/>
      <c r="C86" s="166" t="n"/>
      <c r="D86" s="102" t="n"/>
      <c r="E86" s="102" t="n"/>
      <c r="F86" s="102" t="n"/>
      <c r="G86" s="102" t="n"/>
      <c r="H86" s="165" t="n"/>
      <c r="I86" s="102" t="n"/>
      <c r="J86" s="103" t="n"/>
      <c r="K86" s="115" t="n"/>
      <c r="L86" s="99" t="n"/>
      <c r="M86" s="100" t="n"/>
      <c r="N86" s="101" t="n"/>
      <c r="O86" s="101" t="n"/>
      <c r="P86" s="102" t="n"/>
      <c r="Q86" s="17" t="n"/>
      <c r="R86" s="114" t="n"/>
      <c r="S86" s="110" t="n"/>
      <c r="T86" s="110" t="n"/>
      <c r="U86" s="115" t="n"/>
      <c r="V86" s="111" t="n"/>
      <c r="W86" s="102" t="n"/>
      <c r="X86" s="164" t="n"/>
      <c r="Y86" s="115" t="n"/>
      <c r="Z86" s="111" t="n"/>
      <c r="AA86" s="165" t="n"/>
      <c r="AB86" s="99" t="n"/>
      <c r="AC86" s="100" t="n"/>
      <c r="AD86" s="101" t="n"/>
      <c r="AE86" s="101" t="n"/>
      <c r="AF86" s="99" t="n"/>
      <c r="AG86" s="101" t="n"/>
      <c r="AH86" s="17" t="n"/>
      <c r="AI86" s="103" t="n"/>
    </row>
    <row r="87" ht="18.75" customHeight="1">
      <c r="B87" s="18" t="n"/>
      <c r="C87" s="166" t="n"/>
      <c r="D87" s="102" t="n"/>
      <c r="E87" s="102" t="n"/>
      <c r="F87" s="102" t="n"/>
      <c r="G87" s="102" t="n"/>
      <c r="H87" s="165" t="n"/>
      <c r="I87" s="102" t="n"/>
      <c r="J87" s="103" t="n"/>
      <c r="K87" s="115" t="n"/>
      <c r="L87" s="99" t="n"/>
      <c r="M87" s="100" t="n"/>
      <c r="N87" s="101" t="n"/>
      <c r="O87" s="101" t="n"/>
      <c r="P87" s="102" t="n"/>
      <c r="Q87" s="17" t="n"/>
      <c r="R87" s="114" t="n"/>
      <c r="S87" s="110" t="n"/>
      <c r="T87" s="110" t="n"/>
      <c r="U87" s="115" t="n"/>
      <c r="V87" s="111" t="n"/>
      <c r="W87" s="102" t="n"/>
      <c r="X87" s="164" t="n"/>
      <c r="Y87" s="115" t="n"/>
      <c r="Z87" s="111" t="n"/>
      <c r="AA87" s="165" t="n"/>
      <c r="AB87" s="99" t="n"/>
      <c r="AC87" s="100" t="n"/>
      <c r="AD87" s="101" t="n"/>
      <c r="AE87" s="101" t="n"/>
      <c r="AF87" s="99" t="n"/>
      <c r="AG87" s="101" t="n"/>
      <c r="AH87" s="17" t="n"/>
      <c r="AI87" s="103" t="n"/>
    </row>
    <row r="88" ht="18.75" customHeight="1">
      <c r="B88" s="18" t="n"/>
      <c r="C88" s="166" t="n"/>
      <c r="D88" s="102" t="n"/>
      <c r="E88" s="102" t="n"/>
      <c r="F88" s="102" t="n"/>
      <c r="G88" s="102" t="n"/>
      <c r="H88" s="165" t="n"/>
      <c r="I88" s="102" t="n"/>
      <c r="J88" s="103" t="n"/>
      <c r="K88" s="115" t="n"/>
      <c r="L88" s="99" t="n"/>
      <c r="M88" s="100" t="n"/>
      <c r="N88" s="101" t="n"/>
      <c r="O88" s="101" t="n"/>
      <c r="P88" s="102" t="n"/>
      <c r="Q88" s="17" t="n"/>
      <c r="R88" s="114" t="n"/>
      <c r="S88" s="110" t="n"/>
      <c r="T88" s="110" t="n"/>
      <c r="U88" s="115" t="n"/>
      <c r="V88" s="111" t="n"/>
      <c r="W88" s="102" t="n"/>
      <c r="X88" s="164" t="n"/>
      <c r="Y88" s="115" t="n"/>
      <c r="Z88" s="111" t="n"/>
      <c r="AA88" s="165" t="n"/>
      <c r="AB88" s="99" t="n"/>
      <c r="AC88" s="100" t="n"/>
      <c r="AD88" s="101" t="n"/>
      <c r="AE88" s="101" t="n"/>
      <c r="AF88" s="99" t="n"/>
      <c r="AG88" s="101" t="n"/>
      <c r="AH88" s="17" t="n"/>
      <c r="AI88" s="103" t="n"/>
    </row>
    <row r="89" ht="18.75" customHeight="1">
      <c r="B89" s="18" t="n"/>
      <c r="C89" s="166" t="n"/>
      <c r="D89" s="102" t="n"/>
      <c r="E89" s="102" t="n"/>
      <c r="F89" s="102" t="n"/>
      <c r="G89" s="102" t="n"/>
      <c r="H89" s="165" t="n"/>
      <c r="I89" s="102" t="n"/>
      <c r="J89" s="103" t="n"/>
      <c r="K89" s="115" t="n"/>
      <c r="L89" s="99" t="n"/>
      <c r="M89" s="100" t="n"/>
      <c r="N89" s="101" t="n"/>
      <c r="O89" s="101" t="n"/>
      <c r="P89" s="102" t="n"/>
      <c r="Q89" s="17" t="n"/>
      <c r="R89" s="114" t="n"/>
      <c r="S89" s="110" t="n"/>
      <c r="T89" s="110" t="n"/>
      <c r="U89" s="115" t="n"/>
      <c r="V89" s="111" t="n"/>
      <c r="W89" s="102" t="n"/>
      <c r="X89" s="164" t="n"/>
      <c r="Y89" s="115" t="n"/>
      <c r="Z89" s="111" t="n"/>
      <c r="AA89" s="165" t="n"/>
      <c r="AB89" s="99" t="n"/>
      <c r="AC89" s="100" t="n"/>
      <c r="AD89" s="101" t="n"/>
      <c r="AE89" s="101" t="n"/>
      <c r="AF89" s="99" t="n"/>
      <c r="AG89" s="101" t="n"/>
      <c r="AH89" s="17" t="n"/>
      <c r="AI89" s="103" t="n"/>
    </row>
    <row r="90" ht="18.75" customHeight="1">
      <c r="B90" s="16" t="n"/>
      <c r="C90" s="166" t="n"/>
      <c r="D90" s="102" t="n"/>
      <c r="E90" s="102" t="n"/>
      <c r="F90" s="102" t="n"/>
      <c r="G90" s="102" t="n"/>
      <c r="H90" s="165" t="n"/>
      <c r="I90" s="102" t="n"/>
      <c r="J90" s="103" t="n"/>
      <c r="K90" s="115" t="n"/>
      <c r="L90" s="99" t="n"/>
      <c r="M90" s="100" t="n"/>
      <c r="N90" s="101" t="n"/>
      <c r="O90" s="101" t="n"/>
      <c r="P90" s="102" t="n"/>
      <c r="Q90" s="17" t="n"/>
      <c r="R90" s="114" t="n"/>
      <c r="S90" s="110" t="n"/>
      <c r="T90" s="110" t="n"/>
      <c r="U90" s="115" t="n"/>
      <c r="V90" s="111" t="n"/>
      <c r="W90" s="102" t="n"/>
      <c r="X90" s="164" t="n"/>
      <c r="Y90" s="115" t="n"/>
      <c r="Z90" s="111" t="n"/>
      <c r="AA90" s="165" t="n"/>
      <c r="AB90" s="99" t="n"/>
      <c r="AC90" s="100" t="n"/>
      <c r="AD90" s="101" t="n"/>
      <c r="AE90" s="101" t="n"/>
      <c r="AF90" s="99" t="n"/>
      <c r="AG90" s="101" t="n"/>
      <c r="AH90" s="17" t="n"/>
      <c r="AI90" s="103" t="n"/>
    </row>
    <row r="91" ht="18.75" customHeight="1">
      <c r="B91" s="18" t="n"/>
      <c r="C91" s="166" t="n"/>
      <c r="D91" s="102" t="n"/>
      <c r="E91" s="102" t="n"/>
      <c r="F91" s="102" t="n"/>
      <c r="G91" s="102" t="n"/>
      <c r="H91" s="165" t="n"/>
      <c r="I91" s="102" t="n"/>
      <c r="J91" s="103" t="n"/>
      <c r="K91" s="115" t="n"/>
      <c r="L91" s="99" t="n"/>
      <c r="M91" s="100" t="n"/>
      <c r="N91" s="101" t="n"/>
      <c r="O91" s="101" t="n"/>
      <c r="P91" s="102" t="n"/>
      <c r="Q91" s="17" t="n"/>
      <c r="R91" s="114" t="n"/>
      <c r="S91" s="110" t="n"/>
      <c r="T91" s="110" t="n"/>
      <c r="U91" s="115" t="n"/>
      <c r="V91" s="111" t="n"/>
      <c r="W91" s="102" t="n"/>
      <c r="X91" s="164" t="n"/>
      <c r="Y91" s="115" t="n"/>
      <c r="Z91" s="111" t="n"/>
      <c r="AA91" s="165" t="n"/>
      <c r="AB91" s="99" t="n"/>
      <c r="AC91" s="100" t="n"/>
      <c r="AD91" s="101" t="n"/>
      <c r="AE91" s="101" t="n"/>
      <c r="AF91" s="99" t="n"/>
      <c r="AG91" s="101" t="n"/>
      <c r="AH91" s="17" t="n"/>
      <c r="AI91" s="103" t="n"/>
    </row>
    <row r="92" ht="18.75" customHeight="1">
      <c r="B92" s="18" t="n"/>
      <c r="C92" s="166" t="n"/>
      <c r="D92" s="102" t="n"/>
      <c r="E92" s="102" t="n"/>
      <c r="F92" s="102" t="n"/>
      <c r="G92" s="102" t="n"/>
      <c r="H92" s="165" t="n"/>
      <c r="I92" s="102" t="n"/>
      <c r="J92" s="103" t="n"/>
      <c r="K92" s="115" t="n"/>
      <c r="L92" s="99" t="n"/>
      <c r="M92" s="100" t="n"/>
      <c r="N92" s="101" t="n"/>
      <c r="O92" s="101" t="n"/>
      <c r="P92" s="102" t="n"/>
      <c r="Q92" s="17" t="n"/>
      <c r="R92" s="114" t="n"/>
      <c r="S92" s="110" t="n"/>
      <c r="T92" s="110" t="n"/>
      <c r="U92" s="115" t="n"/>
      <c r="V92" s="111" t="n"/>
      <c r="W92" s="102" t="n"/>
      <c r="X92" s="164" t="n"/>
      <c r="Y92" s="115" t="n"/>
      <c r="Z92" s="111" t="n"/>
      <c r="AA92" s="165" t="n"/>
      <c r="AB92" s="99" t="n"/>
      <c r="AC92" s="100" t="n"/>
      <c r="AD92" s="101" t="n"/>
      <c r="AE92" s="101" t="n"/>
      <c r="AF92" s="99" t="n"/>
      <c r="AG92" s="101" t="n"/>
      <c r="AH92" s="17" t="n"/>
      <c r="AI92" s="103" t="n"/>
    </row>
    <row r="93" ht="18.75" customHeight="1">
      <c r="B93" s="18" t="n"/>
      <c r="C93" s="166" t="n"/>
      <c r="D93" s="102" t="n"/>
      <c r="E93" s="102" t="n"/>
      <c r="F93" s="102" t="n"/>
      <c r="G93" s="102" t="n"/>
      <c r="H93" s="165" t="n"/>
      <c r="I93" s="102" t="n"/>
      <c r="J93" s="103" t="n"/>
      <c r="K93" s="115" t="n"/>
      <c r="L93" s="99" t="n"/>
      <c r="M93" s="100" t="n"/>
      <c r="N93" s="101" t="n"/>
      <c r="O93" s="101" t="n"/>
      <c r="P93" s="102" t="n"/>
      <c r="Q93" s="17" t="n"/>
      <c r="R93" s="114" t="n"/>
      <c r="S93" s="110" t="n"/>
      <c r="T93" s="110" t="n"/>
      <c r="U93" s="115" t="n"/>
      <c r="V93" s="111" t="n"/>
      <c r="W93" s="102" t="n"/>
      <c r="X93" s="164" t="n"/>
      <c r="Y93" s="115" t="n"/>
      <c r="Z93" s="111" t="n"/>
      <c r="AA93" s="165" t="n"/>
      <c r="AB93" s="99" t="n"/>
      <c r="AC93" s="100" t="n"/>
      <c r="AD93" s="101" t="n"/>
      <c r="AE93" s="101" t="n"/>
      <c r="AF93" s="99" t="n"/>
      <c r="AG93" s="101" t="n"/>
      <c r="AH93" s="17" t="n"/>
      <c r="AI93" s="103" t="n"/>
    </row>
    <row r="94" ht="18.75" customHeight="1">
      <c r="B94" s="18" t="n"/>
      <c r="C94" s="166" t="n"/>
      <c r="D94" s="102" t="n"/>
      <c r="E94" s="102" t="n"/>
      <c r="F94" s="102" t="n"/>
      <c r="G94" s="102" t="n"/>
      <c r="H94" s="165" t="n"/>
      <c r="I94" s="102" t="n"/>
      <c r="J94" s="103" t="n"/>
      <c r="K94" s="115" t="n"/>
      <c r="L94" s="99" t="n"/>
      <c r="M94" s="100" t="n"/>
      <c r="N94" s="101" t="n"/>
      <c r="O94" s="101" t="n"/>
      <c r="P94" s="102" t="n"/>
      <c r="Q94" s="17" t="n"/>
      <c r="R94" s="114" t="n"/>
      <c r="S94" s="110" t="n"/>
      <c r="T94" s="110" t="n"/>
      <c r="U94" s="115" t="n"/>
      <c r="V94" s="111" t="n"/>
      <c r="W94" s="102" t="n"/>
      <c r="X94" s="164" t="n"/>
      <c r="Y94" s="115" t="n"/>
      <c r="Z94" s="111" t="n"/>
      <c r="AA94" s="165" t="n"/>
      <c r="AB94" s="99" t="n"/>
      <c r="AC94" s="100" t="n"/>
      <c r="AD94" s="101" t="n"/>
      <c r="AE94" s="101" t="n"/>
      <c r="AF94" s="99" t="n"/>
      <c r="AG94" s="101" t="n"/>
      <c r="AH94" s="17" t="n"/>
      <c r="AI94" s="103" t="n"/>
    </row>
    <row r="95" ht="18.75" customHeight="1">
      <c r="B95" s="18" t="n"/>
      <c r="C95" s="166" t="n"/>
      <c r="D95" s="102" t="n"/>
      <c r="E95" s="102" t="n"/>
      <c r="F95" s="102" t="n"/>
      <c r="G95" s="102" t="n"/>
      <c r="H95" s="165" t="n"/>
      <c r="I95" s="102" t="n"/>
      <c r="J95" s="103" t="n"/>
      <c r="K95" s="115" t="n"/>
      <c r="L95" s="99" t="n"/>
      <c r="M95" s="100" t="n"/>
      <c r="N95" s="101" t="n"/>
      <c r="O95" s="101" t="n"/>
      <c r="P95" s="102" t="n"/>
      <c r="Q95" s="17" t="n"/>
      <c r="R95" s="114" t="n"/>
      <c r="S95" s="110" t="n"/>
      <c r="T95" s="110" t="n"/>
      <c r="U95" s="115" t="n"/>
      <c r="V95" s="111" t="n"/>
      <c r="W95" s="102" t="n"/>
      <c r="X95" s="164" t="n"/>
      <c r="Y95" s="115" t="n"/>
      <c r="Z95" s="111" t="n"/>
      <c r="AA95" s="165" t="n"/>
      <c r="AB95" s="99" t="n"/>
      <c r="AC95" s="100" t="n"/>
      <c r="AD95" s="101" t="n"/>
      <c r="AE95" s="101" t="n"/>
      <c r="AF95" s="99" t="n"/>
      <c r="AG95" s="101" t="n"/>
      <c r="AH95" s="17" t="n"/>
      <c r="AI95" s="103" t="n"/>
    </row>
    <row r="96" ht="18.75" customHeight="1">
      <c r="B96" s="16" t="n"/>
      <c r="C96" s="166" t="n"/>
      <c r="D96" s="102" t="n"/>
      <c r="E96" s="102" t="n"/>
      <c r="F96" s="102" t="n"/>
      <c r="G96" s="102" t="n"/>
      <c r="H96" s="165" t="n"/>
      <c r="I96" s="102" t="n"/>
      <c r="J96" s="103" t="n"/>
      <c r="K96" s="115" t="n"/>
      <c r="L96" s="99" t="n"/>
      <c r="M96" s="100" t="n"/>
      <c r="N96" s="101" t="n"/>
      <c r="O96" s="101" t="n"/>
      <c r="P96" s="102" t="n"/>
      <c r="Q96" s="17" t="n"/>
      <c r="R96" s="114" t="n"/>
      <c r="S96" s="110" t="n"/>
      <c r="T96" s="110" t="n"/>
      <c r="U96" s="115" t="n"/>
      <c r="V96" s="111" t="n"/>
      <c r="W96" s="102" t="n"/>
      <c r="X96" s="164" t="n"/>
      <c r="Y96" s="115" t="n"/>
      <c r="Z96" s="111" t="n"/>
      <c r="AA96" s="165" t="n"/>
      <c r="AB96" s="99" t="n"/>
      <c r="AC96" s="100" t="n"/>
      <c r="AD96" s="101" t="n"/>
      <c r="AE96" s="101" t="n"/>
      <c r="AF96" s="99" t="n"/>
      <c r="AG96" s="101" t="n"/>
      <c r="AH96" s="17" t="n"/>
      <c r="AI96" s="103" t="n"/>
    </row>
    <row r="97" ht="18.75" customHeight="1">
      <c r="B97" s="18" t="n"/>
      <c r="C97" s="166" t="n"/>
      <c r="D97" s="102" t="n"/>
      <c r="E97" s="102" t="n"/>
      <c r="F97" s="102" t="n"/>
      <c r="G97" s="102" t="n"/>
      <c r="H97" s="165" t="n"/>
      <c r="I97" s="102" t="n"/>
      <c r="J97" s="103" t="n"/>
      <c r="K97" s="115" t="n"/>
      <c r="L97" s="99" t="n"/>
      <c r="M97" s="100" t="n"/>
      <c r="N97" s="101" t="n"/>
      <c r="O97" s="101" t="n"/>
      <c r="P97" s="102" t="n"/>
      <c r="Q97" s="17" t="n"/>
      <c r="R97" s="114" t="n"/>
      <c r="S97" s="110" t="n"/>
      <c r="T97" s="110" t="n"/>
      <c r="U97" s="115" t="n"/>
      <c r="V97" s="111" t="n"/>
      <c r="W97" s="102" t="n"/>
      <c r="X97" s="164" t="n"/>
      <c r="Y97" s="115" t="n"/>
      <c r="Z97" s="111" t="n"/>
      <c r="AA97" s="165" t="n"/>
      <c r="AB97" s="99" t="n"/>
      <c r="AC97" s="100" t="n"/>
      <c r="AD97" s="101" t="n"/>
      <c r="AE97" s="101" t="n"/>
      <c r="AF97" s="99" t="n"/>
      <c r="AG97" s="101" t="n"/>
      <c r="AH97" s="17" t="n"/>
      <c r="AI97" s="103" t="n"/>
    </row>
    <row r="98" ht="18.75" customHeight="1">
      <c r="B98" s="18" t="n"/>
      <c r="C98" s="166" t="n"/>
      <c r="D98" s="102" t="n"/>
      <c r="E98" s="102" t="n"/>
      <c r="F98" s="102" t="n"/>
      <c r="G98" s="102" t="n"/>
      <c r="H98" s="165" t="n"/>
      <c r="I98" s="102" t="n"/>
      <c r="J98" s="103" t="n"/>
      <c r="K98" s="115" t="n"/>
      <c r="L98" s="99" t="n"/>
      <c r="M98" s="100" t="n"/>
      <c r="N98" s="101" t="n"/>
      <c r="O98" s="101" t="n"/>
      <c r="P98" s="102" t="n"/>
      <c r="Q98" s="17" t="n"/>
      <c r="R98" s="114" t="n"/>
      <c r="S98" s="110" t="n"/>
      <c r="T98" s="110" t="n"/>
      <c r="U98" s="115" t="n"/>
      <c r="V98" s="111" t="n"/>
      <c r="W98" s="102" t="n"/>
      <c r="X98" s="164" t="n"/>
      <c r="Y98" s="115" t="n"/>
      <c r="Z98" s="111" t="n"/>
      <c r="AA98" s="165" t="n"/>
      <c r="AB98" s="99" t="n"/>
      <c r="AC98" s="100" t="n"/>
      <c r="AD98" s="101" t="n"/>
      <c r="AE98" s="101" t="n"/>
      <c r="AF98" s="99" t="n"/>
      <c r="AG98" s="101" t="n"/>
      <c r="AH98" s="17" t="n"/>
      <c r="AI98" s="103" t="n"/>
    </row>
    <row r="99" ht="18.75" customHeight="1">
      <c r="B99" s="18" t="n"/>
      <c r="C99" s="166" t="n"/>
      <c r="D99" s="102" t="n"/>
      <c r="E99" s="102" t="n"/>
      <c r="F99" s="102" t="n"/>
      <c r="G99" s="102" t="n"/>
      <c r="H99" s="165" t="n"/>
      <c r="I99" s="102" t="n"/>
      <c r="J99" s="103" t="n"/>
      <c r="K99" s="115" t="n"/>
      <c r="L99" s="99" t="n"/>
      <c r="M99" s="100" t="n"/>
      <c r="N99" s="101" t="n"/>
      <c r="O99" s="101" t="n"/>
      <c r="P99" s="102" t="n"/>
      <c r="Q99" s="17" t="n"/>
      <c r="R99" s="114" t="n"/>
      <c r="S99" s="110" t="n"/>
      <c r="T99" s="110" t="n"/>
      <c r="U99" s="115" t="n"/>
      <c r="V99" s="111" t="n"/>
      <c r="W99" s="102" t="n"/>
      <c r="X99" s="164" t="n"/>
      <c r="Y99" s="115" t="n"/>
      <c r="Z99" s="111" t="n"/>
      <c r="AA99" s="165" t="n"/>
      <c r="AB99" s="99" t="n"/>
      <c r="AC99" s="100" t="n"/>
      <c r="AD99" s="101" t="n"/>
      <c r="AE99" s="101" t="n"/>
      <c r="AF99" s="99" t="n"/>
      <c r="AG99" s="101" t="n"/>
      <c r="AH99" s="17" t="n"/>
      <c r="AI99" s="103" t="n"/>
    </row>
    <row r="100" ht="18.75" customHeight="1">
      <c r="B100" s="18" t="n"/>
      <c r="C100" s="166" t="n"/>
      <c r="D100" s="102" t="n"/>
      <c r="E100" s="102" t="n"/>
      <c r="F100" s="102" t="n"/>
      <c r="G100" s="102" t="n"/>
      <c r="H100" s="165" t="n"/>
      <c r="I100" s="102" t="n"/>
      <c r="J100" s="103" t="n"/>
      <c r="K100" s="115" t="n"/>
      <c r="L100" s="99" t="n"/>
      <c r="M100" s="100" t="n"/>
      <c r="N100" s="101" t="n"/>
      <c r="O100" s="101" t="n"/>
      <c r="P100" s="102" t="n"/>
      <c r="Q100" s="17" t="n"/>
      <c r="R100" s="114" t="n"/>
      <c r="S100" s="110" t="n"/>
      <c r="T100" s="110" t="n"/>
      <c r="U100" s="115" t="n"/>
      <c r="V100" s="111" t="n"/>
      <c r="W100" s="102" t="n"/>
      <c r="X100" s="164" t="n"/>
      <c r="Y100" s="115" t="n"/>
      <c r="Z100" s="111" t="n"/>
      <c r="AA100" s="165" t="n"/>
      <c r="AB100" s="99" t="n"/>
      <c r="AC100" s="100" t="n"/>
      <c r="AD100" s="101" t="n"/>
      <c r="AE100" s="101" t="n"/>
      <c r="AF100" s="99" t="n"/>
      <c r="AG100" s="101" t="n"/>
      <c r="AH100" s="17" t="n"/>
      <c r="AI100" s="103" t="n"/>
    </row>
    <row r="101" ht="18.75" customHeight="1">
      <c r="B101" s="18" t="n"/>
      <c r="C101" s="166" t="n"/>
      <c r="D101" s="102" t="n"/>
      <c r="E101" s="102" t="n"/>
      <c r="F101" s="102" t="n"/>
      <c r="G101" s="102" t="n"/>
      <c r="H101" s="165" t="n"/>
      <c r="I101" s="102" t="n"/>
      <c r="J101" s="103" t="n"/>
      <c r="K101" s="115" t="n"/>
      <c r="L101" s="99" t="n"/>
      <c r="M101" s="100" t="n"/>
      <c r="N101" s="101" t="n"/>
      <c r="O101" s="101" t="n"/>
      <c r="P101" s="102" t="n"/>
      <c r="Q101" s="17" t="n"/>
      <c r="R101" s="114" t="n"/>
      <c r="S101" s="110" t="n"/>
      <c r="T101" s="110" t="n"/>
      <c r="U101" s="115" t="n"/>
      <c r="V101" s="111" t="n"/>
      <c r="W101" s="102" t="n"/>
      <c r="X101" s="164" t="n"/>
      <c r="Y101" s="115" t="n"/>
      <c r="Z101" s="111" t="n"/>
      <c r="AA101" s="165" t="n"/>
      <c r="AB101" s="99" t="n"/>
      <c r="AC101" s="100" t="n"/>
      <c r="AD101" s="101" t="n"/>
      <c r="AE101" s="101" t="n"/>
      <c r="AF101" s="99" t="n"/>
      <c r="AG101" s="101" t="n"/>
      <c r="AH101" s="17" t="n"/>
      <c r="AI101" s="103" t="n"/>
    </row>
    <row r="102" ht="18.75" customHeight="1">
      <c r="B102" s="16" t="n"/>
      <c r="C102" s="166" t="n"/>
      <c r="D102" s="102" t="n"/>
      <c r="E102" s="102" t="n"/>
      <c r="F102" s="102" t="n"/>
      <c r="G102" s="102" t="n"/>
      <c r="H102" s="165" t="n"/>
      <c r="I102" s="102" t="n"/>
      <c r="J102" s="103" t="n"/>
      <c r="K102" s="115" t="n"/>
      <c r="L102" s="99" t="n"/>
      <c r="M102" s="100" t="n"/>
      <c r="N102" s="101" t="n"/>
      <c r="O102" s="101" t="n"/>
      <c r="P102" s="102" t="n"/>
      <c r="Q102" s="17" t="n"/>
      <c r="R102" s="114" t="n"/>
      <c r="S102" s="110" t="n"/>
      <c r="T102" s="110" t="n"/>
      <c r="U102" s="115" t="n"/>
      <c r="V102" s="111" t="n"/>
      <c r="W102" s="102" t="n"/>
      <c r="X102" s="164" t="n"/>
      <c r="Y102" s="115" t="n"/>
      <c r="Z102" s="111" t="n"/>
      <c r="AA102" s="165" t="n"/>
      <c r="AB102" s="99" t="n"/>
      <c r="AC102" s="100" t="n"/>
      <c r="AD102" s="101" t="n"/>
      <c r="AE102" s="101" t="n"/>
      <c r="AF102" s="99" t="n"/>
      <c r="AG102" s="101" t="n"/>
      <c r="AH102" s="17" t="n"/>
      <c r="AI102" s="103" t="n"/>
    </row>
    <row r="103" ht="18.75" customHeight="1">
      <c r="B103" s="18" t="n"/>
      <c r="C103" s="166" t="n"/>
      <c r="D103" s="102" t="n"/>
      <c r="E103" s="102" t="n"/>
      <c r="F103" s="102" t="n"/>
      <c r="G103" s="102" t="n"/>
      <c r="H103" s="165" t="n"/>
      <c r="I103" s="102" t="n"/>
      <c r="J103" s="103" t="n"/>
      <c r="K103" s="115" t="n"/>
      <c r="L103" s="99" t="n"/>
      <c r="M103" s="100" t="n"/>
      <c r="N103" s="101" t="n"/>
      <c r="O103" s="101" t="n"/>
      <c r="P103" s="102" t="n"/>
      <c r="Q103" s="17" t="n"/>
      <c r="R103" s="114" t="n"/>
      <c r="S103" s="110" t="n"/>
      <c r="T103" s="110" t="n"/>
      <c r="U103" s="115" t="n"/>
      <c r="V103" s="111" t="n"/>
      <c r="W103" s="102" t="n"/>
      <c r="X103" s="164" t="n"/>
      <c r="Y103" s="115" t="n"/>
      <c r="Z103" s="111" t="n"/>
      <c r="AA103" s="165" t="n"/>
      <c r="AB103" s="99" t="n"/>
      <c r="AC103" s="100" t="n"/>
      <c r="AD103" s="101" t="n"/>
      <c r="AE103" s="101" t="n"/>
      <c r="AF103" s="99" t="n"/>
      <c r="AG103" s="101" t="n"/>
      <c r="AH103" s="17" t="n"/>
      <c r="AI103" s="103" t="n"/>
    </row>
    <row r="104" ht="18.75" customHeight="1">
      <c r="B104" s="18" t="n"/>
      <c r="C104" s="166" t="n"/>
      <c r="D104" s="102" t="n"/>
      <c r="E104" s="102" t="n"/>
      <c r="F104" s="102" t="n"/>
      <c r="G104" s="102" t="n"/>
      <c r="H104" s="165" t="n"/>
      <c r="I104" s="102" t="n"/>
      <c r="J104" s="103" t="n"/>
      <c r="K104" s="115" t="n"/>
      <c r="L104" s="99" t="n"/>
      <c r="M104" s="100" t="n"/>
      <c r="N104" s="101" t="n"/>
      <c r="O104" s="101" t="n"/>
      <c r="P104" s="102" t="n"/>
      <c r="Q104" s="17" t="n"/>
      <c r="R104" s="114" t="n"/>
      <c r="S104" s="110" t="n"/>
      <c r="T104" s="110" t="n"/>
      <c r="U104" s="115" t="n"/>
      <c r="V104" s="111" t="n"/>
      <c r="W104" s="102" t="n"/>
      <c r="X104" s="164" t="n"/>
      <c r="Y104" s="115" t="n"/>
      <c r="Z104" s="111" t="n"/>
      <c r="AA104" s="165" t="n"/>
      <c r="AB104" s="99" t="n"/>
      <c r="AC104" s="100" t="n"/>
      <c r="AD104" s="101" t="n"/>
      <c r="AE104" s="101" t="n"/>
      <c r="AF104" s="99" t="n"/>
      <c r="AG104" s="101" t="n"/>
      <c r="AH104" s="17" t="n"/>
      <c r="AI104" s="103" t="n"/>
    </row>
    <row r="105" ht="18.75" customHeight="1">
      <c r="B105" s="18" t="n"/>
      <c r="C105" s="166" t="n"/>
      <c r="D105" s="102" t="n"/>
      <c r="E105" s="102" t="n"/>
      <c r="F105" s="102" t="n"/>
      <c r="G105" s="102" t="n"/>
      <c r="H105" s="165" t="n"/>
      <c r="I105" s="102" t="n"/>
      <c r="J105" s="103" t="n"/>
      <c r="K105" s="115" t="n"/>
      <c r="L105" s="99" t="n"/>
      <c r="M105" s="100" t="n"/>
      <c r="N105" s="101" t="n"/>
      <c r="O105" s="101" t="n"/>
      <c r="P105" s="102" t="n"/>
      <c r="Q105" s="17" t="n"/>
      <c r="R105" s="114" t="n"/>
      <c r="S105" s="110" t="n"/>
      <c r="T105" s="110" t="n"/>
      <c r="U105" s="115" t="n"/>
      <c r="V105" s="111" t="n"/>
      <c r="W105" s="102" t="n"/>
      <c r="X105" s="164" t="n"/>
      <c r="Y105" s="115" t="n"/>
      <c r="Z105" s="111" t="n"/>
      <c r="AA105" s="165" t="n"/>
      <c r="AB105" s="99" t="n"/>
      <c r="AC105" s="100" t="n"/>
      <c r="AD105" s="101" t="n"/>
      <c r="AE105" s="101" t="n"/>
      <c r="AF105" s="99" t="n"/>
      <c r="AG105" s="101" t="n"/>
      <c r="AH105" s="17" t="n"/>
      <c r="AI105" s="103" t="n"/>
    </row>
    <row r="106" ht="18.75" customHeight="1">
      <c r="B106" s="18" t="n"/>
      <c r="C106" s="166" t="n"/>
      <c r="D106" s="102" t="n"/>
      <c r="E106" s="102" t="n"/>
      <c r="F106" s="102" t="n"/>
      <c r="G106" s="102" t="n"/>
      <c r="H106" s="165" t="n"/>
      <c r="I106" s="102" t="n"/>
      <c r="J106" s="103" t="n"/>
      <c r="K106" s="115" t="n"/>
      <c r="L106" s="99" t="n"/>
      <c r="M106" s="100" t="n"/>
      <c r="N106" s="101" t="n"/>
      <c r="O106" s="101" t="n"/>
      <c r="P106" s="102" t="n"/>
      <c r="Q106" s="17" t="n"/>
      <c r="R106" s="114" t="n"/>
      <c r="S106" s="110" t="n"/>
      <c r="T106" s="110" t="n"/>
      <c r="U106" s="115" t="n"/>
      <c r="V106" s="111" t="n"/>
      <c r="W106" s="102" t="n"/>
      <c r="X106" s="164" t="n"/>
      <c r="Y106" s="115" t="n"/>
      <c r="Z106" s="111" t="n"/>
      <c r="AA106" s="165" t="n"/>
      <c r="AB106" s="99" t="n"/>
      <c r="AC106" s="100" t="n"/>
      <c r="AD106" s="101" t="n"/>
      <c r="AE106" s="101" t="n"/>
      <c r="AF106" s="99" t="n"/>
      <c r="AG106" s="101" t="n"/>
      <c r="AH106" s="17" t="n"/>
      <c r="AI106" s="103" t="n"/>
    </row>
    <row r="107" ht="18.75" customHeight="1">
      <c r="B107" s="16" t="n"/>
      <c r="C107" s="166" t="n"/>
      <c r="D107" s="102" t="n"/>
      <c r="E107" s="102" t="n"/>
      <c r="F107" s="102" t="n"/>
      <c r="G107" s="102" t="n"/>
      <c r="H107" s="165" t="n"/>
      <c r="I107" s="102" t="n"/>
      <c r="J107" s="103" t="n"/>
      <c r="K107" s="115" t="n"/>
      <c r="L107" s="99" t="n"/>
      <c r="M107" s="100" t="n"/>
      <c r="N107" s="101" t="n"/>
      <c r="O107" s="101" t="n"/>
      <c r="P107" s="102" t="n"/>
      <c r="Q107" s="17" t="n"/>
      <c r="R107" s="114" t="n"/>
      <c r="S107" s="110" t="n"/>
      <c r="T107" s="110" t="n"/>
      <c r="U107" s="115" t="n"/>
      <c r="V107" s="111" t="n"/>
      <c r="W107" s="102" t="n"/>
      <c r="X107" s="164" t="n"/>
      <c r="Y107" s="115" t="n"/>
      <c r="Z107" s="111" t="n"/>
      <c r="AA107" s="165" t="n"/>
      <c r="AB107" s="99" t="n"/>
      <c r="AC107" s="100" t="n"/>
      <c r="AD107" s="101" t="n"/>
      <c r="AE107" s="101" t="n"/>
      <c r="AF107" s="99" t="n"/>
      <c r="AG107" s="101" t="n"/>
      <c r="AH107" s="17" t="n"/>
      <c r="AI107" s="103" t="n"/>
    </row>
    <row r="108" ht="18.75" customHeight="1">
      <c r="B108" s="18" t="n"/>
      <c r="C108" s="166" t="n"/>
      <c r="D108" s="102" t="n"/>
      <c r="E108" s="102" t="n"/>
      <c r="F108" s="102" t="n"/>
      <c r="G108" s="102" t="n"/>
      <c r="H108" s="165" t="n"/>
      <c r="I108" s="102" t="n"/>
      <c r="J108" s="103" t="n"/>
      <c r="K108" s="115" t="n"/>
      <c r="L108" s="99" t="n"/>
      <c r="M108" s="100" t="n"/>
      <c r="N108" s="101" t="n"/>
      <c r="O108" s="101" t="n"/>
      <c r="P108" s="102" t="n"/>
      <c r="Q108" s="17" t="n"/>
      <c r="R108" s="114" t="n"/>
      <c r="S108" s="110" t="n"/>
      <c r="T108" s="110" t="n"/>
      <c r="U108" s="115" t="n"/>
      <c r="V108" s="111" t="n"/>
      <c r="W108" s="102" t="n"/>
      <c r="X108" s="164" t="n"/>
      <c r="Y108" s="115" t="n"/>
      <c r="Z108" s="111" t="n"/>
      <c r="AA108" s="165" t="n"/>
      <c r="AB108" s="99" t="n"/>
      <c r="AC108" s="100" t="n"/>
      <c r="AD108" s="101" t="n"/>
      <c r="AE108" s="101" t="n"/>
      <c r="AF108" s="99" t="n"/>
      <c r="AG108" s="101" t="n"/>
      <c r="AH108" s="17" t="n"/>
      <c r="AI108" s="103" t="n"/>
    </row>
    <row r="109" ht="18.75" customHeight="1">
      <c r="B109" s="18" t="n"/>
      <c r="C109" s="166" t="n"/>
      <c r="D109" s="102" t="n"/>
      <c r="E109" s="102" t="n"/>
      <c r="F109" s="102" t="n"/>
      <c r="G109" s="102" t="n"/>
      <c r="H109" s="165" t="n"/>
      <c r="I109" s="102" t="n"/>
      <c r="J109" s="103" t="n"/>
      <c r="K109" s="115" t="n"/>
      <c r="L109" s="99" t="n"/>
      <c r="M109" s="100" t="n"/>
      <c r="N109" s="101" t="n"/>
      <c r="O109" s="101" t="n"/>
      <c r="P109" s="102" t="n"/>
      <c r="Q109" s="17" t="n"/>
      <c r="R109" s="114" t="n"/>
      <c r="S109" s="110" t="n"/>
      <c r="T109" s="110" t="n"/>
      <c r="U109" s="115" t="n"/>
      <c r="V109" s="111" t="n"/>
      <c r="W109" s="102" t="n"/>
      <c r="X109" s="164" t="n"/>
      <c r="Y109" s="115" t="n"/>
      <c r="Z109" s="111" t="n"/>
      <c r="AA109" s="165" t="n"/>
      <c r="AB109" s="99" t="n"/>
      <c r="AC109" s="100" t="n"/>
      <c r="AD109" s="101" t="n"/>
      <c r="AE109" s="101" t="n"/>
      <c r="AF109" s="99" t="n"/>
      <c r="AG109" s="101" t="n"/>
      <c r="AH109" s="17" t="n"/>
      <c r="AI109" s="103" t="n"/>
    </row>
    <row r="110" ht="18.75" customHeight="1">
      <c r="B110" s="18" t="n"/>
      <c r="C110" s="166" t="n"/>
      <c r="D110" s="102" t="n"/>
      <c r="E110" s="102" t="n"/>
      <c r="F110" s="102" t="n"/>
      <c r="G110" s="102" t="n"/>
      <c r="H110" s="165" t="n"/>
      <c r="I110" s="102" t="n"/>
      <c r="J110" s="103" t="n"/>
      <c r="K110" s="115" t="n"/>
      <c r="L110" s="99" t="n"/>
      <c r="M110" s="100" t="n"/>
      <c r="N110" s="101" t="n"/>
      <c r="O110" s="101" t="n"/>
      <c r="P110" s="102" t="n"/>
      <c r="Q110" s="17" t="n"/>
      <c r="R110" s="114" t="n"/>
      <c r="S110" s="110" t="n"/>
      <c r="T110" s="110" t="n"/>
      <c r="U110" s="115" t="n"/>
      <c r="V110" s="111" t="n"/>
      <c r="W110" s="102" t="n"/>
      <c r="X110" s="164" t="n"/>
      <c r="Y110" s="115" t="n"/>
      <c r="Z110" s="111" t="n"/>
      <c r="AA110" s="165" t="n"/>
      <c r="AB110" s="99" t="n"/>
      <c r="AC110" s="100" t="n"/>
      <c r="AD110" s="101" t="n"/>
      <c r="AE110" s="101" t="n"/>
      <c r="AF110" s="99" t="n"/>
      <c r="AG110" s="101" t="n"/>
      <c r="AH110" s="17" t="n"/>
      <c r="AI110" s="103" t="n"/>
    </row>
    <row r="111" ht="18.75" customHeight="1">
      <c r="B111" s="18" t="n"/>
      <c r="C111" s="166" t="n"/>
      <c r="D111" s="102" t="n"/>
      <c r="E111" s="102" t="n"/>
      <c r="F111" s="102" t="n"/>
      <c r="G111" s="102" t="n"/>
      <c r="H111" s="165" t="n"/>
      <c r="I111" s="102" t="n"/>
      <c r="J111" s="103" t="n"/>
      <c r="K111" s="115" t="n"/>
      <c r="L111" s="99" t="n"/>
      <c r="M111" s="100" t="n"/>
      <c r="N111" s="101" t="n"/>
      <c r="O111" s="101" t="n"/>
      <c r="P111" s="102" t="n"/>
      <c r="Q111" s="17" t="n"/>
      <c r="R111" s="114" t="n"/>
      <c r="S111" s="110" t="n"/>
      <c r="T111" s="110" t="n"/>
      <c r="U111" s="115" t="n"/>
      <c r="V111" s="111" t="n"/>
      <c r="W111" s="102" t="n"/>
      <c r="X111" s="164" t="n"/>
      <c r="Y111" s="115" t="n"/>
      <c r="Z111" s="111" t="n"/>
      <c r="AA111" s="165" t="n"/>
      <c r="AB111" s="99" t="n"/>
      <c r="AC111" s="100" t="n"/>
      <c r="AD111" s="101" t="n"/>
      <c r="AE111" s="101" t="n"/>
      <c r="AF111" s="99" t="n"/>
      <c r="AG111" s="101" t="n"/>
      <c r="AH111" s="17" t="n"/>
      <c r="AI111" s="103" t="n"/>
    </row>
    <row r="112" ht="18.75" customHeight="1">
      <c r="B112" s="18" t="n"/>
      <c r="C112" s="166" t="n"/>
      <c r="D112" s="102" t="n"/>
      <c r="E112" s="102" t="n"/>
      <c r="F112" s="102" t="n"/>
      <c r="G112" s="102" t="n"/>
      <c r="H112" s="165" t="n"/>
      <c r="I112" s="102" t="n"/>
      <c r="J112" s="103" t="n"/>
      <c r="K112" s="115" t="n"/>
      <c r="L112" s="99" t="n"/>
      <c r="M112" s="100" t="n"/>
      <c r="N112" s="101" t="n"/>
      <c r="O112" s="101" t="n"/>
      <c r="P112" s="102" t="n"/>
      <c r="Q112" s="17" t="n"/>
      <c r="R112" s="114" t="n"/>
      <c r="S112" s="110" t="n"/>
      <c r="T112" s="110" t="n"/>
      <c r="U112" s="115" t="n"/>
      <c r="V112" s="111" t="n"/>
      <c r="W112" s="102" t="n"/>
      <c r="X112" s="164" t="n"/>
      <c r="Y112" s="115" t="n"/>
      <c r="Z112" s="111" t="n"/>
      <c r="AA112" s="165" t="n"/>
      <c r="AB112" s="99" t="n"/>
      <c r="AC112" s="100" t="n"/>
      <c r="AD112" s="101" t="n"/>
      <c r="AE112" s="101" t="n"/>
      <c r="AF112" s="99" t="n"/>
      <c r="AG112" s="101" t="n"/>
      <c r="AH112" s="17" t="n"/>
      <c r="AI112" s="103" t="n"/>
    </row>
    <row r="113" ht="18.75" customHeight="1">
      <c r="B113" s="16" t="n"/>
      <c r="C113" s="166" t="n"/>
      <c r="D113" s="102" t="n"/>
      <c r="E113" s="102" t="n"/>
      <c r="F113" s="102" t="n"/>
      <c r="G113" s="102" t="n"/>
      <c r="H113" s="165" t="n"/>
      <c r="I113" s="102" t="n"/>
      <c r="J113" s="103" t="n"/>
      <c r="K113" s="115" t="n"/>
      <c r="L113" s="99" t="n"/>
      <c r="M113" s="100" t="n"/>
      <c r="N113" s="101" t="n"/>
      <c r="O113" s="101" t="n"/>
      <c r="P113" s="102" t="n"/>
      <c r="Q113" s="17" t="n"/>
      <c r="R113" s="114" t="n"/>
      <c r="S113" s="110" t="n"/>
      <c r="T113" s="110" t="n"/>
      <c r="U113" s="115" t="n"/>
      <c r="V113" s="111" t="n"/>
      <c r="W113" s="102" t="n"/>
      <c r="X113" s="164" t="n"/>
      <c r="Y113" s="115" t="n"/>
      <c r="Z113" s="111" t="n"/>
      <c r="AA113" s="165" t="n"/>
      <c r="AB113" s="99" t="n"/>
      <c r="AC113" s="100" t="n"/>
      <c r="AD113" s="101" t="n"/>
      <c r="AE113" s="101" t="n"/>
      <c r="AF113" s="99" t="n"/>
      <c r="AG113" s="101" t="n"/>
      <c r="AH113" s="17" t="n"/>
      <c r="AI113" s="103" t="n"/>
    </row>
    <row r="114" ht="18.75" customHeight="1">
      <c r="B114" s="18" t="n"/>
      <c r="C114" s="166" t="n"/>
      <c r="D114" s="102" t="n"/>
      <c r="E114" s="102" t="n"/>
      <c r="F114" s="102" t="n"/>
      <c r="G114" s="102" t="n"/>
      <c r="H114" s="165" t="n"/>
      <c r="I114" s="102" t="n"/>
      <c r="J114" s="103" t="n"/>
      <c r="K114" s="115" t="n"/>
      <c r="L114" s="99" t="n"/>
      <c r="M114" s="100" t="n"/>
      <c r="N114" s="101" t="n"/>
      <c r="O114" s="101" t="n"/>
      <c r="P114" s="102" t="n"/>
      <c r="Q114" s="17" t="n"/>
      <c r="R114" s="114" t="n"/>
      <c r="S114" s="110" t="n"/>
      <c r="T114" s="110" t="n"/>
      <c r="U114" s="115" t="n"/>
      <c r="V114" s="111" t="n"/>
      <c r="W114" s="102" t="n"/>
      <c r="X114" s="164" t="n"/>
      <c r="Y114" s="115" t="n"/>
      <c r="Z114" s="111" t="n"/>
      <c r="AA114" s="165" t="n"/>
      <c r="AB114" s="99" t="n"/>
      <c r="AC114" s="100" t="n"/>
      <c r="AD114" s="101" t="n"/>
      <c r="AE114" s="101" t="n"/>
      <c r="AF114" s="99" t="n"/>
      <c r="AG114" s="101" t="n"/>
      <c r="AH114" s="17" t="n"/>
      <c r="AI114" s="103" t="n"/>
    </row>
    <row r="115" ht="18.75" customHeight="1">
      <c r="B115" s="18" t="n"/>
      <c r="C115" s="166" t="n"/>
      <c r="D115" s="102" t="n"/>
      <c r="E115" s="102" t="n"/>
      <c r="F115" s="102" t="n"/>
      <c r="G115" s="102" t="n"/>
      <c r="H115" s="165" t="n"/>
      <c r="I115" s="102" t="n"/>
      <c r="J115" s="103" t="n"/>
      <c r="K115" s="115" t="n"/>
      <c r="L115" s="99" t="n"/>
      <c r="M115" s="100" t="n"/>
      <c r="N115" s="101" t="n"/>
      <c r="O115" s="101" t="n"/>
      <c r="P115" s="102" t="n"/>
      <c r="Q115" s="17" t="n"/>
      <c r="R115" s="114" t="n"/>
      <c r="S115" s="110" t="n"/>
      <c r="T115" s="110" t="n"/>
      <c r="U115" s="115" t="n"/>
      <c r="V115" s="111" t="n"/>
      <c r="W115" s="102" t="n"/>
      <c r="X115" s="164" t="n"/>
      <c r="Y115" s="115" t="n"/>
      <c r="Z115" s="111" t="n"/>
      <c r="AA115" s="165" t="n"/>
      <c r="AB115" s="99" t="n"/>
      <c r="AC115" s="100" t="n"/>
      <c r="AD115" s="101" t="n"/>
      <c r="AE115" s="101" t="n"/>
      <c r="AF115" s="99" t="n"/>
      <c r="AG115" s="101" t="n"/>
      <c r="AH115" s="17" t="n"/>
      <c r="AI115" s="103" t="n"/>
    </row>
    <row r="116" ht="18.75" customHeight="1">
      <c r="B116" s="18" t="n"/>
      <c r="C116" s="166" t="n"/>
      <c r="D116" s="102" t="n"/>
      <c r="E116" s="102" t="n"/>
      <c r="F116" s="102" t="n"/>
      <c r="G116" s="102" t="n"/>
      <c r="H116" s="165" t="n"/>
      <c r="I116" s="102" t="n"/>
      <c r="J116" s="103" t="n"/>
      <c r="K116" s="115" t="n"/>
      <c r="L116" s="99" t="n"/>
      <c r="M116" s="100" t="n"/>
      <c r="N116" s="101" t="n"/>
      <c r="O116" s="101" t="n"/>
      <c r="P116" s="102" t="n"/>
      <c r="Q116" s="17" t="n"/>
      <c r="R116" s="114" t="n"/>
      <c r="S116" s="110" t="n"/>
      <c r="T116" s="110" t="n"/>
      <c r="U116" s="115" t="n"/>
      <c r="V116" s="111" t="n"/>
      <c r="W116" s="102" t="n"/>
      <c r="X116" s="164" t="n"/>
      <c r="Y116" s="115" t="n"/>
      <c r="Z116" s="111" t="n"/>
      <c r="AA116" s="165" t="n"/>
      <c r="AB116" s="99" t="n"/>
      <c r="AC116" s="100" t="n"/>
      <c r="AD116" s="101" t="n"/>
      <c r="AE116" s="101" t="n"/>
      <c r="AF116" s="99" t="n"/>
      <c r="AG116" s="101" t="n"/>
      <c r="AH116" s="17" t="n"/>
      <c r="AI116" s="103" t="n"/>
    </row>
    <row r="117" ht="18.75" customHeight="1">
      <c r="B117" s="18" t="n"/>
      <c r="C117" s="166" t="n"/>
      <c r="D117" s="102" t="n"/>
      <c r="E117" s="102" t="n"/>
      <c r="F117" s="102" t="n"/>
      <c r="G117" s="102" t="n"/>
      <c r="H117" s="165" t="n"/>
      <c r="I117" s="102" t="n"/>
      <c r="J117" s="103" t="n"/>
      <c r="K117" s="115" t="n"/>
      <c r="L117" s="99" t="n"/>
      <c r="M117" s="100" t="n"/>
      <c r="N117" s="101" t="n"/>
      <c r="O117" s="101" t="n"/>
      <c r="P117" s="102" t="n"/>
      <c r="Q117" s="17" t="n"/>
      <c r="R117" s="114" t="n"/>
      <c r="S117" s="110" t="n"/>
      <c r="T117" s="110" t="n"/>
      <c r="U117" s="115" t="n"/>
      <c r="V117" s="111" t="n"/>
      <c r="W117" s="102" t="n"/>
      <c r="X117" s="164" t="n"/>
      <c r="Y117" s="115" t="n"/>
      <c r="Z117" s="111" t="n"/>
      <c r="AA117" s="165" t="n"/>
      <c r="AB117" s="99" t="n"/>
      <c r="AC117" s="100" t="n"/>
      <c r="AD117" s="101" t="n"/>
      <c r="AE117" s="101" t="n"/>
      <c r="AF117" s="99" t="n"/>
      <c r="AG117" s="101" t="n"/>
      <c r="AH117" s="17" t="n"/>
      <c r="AI117" s="103" t="n"/>
    </row>
    <row r="118" ht="18.75" customHeight="1">
      <c r="B118" s="18" t="n"/>
      <c r="C118" s="166" t="n"/>
      <c r="D118" s="102" t="n"/>
      <c r="E118" s="102" t="n"/>
      <c r="F118" s="102" t="n"/>
      <c r="G118" s="102" t="n"/>
      <c r="H118" s="165" t="n"/>
      <c r="I118" s="102" t="n"/>
      <c r="J118" s="103" t="n"/>
      <c r="K118" s="115" t="n"/>
      <c r="L118" s="99" t="n"/>
      <c r="M118" s="100" t="n"/>
      <c r="N118" s="101" t="n"/>
      <c r="O118" s="101" t="n"/>
      <c r="P118" s="102" t="n"/>
      <c r="Q118" s="17" t="n"/>
      <c r="R118" s="114" t="n"/>
      <c r="S118" s="110" t="n"/>
      <c r="T118" s="110" t="n"/>
      <c r="U118" s="115" t="n"/>
      <c r="V118" s="111" t="n"/>
      <c r="W118" s="102" t="n"/>
      <c r="X118" s="164" t="n"/>
      <c r="Y118" s="115" t="n"/>
      <c r="Z118" s="111" t="n"/>
      <c r="AA118" s="165" t="n"/>
      <c r="AB118" s="99" t="n"/>
      <c r="AC118" s="100" t="n"/>
      <c r="AD118" s="101" t="n"/>
      <c r="AE118" s="101" t="n"/>
      <c r="AF118" s="99" t="n"/>
      <c r="AG118" s="101" t="n"/>
      <c r="AH118" s="17" t="n"/>
      <c r="AI118" s="103" t="n"/>
    </row>
    <row r="119" ht="18.75" customHeight="1">
      <c r="B119" s="16" t="n"/>
      <c r="C119" s="166" t="n"/>
      <c r="D119" s="102" t="n"/>
      <c r="E119" s="102" t="n"/>
      <c r="F119" s="102" t="n"/>
      <c r="G119" s="102" t="n"/>
      <c r="H119" s="165" t="n"/>
      <c r="I119" s="102" t="n"/>
      <c r="J119" s="103" t="n"/>
      <c r="K119" s="115" t="n"/>
      <c r="L119" s="99" t="n"/>
      <c r="M119" s="100" t="n"/>
      <c r="N119" s="101" t="n"/>
      <c r="O119" s="101" t="n"/>
      <c r="P119" s="102" t="n"/>
      <c r="Q119" s="17" t="n"/>
      <c r="R119" s="114" t="n"/>
      <c r="S119" s="110" t="n"/>
      <c r="T119" s="110" t="n"/>
      <c r="U119" s="115" t="n"/>
      <c r="V119" s="111" t="n"/>
      <c r="W119" s="102" t="n"/>
      <c r="X119" s="164" t="n"/>
      <c r="Y119" s="115" t="n"/>
      <c r="Z119" s="111" t="n"/>
      <c r="AA119" s="165" t="n"/>
      <c r="AB119" s="99" t="n"/>
      <c r="AC119" s="100" t="n"/>
      <c r="AD119" s="101" t="n"/>
      <c r="AE119" s="101" t="n"/>
      <c r="AF119" s="99" t="n"/>
      <c r="AG119" s="101" t="n"/>
      <c r="AH119" s="17" t="n"/>
      <c r="AI119" s="103" t="n"/>
    </row>
    <row r="120" ht="18.75" customHeight="1">
      <c r="B120" s="18" t="n"/>
      <c r="C120" s="166" t="n"/>
      <c r="D120" s="102" t="n"/>
      <c r="E120" s="102" t="n"/>
      <c r="F120" s="102" t="n"/>
      <c r="G120" s="102" t="n"/>
      <c r="H120" s="165" t="n"/>
      <c r="I120" s="102" t="n"/>
      <c r="J120" s="103" t="n"/>
      <c r="K120" s="115" t="n"/>
      <c r="L120" s="99" t="n"/>
      <c r="M120" s="100" t="n"/>
      <c r="N120" s="101" t="n"/>
      <c r="O120" s="101" t="n"/>
      <c r="P120" s="102" t="n"/>
      <c r="Q120" s="17" t="n"/>
      <c r="R120" s="114" t="n"/>
      <c r="S120" s="110" t="n"/>
      <c r="T120" s="110" t="n"/>
      <c r="U120" s="115" t="n"/>
      <c r="V120" s="111" t="n"/>
      <c r="W120" s="102" t="n"/>
      <c r="X120" s="164" t="n"/>
      <c r="Y120" s="115" t="n"/>
      <c r="Z120" s="111" t="n"/>
      <c r="AA120" s="165" t="n"/>
      <c r="AB120" s="99" t="n"/>
      <c r="AC120" s="100" t="n"/>
      <c r="AD120" s="101" t="n"/>
      <c r="AE120" s="101" t="n"/>
      <c r="AF120" s="99" t="n"/>
      <c r="AG120" s="101" t="n"/>
      <c r="AH120" s="17" t="n"/>
      <c r="AI120" s="103" t="n"/>
    </row>
    <row r="121" ht="18.75" customHeight="1">
      <c r="B121" s="18" t="n"/>
      <c r="C121" s="166" t="n"/>
      <c r="D121" s="102" t="n"/>
      <c r="E121" s="102" t="n"/>
      <c r="F121" s="102" t="n"/>
      <c r="G121" s="102" t="n"/>
      <c r="H121" s="165" t="n"/>
      <c r="I121" s="102" t="n"/>
      <c r="J121" s="103" t="n"/>
      <c r="K121" s="115" t="n"/>
      <c r="L121" s="99" t="n"/>
      <c r="M121" s="100" t="n"/>
      <c r="N121" s="101" t="n"/>
      <c r="O121" s="101" t="n"/>
      <c r="P121" s="102" t="n"/>
      <c r="Q121" s="17" t="n"/>
      <c r="R121" s="114" t="n"/>
      <c r="S121" s="110" t="n"/>
      <c r="T121" s="110" t="n"/>
      <c r="U121" s="115" t="n"/>
      <c r="V121" s="111" t="n"/>
      <c r="W121" s="102" t="n"/>
      <c r="X121" s="164" t="n"/>
      <c r="Y121" s="115" t="n"/>
      <c r="Z121" s="111" t="n"/>
      <c r="AA121" s="165" t="n"/>
      <c r="AB121" s="99" t="n"/>
      <c r="AC121" s="100" t="n"/>
      <c r="AD121" s="101" t="n"/>
      <c r="AE121" s="101" t="n"/>
      <c r="AF121" s="99" t="n"/>
      <c r="AG121" s="101" t="n"/>
      <c r="AH121" s="17" t="n"/>
      <c r="AI121" s="103" t="n"/>
    </row>
    <row r="122" ht="18.75" customHeight="1">
      <c r="B122" s="18" t="n"/>
      <c r="C122" s="166" t="n"/>
      <c r="D122" s="102" t="n"/>
      <c r="E122" s="102" t="n"/>
      <c r="F122" s="102" t="n"/>
      <c r="G122" s="102" t="n"/>
      <c r="H122" s="165" t="n"/>
      <c r="I122" s="102" t="n"/>
      <c r="J122" s="103" t="n"/>
      <c r="K122" s="115" t="n"/>
      <c r="L122" s="99" t="n"/>
      <c r="M122" s="100" t="n"/>
      <c r="N122" s="101" t="n"/>
      <c r="O122" s="101" t="n"/>
      <c r="P122" s="102" t="n"/>
      <c r="Q122" s="17" t="n"/>
      <c r="R122" s="114" t="n"/>
      <c r="S122" s="110" t="n"/>
      <c r="T122" s="110" t="n"/>
      <c r="U122" s="115" t="n"/>
      <c r="V122" s="111" t="n"/>
      <c r="W122" s="102" t="n"/>
      <c r="X122" s="164" t="n"/>
      <c r="Y122" s="115" t="n"/>
      <c r="Z122" s="111" t="n"/>
      <c r="AA122" s="165" t="n"/>
      <c r="AB122" s="99" t="n"/>
      <c r="AC122" s="100" t="n"/>
      <c r="AD122" s="101" t="n"/>
      <c r="AE122" s="101" t="n"/>
      <c r="AF122" s="99" t="n"/>
      <c r="AG122" s="101" t="n"/>
      <c r="AH122" s="17" t="n"/>
      <c r="AI122" s="103" t="n"/>
    </row>
    <row r="123" ht="18.75" customHeight="1">
      <c r="B123" s="18" t="n"/>
      <c r="C123" s="166" t="n"/>
      <c r="D123" s="102" t="n"/>
      <c r="E123" s="102" t="n"/>
      <c r="F123" s="102" t="n"/>
      <c r="G123" s="102" t="n"/>
      <c r="H123" s="165" t="n"/>
      <c r="I123" s="102" t="n"/>
      <c r="J123" s="103" t="n"/>
      <c r="K123" s="115" t="n"/>
      <c r="L123" s="99" t="n"/>
      <c r="M123" s="100" t="n"/>
      <c r="N123" s="101" t="n"/>
      <c r="O123" s="101" t="n"/>
      <c r="P123" s="102" t="n"/>
      <c r="Q123" s="17" t="n"/>
      <c r="R123" s="114" t="n"/>
      <c r="S123" s="110" t="n"/>
      <c r="T123" s="110" t="n"/>
      <c r="U123" s="115" t="n"/>
      <c r="V123" s="111" t="n"/>
      <c r="W123" s="102" t="n"/>
      <c r="X123" s="164" t="n"/>
      <c r="Y123" s="115" t="n"/>
      <c r="Z123" s="111" t="n"/>
      <c r="AA123" s="165" t="n"/>
      <c r="AB123" s="99" t="n"/>
      <c r="AC123" s="100" t="n"/>
      <c r="AD123" s="101" t="n"/>
      <c r="AE123" s="101" t="n"/>
      <c r="AF123" s="99" t="n"/>
      <c r="AG123" s="101" t="n"/>
      <c r="AH123" s="17" t="n"/>
      <c r="AI123" s="103" t="n"/>
    </row>
    <row r="124" ht="18.75" customHeight="1">
      <c r="B124" s="16" t="n"/>
      <c r="C124" s="166" t="n"/>
      <c r="D124" s="102" t="n"/>
      <c r="E124" s="102" t="n"/>
      <c r="F124" s="102" t="n"/>
      <c r="G124" s="102" t="n"/>
      <c r="H124" s="165" t="n"/>
      <c r="I124" s="102" t="n"/>
      <c r="J124" s="103" t="n"/>
      <c r="K124" s="115" t="n"/>
      <c r="L124" s="99" t="n"/>
      <c r="M124" s="100" t="n"/>
      <c r="N124" s="101" t="n"/>
      <c r="O124" s="101" t="n"/>
      <c r="P124" s="102" t="n"/>
      <c r="Q124" s="17" t="n"/>
      <c r="R124" s="114" t="n"/>
      <c r="S124" s="110" t="n"/>
      <c r="T124" s="110" t="n"/>
      <c r="U124" s="115" t="n"/>
      <c r="V124" s="111" t="n"/>
      <c r="W124" s="102" t="n"/>
      <c r="X124" s="164" t="n"/>
      <c r="Y124" s="115" t="n"/>
      <c r="Z124" s="111" t="n"/>
      <c r="AA124" s="165" t="n"/>
      <c r="AB124" s="99" t="n"/>
      <c r="AC124" s="100" t="n"/>
      <c r="AD124" s="101" t="n"/>
      <c r="AE124" s="101" t="n"/>
      <c r="AF124" s="99" t="n"/>
      <c r="AG124" s="101" t="n"/>
      <c r="AH124" s="17" t="n"/>
      <c r="AI124" s="103" t="n"/>
    </row>
    <row r="125" ht="18.75" customHeight="1">
      <c r="B125" s="18" t="n"/>
      <c r="C125" s="166" t="n"/>
      <c r="D125" s="102" t="n"/>
      <c r="E125" s="102" t="n"/>
      <c r="F125" s="102" t="n"/>
      <c r="G125" s="102" t="n"/>
      <c r="H125" s="165" t="n"/>
      <c r="I125" s="102" t="n"/>
      <c r="J125" s="103" t="n"/>
      <c r="K125" s="115" t="n"/>
      <c r="L125" s="99" t="n"/>
      <c r="M125" s="100" t="n"/>
      <c r="N125" s="101" t="n"/>
      <c r="O125" s="101" t="n"/>
      <c r="P125" s="102" t="n"/>
      <c r="Q125" s="17" t="n"/>
      <c r="R125" s="114" t="n"/>
      <c r="S125" s="110" t="n"/>
      <c r="T125" s="110" t="n"/>
      <c r="U125" s="115" t="n"/>
      <c r="V125" s="111" t="n"/>
      <c r="W125" s="102" t="n"/>
      <c r="X125" s="164" t="n"/>
      <c r="Y125" s="115" t="n"/>
      <c r="Z125" s="111" t="n"/>
      <c r="AA125" s="165" t="n"/>
      <c r="AB125" s="99" t="n"/>
      <c r="AC125" s="100" t="n"/>
      <c r="AD125" s="101" t="n"/>
      <c r="AE125" s="101" t="n"/>
      <c r="AF125" s="99" t="n"/>
      <c r="AG125" s="101" t="n"/>
      <c r="AH125" s="17" t="n"/>
      <c r="AI125" s="103" t="n"/>
    </row>
    <row r="126" ht="18.75" customHeight="1">
      <c r="B126" s="18" t="n"/>
      <c r="C126" s="166" t="n"/>
      <c r="D126" s="102" t="n"/>
      <c r="E126" s="102" t="n"/>
      <c r="F126" s="102" t="n"/>
      <c r="G126" s="102" t="n"/>
      <c r="H126" s="165" t="n"/>
      <c r="I126" s="102" t="n"/>
      <c r="J126" s="103" t="n"/>
      <c r="K126" s="115" t="n"/>
      <c r="L126" s="99" t="n"/>
      <c r="M126" s="100" t="n"/>
      <c r="N126" s="101" t="n"/>
      <c r="O126" s="101" t="n"/>
      <c r="P126" s="102" t="n"/>
      <c r="Q126" s="17" t="n"/>
      <c r="R126" s="114" t="n"/>
      <c r="S126" s="110" t="n"/>
      <c r="T126" s="110" t="n"/>
      <c r="U126" s="115" t="n"/>
      <c r="V126" s="111" t="n"/>
      <c r="W126" s="102" t="n"/>
      <c r="X126" s="164" t="n"/>
      <c r="Y126" s="115" t="n"/>
      <c r="Z126" s="111" t="n"/>
      <c r="AA126" s="165" t="n"/>
      <c r="AB126" s="99" t="n"/>
      <c r="AC126" s="100" t="n"/>
      <c r="AD126" s="101" t="n"/>
      <c r="AE126" s="101" t="n"/>
      <c r="AF126" s="99" t="n"/>
      <c r="AG126" s="101" t="n"/>
      <c r="AH126" s="17" t="n"/>
      <c r="AI126" s="103" t="n"/>
    </row>
    <row r="127" ht="18.75" customHeight="1">
      <c r="B127" s="18" t="n"/>
      <c r="C127" s="166" t="n"/>
      <c r="D127" s="102" t="n"/>
      <c r="E127" s="102" t="n"/>
      <c r="F127" s="102" t="n"/>
      <c r="G127" s="102" t="n"/>
      <c r="H127" s="165" t="n"/>
      <c r="I127" s="102" t="n"/>
      <c r="J127" s="103" t="n"/>
      <c r="K127" s="115" t="n"/>
      <c r="L127" s="99" t="n"/>
      <c r="M127" s="100" t="n"/>
      <c r="N127" s="101" t="n"/>
      <c r="O127" s="101" t="n"/>
      <c r="P127" s="102" t="n"/>
      <c r="Q127" s="17" t="n"/>
      <c r="R127" s="114" t="n"/>
      <c r="S127" s="110" t="n"/>
      <c r="T127" s="110" t="n"/>
      <c r="U127" s="115" t="n"/>
      <c r="V127" s="111" t="n"/>
      <c r="W127" s="102" t="n"/>
      <c r="X127" s="164" t="n"/>
      <c r="Y127" s="115" t="n"/>
      <c r="Z127" s="111" t="n"/>
      <c r="AA127" s="165" t="n"/>
      <c r="AB127" s="99" t="n"/>
      <c r="AC127" s="100" t="n"/>
      <c r="AD127" s="101" t="n"/>
      <c r="AE127" s="101" t="n"/>
      <c r="AF127" s="99" t="n"/>
      <c r="AG127" s="101" t="n"/>
      <c r="AH127" s="17" t="n"/>
      <c r="AI127" s="103" t="n"/>
    </row>
    <row r="128" ht="18.75" customHeight="1">
      <c r="B128" s="18" t="n"/>
      <c r="C128" s="166" t="n"/>
      <c r="D128" s="102" t="n"/>
      <c r="E128" s="102" t="n"/>
      <c r="F128" s="102" t="n"/>
      <c r="G128" s="102" t="n"/>
      <c r="H128" s="165" t="n"/>
      <c r="I128" s="102" t="n"/>
      <c r="J128" s="103" t="n"/>
      <c r="K128" s="115" t="n"/>
      <c r="L128" s="99" t="n"/>
      <c r="M128" s="100" t="n"/>
      <c r="N128" s="101" t="n"/>
      <c r="O128" s="101" t="n"/>
      <c r="P128" s="102" t="n"/>
      <c r="Q128" s="17" t="n"/>
      <c r="R128" s="114" t="n"/>
      <c r="S128" s="110" t="n"/>
      <c r="T128" s="110" t="n"/>
      <c r="U128" s="115" t="n"/>
      <c r="V128" s="111" t="n"/>
      <c r="W128" s="102" t="n"/>
      <c r="X128" s="164" t="n"/>
      <c r="Y128" s="115" t="n"/>
      <c r="Z128" s="111" t="n"/>
      <c r="AA128" s="165" t="n"/>
      <c r="AB128" s="99" t="n"/>
      <c r="AC128" s="100" t="n"/>
      <c r="AD128" s="101" t="n"/>
      <c r="AE128" s="101" t="n"/>
      <c r="AF128" s="99" t="n"/>
      <c r="AG128" s="101" t="n"/>
      <c r="AH128" s="17" t="n"/>
      <c r="AI128" s="103" t="n"/>
    </row>
    <row r="129" ht="18.75" customHeight="1">
      <c r="B129" s="18" t="n"/>
      <c r="C129" s="166" t="n"/>
      <c r="D129" s="102" t="n"/>
      <c r="E129" s="102" t="n"/>
      <c r="F129" s="102" t="n"/>
      <c r="G129" s="102" t="n"/>
      <c r="H129" s="165" t="n"/>
      <c r="I129" s="102" t="n"/>
      <c r="J129" s="103" t="n"/>
      <c r="K129" s="115" t="n"/>
      <c r="L129" s="99" t="n"/>
      <c r="M129" s="100" t="n"/>
      <c r="N129" s="101" t="n"/>
      <c r="O129" s="101" t="n"/>
      <c r="P129" s="102" t="n"/>
      <c r="Q129" s="17" t="n"/>
      <c r="R129" s="114" t="n"/>
      <c r="S129" s="110" t="n"/>
      <c r="T129" s="110" t="n"/>
      <c r="U129" s="115" t="n"/>
      <c r="V129" s="111" t="n"/>
      <c r="W129" s="102" t="n"/>
      <c r="X129" s="164" t="n"/>
      <c r="Y129" s="115" t="n"/>
      <c r="Z129" s="111" t="n"/>
      <c r="AA129" s="165" t="n"/>
      <c r="AB129" s="99" t="n"/>
      <c r="AC129" s="100" t="n"/>
      <c r="AD129" s="101" t="n"/>
      <c r="AE129" s="101" t="n"/>
      <c r="AF129" s="99" t="n"/>
      <c r="AG129" s="101" t="n"/>
      <c r="AH129" s="17" t="n"/>
      <c r="AI129" s="103" t="n"/>
    </row>
    <row r="130" ht="18.75" customHeight="1">
      <c r="B130" s="16" t="n"/>
      <c r="C130" s="166" t="n"/>
      <c r="D130" s="102" t="n"/>
      <c r="E130" s="102" t="n"/>
      <c r="F130" s="102" t="n"/>
      <c r="G130" s="102" t="n"/>
      <c r="H130" s="165" t="n"/>
      <c r="I130" s="102" t="n"/>
      <c r="J130" s="103" t="n"/>
      <c r="K130" s="115" t="n"/>
      <c r="L130" s="99" t="n"/>
      <c r="M130" s="100" t="n"/>
      <c r="N130" s="101" t="n"/>
      <c r="O130" s="101" t="n"/>
      <c r="P130" s="102" t="n"/>
      <c r="Q130" s="17" t="n"/>
      <c r="R130" s="114" t="n"/>
      <c r="S130" s="110" t="n"/>
      <c r="T130" s="110" t="n"/>
      <c r="U130" s="115" t="n"/>
      <c r="V130" s="111" t="n"/>
      <c r="W130" s="102" t="n"/>
      <c r="X130" s="164" t="n"/>
      <c r="Y130" s="115" t="n"/>
      <c r="Z130" s="111" t="n"/>
      <c r="AA130" s="165" t="n"/>
      <c r="AB130" s="99" t="n"/>
      <c r="AC130" s="100" t="n"/>
      <c r="AD130" s="101" t="n"/>
      <c r="AE130" s="101" t="n"/>
      <c r="AF130" s="99" t="n"/>
      <c r="AG130" s="101" t="n"/>
      <c r="AH130" s="17" t="n"/>
      <c r="AI130" s="103" t="n"/>
    </row>
    <row r="131" ht="18.75" customHeight="1">
      <c r="B131" s="18" t="n"/>
      <c r="C131" s="166" t="n"/>
      <c r="D131" s="102" t="n"/>
      <c r="E131" s="102" t="n"/>
      <c r="F131" s="102" t="n"/>
      <c r="G131" s="102" t="n"/>
      <c r="H131" s="165" t="n"/>
      <c r="I131" s="102" t="n"/>
      <c r="J131" s="103" t="n"/>
      <c r="K131" s="115" t="n"/>
      <c r="L131" s="99" t="n"/>
      <c r="M131" s="100" t="n"/>
      <c r="N131" s="101" t="n"/>
      <c r="O131" s="101" t="n"/>
      <c r="P131" s="102" t="n"/>
      <c r="Q131" s="17" t="n"/>
      <c r="R131" s="114" t="n"/>
      <c r="S131" s="110" t="n"/>
      <c r="T131" s="110" t="n"/>
      <c r="U131" s="115" t="n"/>
      <c r="V131" s="111" t="n"/>
      <c r="W131" s="102" t="n"/>
      <c r="X131" s="164" t="n"/>
      <c r="Y131" s="115" t="n"/>
      <c r="Z131" s="111" t="n"/>
      <c r="AA131" s="165" t="n"/>
      <c r="AB131" s="99" t="n"/>
      <c r="AC131" s="100" t="n"/>
      <c r="AD131" s="101" t="n"/>
      <c r="AE131" s="101" t="n"/>
      <c r="AF131" s="99" t="n"/>
      <c r="AG131" s="101" t="n"/>
      <c r="AH131" s="17" t="n"/>
      <c r="AI131" s="103" t="n"/>
    </row>
    <row r="132" ht="18.75" customHeight="1">
      <c r="B132" s="18" t="n"/>
      <c r="C132" s="166" t="n"/>
      <c r="D132" s="102" t="n"/>
      <c r="E132" s="102" t="n"/>
      <c r="F132" s="102" t="n"/>
      <c r="G132" s="102" t="n"/>
      <c r="H132" s="165" t="n"/>
      <c r="I132" s="102" t="n"/>
      <c r="J132" s="103" t="n"/>
      <c r="K132" s="115" t="n"/>
      <c r="L132" s="99" t="n"/>
      <c r="M132" s="100" t="n"/>
      <c r="N132" s="101" t="n"/>
      <c r="O132" s="101" t="n"/>
      <c r="P132" s="102" t="n"/>
      <c r="Q132" s="17" t="n"/>
      <c r="R132" s="114" t="n"/>
      <c r="S132" s="110" t="n"/>
      <c r="T132" s="110" t="n"/>
      <c r="U132" s="115" t="n"/>
      <c r="V132" s="111" t="n"/>
      <c r="W132" s="102" t="n"/>
      <c r="X132" s="164" t="n"/>
      <c r="Y132" s="115" t="n"/>
      <c r="Z132" s="111" t="n"/>
      <c r="AA132" s="165" t="n"/>
      <c r="AB132" s="99" t="n"/>
      <c r="AC132" s="100" t="n"/>
      <c r="AD132" s="101" t="n"/>
      <c r="AE132" s="101" t="n"/>
      <c r="AF132" s="99" t="n"/>
      <c r="AG132" s="101" t="n"/>
      <c r="AH132" s="17" t="n"/>
      <c r="AI132" s="103" t="n"/>
    </row>
    <row r="133" ht="18.75" customHeight="1">
      <c r="B133" s="18" t="n"/>
      <c r="C133" s="166" t="n"/>
      <c r="D133" s="102" t="n"/>
      <c r="E133" s="102" t="n"/>
      <c r="F133" s="102" t="n"/>
      <c r="G133" s="102" t="n"/>
      <c r="H133" s="165" t="n"/>
      <c r="I133" s="102" t="n"/>
      <c r="J133" s="103" t="n"/>
      <c r="K133" s="115" t="n"/>
      <c r="L133" s="99" t="n"/>
      <c r="M133" s="100" t="n"/>
      <c r="N133" s="101" t="n"/>
      <c r="O133" s="101" t="n"/>
      <c r="P133" s="102" t="n"/>
      <c r="Q133" s="17" t="n"/>
      <c r="R133" s="114" t="n"/>
      <c r="S133" s="110" t="n"/>
      <c r="T133" s="110" t="n"/>
      <c r="U133" s="115" t="n"/>
      <c r="V133" s="111" t="n"/>
      <c r="W133" s="102" t="n"/>
      <c r="X133" s="164" t="n"/>
      <c r="Y133" s="115" t="n"/>
      <c r="Z133" s="111" t="n"/>
      <c r="AA133" s="165" t="n"/>
      <c r="AB133" s="99" t="n"/>
      <c r="AC133" s="100" t="n"/>
      <c r="AD133" s="101" t="n"/>
      <c r="AE133" s="101" t="n"/>
      <c r="AF133" s="99" t="n"/>
      <c r="AG133" s="101" t="n"/>
      <c r="AH133" s="17" t="n"/>
      <c r="AI133" s="103" t="n"/>
    </row>
    <row r="134" ht="18.75" customHeight="1">
      <c r="B134" s="18" t="n"/>
      <c r="C134" s="166" t="n"/>
      <c r="D134" s="102" t="n"/>
      <c r="E134" s="102" t="n"/>
      <c r="F134" s="102" t="n"/>
      <c r="G134" s="102" t="n"/>
      <c r="H134" s="165" t="n"/>
      <c r="I134" s="102" t="n"/>
      <c r="J134" s="103" t="n"/>
      <c r="K134" s="115" t="n"/>
      <c r="L134" s="99" t="n"/>
      <c r="M134" s="100" t="n"/>
      <c r="N134" s="101" t="n"/>
      <c r="O134" s="101" t="n"/>
      <c r="P134" s="102" t="n"/>
      <c r="Q134" s="17" t="n"/>
      <c r="R134" s="114" t="n"/>
      <c r="S134" s="110" t="n"/>
      <c r="T134" s="110" t="n"/>
      <c r="U134" s="115" t="n"/>
      <c r="V134" s="111" t="n"/>
      <c r="W134" s="102" t="n"/>
      <c r="X134" s="164" t="n"/>
      <c r="Y134" s="115" t="n"/>
      <c r="Z134" s="111" t="n"/>
      <c r="AA134" s="165" t="n"/>
      <c r="AB134" s="99" t="n"/>
      <c r="AC134" s="100" t="n"/>
      <c r="AD134" s="101" t="n"/>
      <c r="AE134" s="101" t="n"/>
      <c r="AF134" s="99" t="n"/>
      <c r="AG134" s="101" t="n"/>
      <c r="AH134" s="17" t="n"/>
      <c r="AI134" s="103" t="n"/>
    </row>
    <row r="135">
      <c r="B135" s="19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1" t="n"/>
    </row>
    <row r="136"/>
    <row r="137" ht="18" customHeight="1"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</row>
    <row r="138"/>
    <row r="139">
      <c r="D139" s="22" t="n"/>
      <c r="E139" s="23" t="n"/>
    </row>
    <row r="140">
      <c r="D140" s="24" t="inlineStr">
        <is>
          <t>Technology, R&amp;D</t>
        </is>
      </c>
      <c r="E140" s="25" t="n"/>
    </row>
    <row r="141">
      <c r="D141" s="24" t="inlineStr">
        <is>
          <t>Engineering</t>
        </is>
      </c>
      <c r="E141" s="25" t="n"/>
    </row>
    <row r="142">
      <c r="D142" s="24" t="inlineStr">
        <is>
          <t>Manufacturing</t>
        </is>
      </c>
      <c r="E142" s="25" t="n"/>
    </row>
    <row r="143">
      <c r="D143" s="24" t="inlineStr">
        <is>
          <t>Quality</t>
        </is>
      </c>
      <c r="E143" s="25" t="n"/>
    </row>
    <row r="144">
      <c r="D144" s="24" t="inlineStr">
        <is>
          <t>Strategy &amp; Portfolio</t>
        </is>
      </c>
      <c r="E144" s="25" t="n"/>
    </row>
    <row r="145">
      <c r="D145" s="24" t="inlineStr">
        <is>
          <t>Budget</t>
        </is>
      </c>
      <c r="E145" s="25" t="n"/>
    </row>
    <row r="146">
      <c r="D146" s="24" t="inlineStr">
        <is>
          <t>Schedule</t>
        </is>
      </c>
      <c r="E146" s="25" t="n"/>
    </row>
    <row r="147">
      <c r="D147" s="24" t="inlineStr">
        <is>
          <t>Resources</t>
        </is>
      </c>
      <c r="E147" s="25" t="n"/>
    </row>
    <row r="148">
      <c r="D148" s="24" t="inlineStr">
        <is>
          <t>Supply Chain</t>
        </is>
      </c>
      <c r="E148" s="25" t="n"/>
    </row>
    <row r="149">
      <c r="D149" s="24" t="inlineStr">
        <is>
          <t>Market &amp; Competitors</t>
        </is>
      </c>
      <c r="E149" s="25" t="n"/>
    </row>
    <row r="150">
      <c r="D150" s="24" t="inlineStr">
        <is>
          <t>Customers</t>
        </is>
      </c>
      <c r="E150" s="25" t="n"/>
    </row>
    <row r="151">
      <c r="D151" s="24" t="inlineStr">
        <is>
          <t>Raw Materials</t>
        </is>
      </c>
      <c r="E151" s="25" t="n"/>
    </row>
    <row r="152">
      <c r="D152" s="24" t="inlineStr">
        <is>
          <t>Stakeholder Relations &amp; Public Affairs</t>
        </is>
      </c>
      <c r="E152" s="25" t="n"/>
    </row>
    <row r="153">
      <c r="D153" s="24" t="inlineStr">
        <is>
          <t>Intellectual Property</t>
        </is>
      </c>
      <c r="E153" s="25" t="n"/>
    </row>
    <row r="154">
      <c r="D154" s="24" t="inlineStr">
        <is>
          <t>Legal &amp; Compliance</t>
        </is>
      </c>
      <c r="E154" s="25" t="n"/>
    </row>
    <row r="155">
      <c r="D155" s="24" t="inlineStr">
        <is>
          <t>Ecosystems &amp; Ethics</t>
        </is>
      </c>
      <c r="E155" s="25" t="n"/>
    </row>
    <row r="156">
      <c r="D156" s="24" t="inlineStr">
        <is>
          <t>Security &amp; Data Protection</t>
        </is>
      </c>
      <c r="E156" s="25" t="n"/>
    </row>
    <row r="157">
      <c r="D157" s="24" t="n"/>
      <c r="E157" s="25" t="n"/>
    </row>
    <row r="158">
      <c r="D158" s="24" t="n"/>
      <c r="E158" s="25" t="n"/>
    </row>
    <row r="159">
      <c r="D159" s="24" t="n"/>
      <c r="E159" s="25" t="n"/>
    </row>
    <row r="160">
      <c r="D160" s="24" t="n"/>
      <c r="E160" s="25" t="n"/>
    </row>
    <row r="161">
      <c r="D161" s="24" t="n"/>
      <c r="E161" s="25" t="n"/>
    </row>
    <row r="162">
      <c r="D162" s="24" t="n"/>
      <c r="E162" s="25" t="n"/>
    </row>
    <row r="163">
      <c r="D163" s="24" t="n"/>
      <c r="E163" s="25" t="n"/>
    </row>
    <row r="164">
      <c r="D164" s="24" t="n"/>
      <c r="E164" s="25" t="n"/>
    </row>
    <row r="165">
      <c r="D165" s="24" t="n"/>
      <c r="E165" s="25" t="n"/>
    </row>
    <row r="166">
      <c r="D166" s="24" t="n"/>
      <c r="E166" s="25" t="n"/>
    </row>
    <row r="167">
      <c r="D167" s="24" t="n"/>
      <c r="E167" s="25" t="n"/>
    </row>
    <row r="168">
      <c r="D168" s="26" t="n"/>
      <c r="E168" s="27" t="n"/>
    </row>
    <row r="170">
      <c r="D170" s="22" t="inlineStr">
        <is>
          <t>Risk Source</t>
        </is>
      </c>
      <c r="E170" s="23" t="n"/>
    </row>
    <row r="171">
      <c r="D171" s="24" t="inlineStr">
        <is>
          <t>Formal Risk Review</t>
        </is>
      </c>
      <c r="E171" s="25" t="n"/>
    </row>
    <row r="172">
      <c r="D172" s="24" t="inlineStr">
        <is>
          <t>SQA Audit/Review</t>
        </is>
      </c>
      <c r="E172" s="25" t="n"/>
    </row>
    <row r="173">
      <c r="D173" s="24" t="inlineStr">
        <is>
          <t>Status Meeting</t>
        </is>
      </c>
      <c r="E173" s="25" t="n"/>
    </row>
    <row r="174">
      <c r="D174" s="24" t="inlineStr">
        <is>
          <t>Stakeholder</t>
        </is>
      </c>
      <c r="E174" s="25" t="n"/>
    </row>
    <row r="175">
      <c r="D175" s="24" t="inlineStr">
        <is>
          <t>Other</t>
        </is>
      </c>
      <c r="E175" s="25" t="n"/>
    </row>
    <row r="176">
      <c r="D176" s="24" t="n"/>
      <c r="E176" s="25" t="n"/>
    </row>
    <row r="177">
      <c r="D177" s="24" t="n"/>
      <c r="E177" s="25" t="n"/>
    </row>
    <row r="178">
      <c r="D178" s="24" t="n"/>
      <c r="E178" s="25" t="n"/>
    </row>
    <row r="179">
      <c r="D179" s="26" t="n"/>
      <c r="E179" s="27" t="n"/>
    </row>
    <row r="181">
      <c r="D181" s="22" t="inlineStr">
        <is>
          <t>Impact Values</t>
        </is>
      </c>
      <c r="E181" s="23" t="n"/>
    </row>
    <row r="182">
      <c r="D182" s="24" t="inlineStr">
        <is>
          <t>Very Low</t>
        </is>
      </c>
      <c r="E182" s="28" t="n">
        <v>0.05</v>
      </c>
    </row>
    <row r="183">
      <c r="D183" s="24" t="inlineStr">
        <is>
          <t>Low</t>
        </is>
      </c>
      <c r="E183" s="28" t="n">
        <v>0.1</v>
      </c>
    </row>
    <row r="184">
      <c r="D184" s="24" t="inlineStr">
        <is>
          <t>Moderate</t>
        </is>
      </c>
      <c r="E184" s="28" t="n">
        <v>0.2</v>
      </c>
    </row>
    <row r="185">
      <c r="D185" s="24" t="inlineStr">
        <is>
          <t>High</t>
        </is>
      </c>
      <c r="E185" s="28" t="n">
        <v>0.4</v>
      </c>
    </row>
    <row r="186">
      <c r="D186" s="26" t="inlineStr">
        <is>
          <t>Very High</t>
        </is>
      </c>
      <c r="E186" s="29" t="n">
        <v>0.8</v>
      </c>
    </row>
    <row r="188">
      <c r="D188" s="22" t="inlineStr">
        <is>
          <t>Probability Values</t>
        </is>
      </c>
      <c r="E188" s="23" t="n"/>
    </row>
    <row r="189">
      <c r="D189" s="89" t="inlineStr">
        <is>
          <t>10%</t>
        </is>
      </c>
      <c r="E189" s="28" t="n">
        <v>0.1</v>
      </c>
    </row>
    <row r="190">
      <c r="D190" s="89" t="inlineStr">
        <is>
          <t>30%</t>
        </is>
      </c>
      <c r="E190" s="28" t="n">
        <v>0.3</v>
      </c>
    </row>
    <row r="191">
      <c r="D191" s="89" t="inlineStr">
        <is>
          <t>50%</t>
        </is>
      </c>
      <c r="E191" s="28" t="n">
        <v>0.5</v>
      </c>
    </row>
    <row r="192">
      <c r="D192" s="89" t="inlineStr">
        <is>
          <t>70%</t>
        </is>
      </c>
      <c r="E192" s="28" t="n">
        <v>0.7</v>
      </c>
    </row>
    <row r="193">
      <c r="D193" s="90" t="inlineStr">
        <is>
          <t>90%</t>
        </is>
      </c>
      <c r="E193" s="29" t="n">
        <v>0.9</v>
      </c>
    </row>
    <row r="195">
      <c r="D195" s="22" t="inlineStr">
        <is>
          <t>Green/Yellow/Red Threshold Values</t>
        </is>
      </c>
      <c r="E195" s="30" t="n"/>
    </row>
    <row r="196">
      <c r="D196" s="24" t="inlineStr">
        <is>
          <t>Green - maximum score</t>
        </is>
      </c>
      <c r="E196" s="31" t="n">
        <v>0.05</v>
      </c>
    </row>
    <row r="197">
      <c r="D197" s="24" t="inlineStr">
        <is>
          <t>Yellow - minimum score</t>
        </is>
      </c>
      <c r="E197" s="31" t="n">
        <v>0.06</v>
      </c>
    </row>
    <row r="198">
      <c r="D198" s="24" t="inlineStr">
        <is>
          <t>Yellow - maximum score</t>
        </is>
      </c>
      <c r="E198" s="31" t="n">
        <v>0.14</v>
      </c>
    </row>
    <row r="199">
      <c r="D199" s="26" t="inlineStr">
        <is>
          <t>Red - minimum score</t>
        </is>
      </c>
      <c r="E199" s="32" t="n">
        <v>0.15</v>
      </c>
    </row>
    <row r="201">
      <c r="D201" s="22" t="inlineStr">
        <is>
          <t>Risk Strategy</t>
        </is>
      </c>
      <c r="E201" s="23" t="n"/>
    </row>
    <row r="202">
      <c r="D202" s="24" t="inlineStr">
        <is>
          <t>Avoid</t>
        </is>
      </c>
      <c r="E202" s="25" t="n"/>
    </row>
    <row r="203">
      <c r="D203" s="24" t="inlineStr">
        <is>
          <t>Transfer</t>
        </is>
      </c>
      <c r="E203" s="25" t="n"/>
    </row>
    <row r="204">
      <c r="D204" s="24" t="inlineStr">
        <is>
          <t>Mitigate</t>
        </is>
      </c>
      <c r="E204" s="25" t="n"/>
    </row>
    <row r="205">
      <c r="D205" s="24" t="inlineStr">
        <is>
          <t>Accept</t>
        </is>
      </c>
      <c r="E205" s="25" t="n"/>
    </row>
    <row r="206">
      <c r="D206" s="24" t="inlineStr">
        <is>
          <t>Exploit</t>
        </is>
      </c>
      <c r="E206" s="25" t="n"/>
    </row>
    <row r="207">
      <c r="D207" s="24" t="inlineStr">
        <is>
          <t>Enhance</t>
        </is>
      </c>
      <c r="E207" s="25" t="n"/>
    </row>
    <row r="208">
      <c r="D208" s="24" t="inlineStr">
        <is>
          <t>Share</t>
        </is>
      </c>
      <c r="E208" s="25" t="n"/>
    </row>
    <row r="209">
      <c r="D209" s="24" t="n"/>
      <c r="E209" s="25" t="n"/>
    </row>
    <row r="210">
      <c r="D210" s="26" t="n"/>
      <c r="E210" s="27" t="n"/>
    </row>
    <row r="211">
      <c r="D211" s="88" t="n"/>
      <c r="E211" s="88" t="n"/>
    </row>
    <row r="212">
      <c r="D212" s="10" t="inlineStr">
        <is>
          <t>Status</t>
        </is>
      </c>
    </row>
    <row r="213">
      <c r="D213" s="87" t="inlineStr">
        <is>
          <t xml:space="preserve">not started </t>
        </is>
      </c>
      <c r="E213" s="23" t="n"/>
    </row>
    <row r="214">
      <c r="D214" s="24" t="inlineStr">
        <is>
          <t>in progress</t>
        </is>
      </c>
      <c r="E214" s="25" t="n"/>
    </row>
    <row r="215">
      <c r="D215" s="24" t="inlineStr">
        <is>
          <t>on hold</t>
        </is>
      </c>
      <c r="E215" s="25" t="n"/>
    </row>
    <row r="216">
      <c r="D216" s="24" t="inlineStr">
        <is>
          <t>implemented</t>
        </is>
      </c>
      <c r="E216" s="25" t="n"/>
    </row>
    <row r="217">
      <c r="D217" s="24" t="inlineStr">
        <is>
          <t>cancelled</t>
        </is>
      </c>
      <c r="E217" s="25" t="n"/>
    </row>
    <row r="218">
      <c r="D218" s="24" t="n"/>
      <c r="E218" s="25" t="n"/>
    </row>
    <row r="219">
      <c r="D219" s="24" t="n"/>
      <c r="E219" s="25" t="n"/>
    </row>
    <row r="220">
      <c r="D220" s="24" t="n"/>
      <c r="E220" s="25" t="n"/>
    </row>
    <row r="221">
      <c r="D221" s="24" t="n"/>
      <c r="E221" s="25" t="n"/>
    </row>
    <row r="222">
      <c r="D222" s="26" t="n"/>
      <c r="E222" s="27" t="n"/>
    </row>
  </sheetData>
  <autoFilter ref="B4:AI135"/>
  <mergeCells count="3">
    <mergeCell ref="Z3:AI3"/>
    <mergeCell ref="L3:T3"/>
    <mergeCell ref="V3:X3"/>
  </mergeCells>
  <conditionalFormatting sqref="Q5:Q134">
    <cfRule type="expression" priority="43" dxfId="38">
      <formula>AND($E$199&lt;=Q5,P5="opportunity")</formula>
    </cfRule>
    <cfRule type="expression" priority="44" dxfId="37">
      <formula>AND($E$199&gt;Q5,Q5&gt;=$E$197,P5="opportunity")</formula>
    </cfRule>
    <cfRule type="expression" priority="45" dxfId="6">
      <formula>AND(Q5&gt;0.0001,Q5&lt;$E$197,P5="opportunity")</formula>
    </cfRule>
    <cfRule type="expression" priority="46" dxfId="3" stopIfTrue="1">
      <formula>AND(Q5&gt;0.0001,Q5&lt;$E$197,P5="threat")</formula>
    </cfRule>
    <cfRule type="expression" priority="47" dxfId="34" stopIfTrue="1">
      <formula>AND($E$199&gt;Q5,Q5&gt;=$E$197,P5="threat")</formula>
    </cfRule>
    <cfRule type="expression" priority="48" dxfId="5" stopIfTrue="1">
      <formula>AND($E$199&lt;=Q5,P5="threat")</formula>
    </cfRule>
  </conditionalFormatting>
  <conditionalFormatting sqref="AH5:AH134">
    <cfRule type="expression" priority="1" dxfId="38">
      <formula>AND($E$199&lt;=AH5,AI5="opportunity")</formula>
    </cfRule>
    <cfRule type="expression" priority="2" dxfId="37">
      <formula>AND($E$199&gt;AH5,AH5&gt;=$E$197,AI5="opportunity")</formula>
    </cfRule>
    <cfRule type="expression" priority="3" dxfId="6">
      <formula>AND(AH5&gt;0.0001,AH5&lt;$E$197,AI5="opportunity")</formula>
    </cfRule>
    <cfRule type="expression" priority="4" dxfId="3" stopIfTrue="1">
      <formula>AND(AH5&gt;0.0001,AH5&lt;$E$197,AI5="threat")</formula>
    </cfRule>
    <cfRule type="expression" priority="5" dxfId="34" stopIfTrue="1">
      <formula>AND($E$199&gt;AH5,AH5&gt;=$E$197,AI5="threat")</formula>
    </cfRule>
    <cfRule type="expression" priority="6" dxfId="5" stopIfTrue="1">
      <formula>AND($E$199&lt;=AH5,AI5="threat")</formula>
    </cfRule>
  </conditionalFormatting>
  <dataValidations count="9">
    <dataValidation sqref="N5:N134 AD5:AD134" showDropDown="0" showInputMessage="1" showErrorMessage="1" allowBlank="1" type="list">
      <formula1>$D$189:$D$193</formula1>
    </dataValidation>
    <dataValidation sqref="L5:L134 AB5:AB134" showDropDown="0" showInputMessage="1" showErrorMessage="1" allowBlank="1" type="list">
      <formula1>$D$182:$D$186</formula1>
    </dataValidation>
    <dataValidation sqref="Z5:Z134" showDropDown="0" showInputMessage="1" showErrorMessage="1" allowBlank="1" type="list">
      <formula1>$D$213:$D$1922</formula1>
    </dataValidation>
    <dataValidation sqref="V5:V134" showDropDown="0" showInputMessage="1" showErrorMessage="1" allowBlank="1" type="list">
      <formula1>$D$201:$D$210</formula1>
    </dataValidation>
    <dataValidation sqref="P5:P134" showDropDown="0" showInputMessage="1" showErrorMessage="1" allowBlank="1" type="list">
      <formula1>"threat,opportunity"</formula1>
    </dataValidation>
    <dataValidation sqref="J5:J134" showDropDown="0" showInputMessage="1" showErrorMessage="1" allowBlank="1" type="list">
      <formula1>$D$170:$D$179</formula1>
    </dataValidation>
    <dataValidation sqref="D5:D134" showDropDown="0" showInputMessage="1" showErrorMessage="1" allowBlank="1" type="list">
      <formula1>$D$140:$D$168</formula1>
    </dataValidation>
    <dataValidation sqref="AF5:AF134" showDropDown="0" showInputMessage="1" showErrorMessage="1" allowBlank="1" type="list">
      <formula1>$E$182:$E$186</formula1>
    </dataValidation>
    <dataValidation sqref="AG5:AG134" showDropDown="0" showInputMessage="1" showErrorMessage="1" allowBlank="1" type="list">
      <formula1>$E$189:$E$193</formula1>
    </dataValidation>
  </dataValidations>
  <pageMargins left="0.5" right="0.42" top="0.74" bottom="0.73" header="0.5" footer="0.5"/>
  <pageSetup orientation="landscape" paperSize="5" scale="50" fitToHeight="0"/>
  <headerFooter alignWithMargins="0">
    <oddHeader>&amp;C&amp;"Arial,Bold"Risk Register_x000a_&lt;Project Name&gt;</oddHeader>
    <oddFooter>&amp;L&amp;"Arial,Italic"&amp;8 &amp;D &amp;T&amp;C&amp;"Arial,Italic"&amp;8 &amp;F&amp;R&amp;"Arial,Italic"&amp;8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199"/>
  <sheetViews>
    <sheetView showGridLines="0" zoomScale="90" zoomScaleNormal="90" workbookViewId="0">
      <pane xSplit="19" topLeftCell="BU1" activePane="topRight" state="frozen"/>
      <selection activeCell="F13" sqref="F13:P13"/>
      <selection pane="topRight" activeCell="J28" sqref="J28"/>
    </sheetView>
  </sheetViews>
  <sheetFormatPr baseColWidth="8" defaultColWidth="8.88671875" defaultRowHeight="13.2"/>
  <cols>
    <col width="1.5546875" customWidth="1" style="3" min="1" max="1"/>
    <col width="4.109375" customWidth="1" style="3" min="2" max="2"/>
    <col width="5.44140625" customWidth="1" style="3" min="3" max="3"/>
    <col width="10.88671875" customWidth="1" style="3" min="4" max="13"/>
    <col hidden="1" outlineLevel="1" width="33.109375" customWidth="1" style="3" min="14" max="14"/>
    <col hidden="1" outlineLevel="1" width="34.44140625" customWidth="1" style="3" min="15" max="15"/>
    <col hidden="1" outlineLevel="1" width="14.88671875" customWidth="1" style="3" min="16" max="16"/>
    <col collapsed="1" width="4" customWidth="1" style="3" min="17" max="17"/>
    <col hidden="1" outlineLevel="1" width="8" customWidth="1" style="3" min="18" max="19"/>
    <col hidden="1" outlineLevel="1" width="7.109375" customWidth="1" style="3" min="20" max="20"/>
    <col hidden="1" outlineLevel="1" width="5.5546875" customWidth="1" style="3" min="21" max="71"/>
    <col hidden="1" outlineLevel="1" width="5.44140625" customWidth="1" style="3" min="72" max="72"/>
    <col collapsed="1" width="8.88671875" customWidth="1" style="3" min="73" max="73"/>
    <col hidden="1" outlineLevel="1" width="8" customWidth="1" style="3" min="74" max="75"/>
    <col hidden="1" outlineLevel="1" width="7.109375" customWidth="1" style="3" min="76" max="76"/>
    <col hidden="1" outlineLevel="1" width="5.5546875" customWidth="1" style="3" min="77" max="127"/>
    <col hidden="1" outlineLevel="1" width="5.44140625" customWidth="1" style="3" min="128" max="128"/>
    <col collapsed="1" width="8.88671875" customWidth="1" style="3" min="129" max="129"/>
    <col width="8.88671875" customWidth="1" style="3" min="130" max="16384"/>
  </cols>
  <sheetData>
    <row r="1" ht="15.6" customHeight="1">
      <c r="B1" s="33" t="inlineStr">
        <is>
          <t>Risk Register</t>
        </is>
      </c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R1" s="34" t="inlineStr">
        <is>
          <t>Matrix (initial) Data Calculation - DO NOT DELETE, MOVE OR INSERT CELLS</t>
        </is>
      </c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  <c r="BC1" s="35" t="n"/>
      <c r="BD1" s="35" t="n"/>
      <c r="BE1" s="35" t="n"/>
      <c r="BF1" s="35" t="n"/>
      <c r="BG1" s="35" t="n"/>
      <c r="BH1" s="35" t="n"/>
      <c r="BI1" s="35" t="n"/>
      <c r="BJ1" s="35" t="n"/>
      <c r="BK1" s="35" t="n"/>
      <c r="BL1" s="35" t="n"/>
      <c r="BM1" s="35" t="n"/>
      <c r="BN1" s="35" t="n"/>
      <c r="BO1" s="35" t="n"/>
      <c r="BP1" s="35" t="n"/>
      <c r="BQ1" s="35" t="n"/>
      <c r="BR1" s="35" t="n"/>
      <c r="BS1" s="35" t="n"/>
      <c r="BT1" s="35" t="n"/>
      <c r="BV1" s="34" t="inlineStr">
        <is>
          <t>Matrix (actual) Data Calculation - DO NOT DELETE, MOVE OR INSERT CELLS</t>
        </is>
      </c>
      <c r="BW1" s="35" t="n"/>
      <c r="BX1" s="35" t="n"/>
      <c r="BY1" s="35" t="n"/>
      <c r="BZ1" s="35" t="n"/>
      <c r="CA1" s="35" t="n"/>
      <c r="CB1" s="35" t="n"/>
      <c r="CC1" s="35" t="n"/>
      <c r="CD1" s="35" t="n"/>
      <c r="CE1" s="35" t="n"/>
      <c r="CF1" s="35" t="n"/>
      <c r="CG1" s="35" t="n"/>
      <c r="CH1" s="35" t="n"/>
      <c r="CI1" s="35" t="n"/>
      <c r="CJ1" s="35" t="n"/>
      <c r="CK1" s="35" t="n"/>
      <c r="CL1" s="35" t="n"/>
      <c r="CM1" s="35" t="n"/>
      <c r="CN1" s="35" t="n"/>
      <c r="CO1" s="35" t="n"/>
      <c r="CP1" s="35" t="n"/>
      <c r="CQ1" s="35" t="n"/>
      <c r="CR1" s="35" t="n"/>
      <c r="CS1" s="35" t="n"/>
      <c r="CT1" s="35" t="n"/>
      <c r="CU1" s="35" t="n"/>
      <c r="CV1" s="35" t="n"/>
      <c r="CW1" s="35" t="n"/>
      <c r="CX1" s="35" t="n"/>
      <c r="CY1" s="35" t="n"/>
      <c r="CZ1" s="35" t="n"/>
      <c r="DA1" s="35" t="n"/>
      <c r="DB1" s="35" t="n"/>
      <c r="DC1" s="35" t="n"/>
      <c r="DD1" s="35" t="n"/>
      <c r="DE1" s="35" t="n"/>
      <c r="DF1" s="35" t="n"/>
      <c r="DG1" s="35" t="n"/>
      <c r="DH1" s="35" t="n"/>
      <c r="DI1" s="35" t="n"/>
      <c r="DJ1" s="35" t="n"/>
      <c r="DK1" s="35" t="n"/>
      <c r="DL1" s="35" t="n"/>
      <c r="DM1" s="35" t="n"/>
      <c r="DN1" s="35" t="n"/>
      <c r="DO1" s="35" t="n"/>
      <c r="DP1" s="35" t="n"/>
      <c r="DQ1" s="35" t="n"/>
      <c r="DR1" s="35" t="n"/>
      <c r="DS1" s="35" t="n"/>
      <c r="DT1" s="35" t="n"/>
      <c r="DU1" s="35" t="n"/>
      <c r="DV1" s="35" t="n"/>
      <c r="DW1" s="35" t="n"/>
      <c r="DX1" s="35" t="n"/>
    </row>
    <row r="2">
      <c r="N2" s="36" t="n"/>
    </row>
    <row r="3" ht="18.75" customHeight="1">
      <c r="D3" s="151" t="inlineStr">
        <is>
          <t>Probability &amp; Impact Matrix (initial)</t>
        </is>
      </c>
      <c r="N3" s="36" t="n"/>
      <c r="O3" s="151" t="n"/>
      <c r="P3" s="151" t="n"/>
      <c r="R3" s="151" t="n"/>
      <c r="S3" s="151" t="n"/>
      <c r="T3" s="151" t="n"/>
      <c r="BV3" s="151" t="n"/>
      <c r="BW3" s="151" t="n"/>
      <c r="BX3" s="151" t="n"/>
    </row>
    <row r="4" ht="7.5" customHeight="1" thickBot="1">
      <c r="N4" s="36" t="n"/>
      <c r="O4" s="151" t="n"/>
      <c r="P4" s="151" t="n"/>
      <c r="R4" s="151" t="n"/>
      <c r="S4" s="151" t="n"/>
      <c r="T4" s="151" t="n"/>
      <c r="BV4" s="151" t="n"/>
      <c r="BW4" s="151" t="n"/>
      <c r="BX4" s="151" t="n"/>
    </row>
    <row r="5" ht="18" customHeight="1">
      <c r="B5" s="144" t="inlineStr">
        <is>
          <t>Probability</t>
        </is>
      </c>
      <c r="D5" s="145" t="inlineStr">
        <is>
          <t>Threats</t>
        </is>
      </c>
      <c r="E5" s="167" t="n"/>
      <c r="F5" s="167" t="n"/>
      <c r="G5" s="167" t="n"/>
      <c r="H5" s="168" t="n"/>
      <c r="I5" s="145" t="inlineStr">
        <is>
          <t>Opportunities</t>
        </is>
      </c>
      <c r="J5" s="167" t="n"/>
      <c r="K5" s="167" t="n"/>
      <c r="L5" s="167" t="n"/>
      <c r="M5" s="168" t="n"/>
      <c r="N5" s="38" t="n"/>
      <c r="O5" s="151" t="n"/>
      <c r="P5" s="151" t="n"/>
      <c r="R5" s="151" t="n"/>
      <c r="S5" s="151" t="n"/>
      <c r="T5" s="39" t="inlineStr">
        <is>
          <t>Green/Yellow/Red Threshold Values</t>
        </is>
      </c>
      <c r="BV5" s="151" t="n"/>
      <c r="BW5" s="151" t="n"/>
      <c r="BX5" s="39" t="inlineStr">
        <is>
          <t>Green/Yellow/Red Threshold Values</t>
        </is>
      </c>
    </row>
    <row r="6" ht="33" customHeight="1">
      <c r="C6" s="40" t="n">
        <v>0.9</v>
      </c>
      <c r="D6" s="169">
        <f>U26</f>
        <v/>
      </c>
      <c r="E6" s="170">
        <f>V26</f>
        <v/>
      </c>
      <c r="F6" s="75">
        <f>W26</f>
        <v/>
      </c>
      <c r="G6" s="75">
        <f>X26</f>
        <v/>
      </c>
      <c r="H6" s="76">
        <f>Y26</f>
        <v/>
      </c>
      <c r="I6" s="77">
        <f>AU26</f>
        <v/>
      </c>
      <c r="J6" s="78">
        <f>AV26</f>
        <v/>
      </c>
      <c r="K6" s="78">
        <f>AW26</f>
        <v/>
      </c>
      <c r="L6" s="84">
        <f>AX26</f>
        <v/>
      </c>
      <c r="M6" s="80">
        <f>AY26</f>
        <v/>
      </c>
      <c r="N6" s="36" t="n"/>
      <c r="O6" s="151" t="n"/>
      <c r="P6" s="151" t="n"/>
      <c r="R6" s="151" t="n"/>
      <c r="S6" s="151" t="n"/>
      <c r="T6" s="151" t="n"/>
      <c r="U6" s="39" t="inlineStr">
        <is>
          <t>Green - maximum score</t>
        </is>
      </c>
      <c r="V6" s="39" t="n"/>
      <c r="X6" s="41" t="n">
        <v>0.05</v>
      </c>
      <c r="BV6" s="151" t="n"/>
      <c r="BW6" s="151" t="n"/>
      <c r="BX6" s="151" t="n"/>
      <c r="BY6" s="39" t="inlineStr">
        <is>
          <t>Green - maximum score</t>
        </is>
      </c>
      <c r="BZ6" s="39" t="n"/>
      <c r="CB6" s="41" t="n">
        <v>0.05</v>
      </c>
    </row>
    <row r="7" ht="33" customHeight="1">
      <c r="C7" s="40" t="n">
        <v>0.7</v>
      </c>
      <c r="D7" s="169">
        <f>Z26</f>
        <v/>
      </c>
      <c r="E7" s="170">
        <f>AA26</f>
        <v/>
      </c>
      <c r="F7" s="170">
        <f>AB26</f>
        <v/>
      </c>
      <c r="G7" s="75">
        <f>AC26</f>
        <v/>
      </c>
      <c r="H7" s="76">
        <f>AD26</f>
        <v/>
      </c>
      <c r="I7" s="77">
        <f>AZ26</f>
        <v/>
      </c>
      <c r="J7" s="78">
        <f>BA26</f>
        <v/>
      </c>
      <c r="K7" s="84">
        <f>BB26</f>
        <v/>
      </c>
      <c r="L7" s="84">
        <f>BC26</f>
        <v/>
      </c>
      <c r="M7" s="80">
        <f>BD26</f>
        <v/>
      </c>
      <c r="N7" s="36" t="n"/>
      <c r="O7" s="151" t="n"/>
      <c r="P7" s="151" t="n"/>
      <c r="R7" s="151" t="n"/>
      <c r="S7" s="151" t="n"/>
      <c r="T7" s="151" t="n"/>
      <c r="U7" s="39" t="inlineStr">
        <is>
          <t>Yellow - minimum score</t>
        </is>
      </c>
      <c r="V7" s="39" t="n"/>
      <c r="X7" s="41" t="n">
        <v>0.06</v>
      </c>
      <c r="BV7" s="151" t="n"/>
      <c r="BW7" s="151" t="n"/>
      <c r="BX7" s="151" t="n"/>
      <c r="BY7" s="39" t="inlineStr">
        <is>
          <t>Yellow - minimum score</t>
        </is>
      </c>
      <c r="BZ7" s="39" t="n"/>
      <c r="CB7" s="41" t="n">
        <v>0.06</v>
      </c>
    </row>
    <row r="8" ht="33" customHeight="1">
      <c r="C8" s="40" t="n">
        <v>0.5</v>
      </c>
      <c r="D8" s="169">
        <f>AE26</f>
        <v/>
      </c>
      <c r="E8" s="171">
        <f>AF26</f>
        <v/>
      </c>
      <c r="F8" s="170">
        <f>AG26</f>
        <v/>
      </c>
      <c r="G8" s="75">
        <f>AH26</f>
        <v/>
      </c>
      <c r="H8" s="76">
        <f>AI26</f>
        <v/>
      </c>
      <c r="I8" s="77">
        <f>BE26</f>
        <v/>
      </c>
      <c r="J8" s="78">
        <f>BF26</f>
        <v/>
      </c>
      <c r="K8" s="84">
        <f>BG26</f>
        <v/>
      </c>
      <c r="L8" s="82">
        <f>BH26</f>
        <v/>
      </c>
      <c r="M8" s="80">
        <f>BI26</f>
        <v/>
      </c>
      <c r="N8" s="36" t="n"/>
      <c r="O8" s="151" t="n"/>
      <c r="P8" s="151" t="n"/>
      <c r="R8" s="151" t="n"/>
      <c r="S8" s="151" t="n"/>
      <c r="T8" s="151" t="n"/>
      <c r="U8" s="39" t="inlineStr">
        <is>
          <t>Yellow - maximum score</t>
        </is>
      </c>
      <c r="V8" s="39" t="n"/>
      <c r="X8" s="41" t="n">
        <v>0.14</v>
      </c>
      <c r="BV8" s="151" t="n"/>
      <c r="BW8" s="151" t="n"/>
      <c r="BX8" s="151" t="n"/>
      <c r="BY8" s="39" t="inlineStr">
        <is>
          <t>Yellow - maximum score</t>
        </is>
      </c>
      <c r="BZ8" s="39" t="n"/>
      <c r="CB8" s="41" t="n">
        <v>0.14</v>
      </c>
    </row>
    <row r="9" ht="33" customHeight="1">
      <c r="C9" s="40" t="n">
        <v>0.3</v>
      </c>
      <c r="D9" s="169">
        <f>AJ26</f>
        <v/>
      </c>
      <c r="E9" s="171">
        <f>AK26</f>
        <v/>
      </c>
      <c r="F9" s="170">
        <f>AL26</f>
        <v/>
      </c>
      <c r="G9" s="170">
        <f>AM26</f>
        <v/>
      </c>
      <c r="H9" s="76">
        <f>AN26</f>
        <v/>
      </c>
      <c r="I9" s="77">
        <f>BJ26</f>
        <v/>
      </c>
      <c r="J9" s="84">
        <f>BK26</f>
        <v/>
      </c>
      <c r="K9" s="84">
        <f>BL26</f>
        <v/>
      </c>
      <c r="L9" s="82">
        <f>BM26</f>
        <v/>
      </c>
      <c r="M9" s="80">
        <f>BN26</f>
        <v/>
      </c>
      <c r="N9" s="36" t="n"/>
      <c r="O9" s="151" t="n"/>
      <c r="P9" s="151" t="n"/>
      <c r="R9" s="151" t="n"/>
      <c r="S9" s="151" t="n"/>
      <c r="T9" s="151" t="n"/>
      <c r="U9" s="39" t="inlineStr">
        <is>
          <t>Red - minimum score</t>
        </is>
      </c>
      <c r="X9" s="41" t="n">
        <v>0.15</v>
      </c>
      <c r="Y9" s="151" t="n"/>
      <c r="Z9" s="151" t="n"/>
      <c r="AA9" s="151" t="n"/>
      <c r="BV9" s="151" t="n"/>
      <c r="BW9" s="151" t="n"/>
      <c r="BX9" s="151" t="n"/>
      <c r="BY9" s="39" t="inlineStr">
        <is>
          <t>Red - minimum score</t>
        </is>
      </c>
      <c r="CB9" s="41" t="n">
        <v>0.15</v>
      </c>
      <c r="CC9" s="151" t="n"/>
      <c r="CD9" s="151" t="n"/>
      <c r="CE9" s="151" t="n"/>
    </row>
    <row r="10" ht="33" customHeight="1" thickBot="1">
      <c r="C10" s="40" t="n">
        <v>0.1</v>
      </c>
      <c r="D10" s="172">
        <f>AO26</f>
        <v/>
      </c>
      <c r="E10" s="173">
        <f>AP26</f>
        <v/>
      </c>
      <c r="F10" s="173">
        <f>AQ26</f>
        <v/>
      </c>
      <c r="G10" s="173">
        <f>AR26</f>
        <v/>
      </c>
      <c r="H10" s="174">
        <f>AS26</f>
        <v/>
      </c>
      <c r="I10" s="85">
        <f>BO26</f>
        <v/>
      </c>
      <c r="J10" s="83">
        <f>BP26</f>
        <v/>
      </c>
      <c r="K10" s="83">
        <f>BQ26</f>
        <v/>
      </c>
      <c r="L10" s="83">
        <f>BR26</f>
        <v/>
      </c>
      <c r="M10" s="81">
        <f>BS26</f>
        <v/>
      </c>
      <c r="N10" s="36" t="n"/>
      <c r="O10" s="151" t="n"/>
      <c r="P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  <c r="AA10" s="151" t="n"/>
      <c r="BV10" s="151" t="n"/>
      <c r="BW10" s="151" t="n"/>
      <c r="BX10" s="151" t="n"/>
      <c r="BY10" s="151" t="n"/>
      <c r="BZ10" s="151" t="n"/>
      <c r="CA10" s="151" t="n"/>
      <c r="CB10" s="151" t="n"/>
      <c r="CC10" s="151" t="n"/>
      <c r="CD10" s="151" t="n"/>
      <c r="CE10" s="151" t="n"/>
    </row>
    <row r="11" ht="19.5" customHeight="1">
      <c r="C11" s="42" t="n">
        <v>0</v>
      </c>
      <c r="D11" s="36" t="inlineStr">
        <is>
          <t>very low</t>
        </is>
      </c>
      <c r="E11" s="36" t="inlineStr">
        <is>
          <t>low</t>
        </is>
      </c>
      <c r="F11" s="36" t="inlineStr">
        <is>
          <t>medium</t>
        </is>
      </c>
      <c r="G11" s="36" t="inlineStr">
        <is>
          <t>high</t>
        </is>
      </c>
      <c r="H11" s="36" t="inlineStr">
        <is>
          <t>very high</t>
        </is>
      </c>
      <c r="I11" s="36" t="inlineStr">
        <is>
          <t>very high</t>
        </is>
      </c>
      <c r="J11" s="36" t="inlineStr">
        <is>
          <t>high</t>
        </is>
      </c>
      <c r="K11" s="36" t="inlineStr">
        <is>
          <t>medium</t>
        </is>
      </c>
      <c r="L11" s="36" t="inlineStr">
        <is>
          <t>low</t>
        </is>
      </c>
      <c r="M11" s="36" t="inlineStr">
        <is>
          <t>very low</t>
        </is>
      </c>
      <c r="N11" s="36" t="n"/>
      <c r="O11" s="151" t="n"/>
      <c r="P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BV11" s="151" t="n"/>
      <c r="BW11" s="151" t="n"/>
      <c r="BX11" s="151" t="n"/>
      <c r="BY11" s="151" t="n"/>
      <c r="BZ11" s="151" t="n"/>
      <c r="CA11" s="151" t="n"/>
      <c r="CB11" s="151" t="n"/>
      <c r="CC11" s="151" t="n"/>
      <c r="CD11" s="151" t="n"/>
      <c r="CE11" s="151" t="n"/>
    </row>
    <row r="12" ht="18" customHeight="1">
      <c r="D12" s="148" t="inlineStr">
        <is>
          <t>Impact</t>
        </is>
      </c>
      <c r="N12" s="148" t="n"/>
      <c r="O12" s="151" t="n"/>
      <c r="P12" s="151" t="n"/>
      <c r="R12" s="151" t="n"/>
      <c r="S12" s="151" t="n"/>
      <c r="T12" s="151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V12" s="151" t="n"/>
      <c r="BW12" s="151" t="n"/>
      <c r="BX12" s="151" t="n"/>
      <c r="BY12" s="39" t="n"/>
      <c r="BZ12" s="39" t="n"/>
      <c r="CA12" s="39" t="n"/>
      <c r="CB12" s="39" t="n"/>
      <c r="CC12" s="39" t="n"/>
      <c r="CD12" s="39" t="n"/>
      <c r="CE12" s="39" t="n"/>
      <c r="CF12" s="39" t="n"/>
      <c r="CG12" s="39" t="n"/>
      <c r="CH12" s="39" t="n"/>
      <c r="CI12" s="39" t="n"/>
      <c r="CJ12" s="39" t="n"/>
      <c r="CK12" s="39" t="n"/>
      <c r="CL12" s="39" t="n"/>
      <c r="CM12" s="39" t="n"/>
      <c r="CN12" s="39" t="n"/>
      <c r="CO12" s="39" t="n"/>
      <c r="CP12" s="39" t="n"/>
      <c r="CQ12" s="39" t="n"/>
      <c r="CR12" s="39" t="n"/>
      <c r="CS12" s="39" t="n"/>
      <c r="CT12" s="39" t="n"/>
      <c r="CU12" s="39" t="n"/>
      <c r="CV12" s="39" t="n"/>
      <c r="CW12" s="39" t="n"/>
      <c r="CX12" s="39" t="n"/>
      <c r="CY12" s="39" t="n"/>
      <c r="CZ12" s="39" t="n"/>
      <c r="DA12" s="39" t="n"/>
      <c r="DB12" s="39" t="n"/>
      <c r="DC12" s="39" t="n"/>
      <c r="DD12" s="39" t="n"/>
      <c r="DE12" s="39" t="n"/>
      <c r="DF12" s="39" t="n"/>
      <c r="DG12" s="39" t="n"/>
      <c r="DH12" s="39" t="n"/>
      <c r="DI12" s="39" t="n"/>
      <c r="DJ12" s="39" t="n"/>
      <c r="DK12" s="39" t="n"/>
      <c r="DL12" s="39" t="n"/>
      <c r="DM12" s="39" t="n"/>
      <c r="DN12" s="39" t="n"/>
      <c r="DO12" s="39" t="n"/>
      <c r="DP12" s="39" t="n"/>
      <c r="DQ12" s="39" t="n"/>
      <c r="DR12" s="39" t="n"/>
      <c r="DS12" s="39" t="n"/>
      <c r="DT12" s="39" t="n"/>
      <c r="DU12" s="39" t="n"/>
      <c r="DV12" s="39" t="n"/>
      <c r="DW12" s="39" t="n"/>
    </row>
    <row r="13" ht="15.6" customHeight="1">
      <c r="O13" s="151" t="n"/>
      <c r="P13" s="151" t="n"/>
      <c r="R13" s="151" t="n"/>
      <c r="S13" s="151" t="n"/>
      <c r="T13" s="151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39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44" t="n"/>
      <c r="BK13" s="44" t="n"/>
      <c r="BL13" s="44" t="n"/>
      <c r="BM13" s="44" t="n"/>
      <c r="BN13" s="44" t="n"/>
      <c r="BO13" s="44" t="n"/>
      <c r="BP13" s="44" t="n"/>
      <c r="BQ13" s="44" t="n"/>
      <c r="BR13" s="44" t="n"/>
      <c r="BS13" s="44" t="n"/>
      <c r="BV13" s="151" t="n"/>
      <c r="BW13" s="151" t="n"/>
      <c r="BX13" s="151" t="n"/>
      <c r="BY13" s="44" t="n"/>
      <c r="BZ13" s="44" t="n"/>
      <c r="CA13" s="44" t="n"/>
      <c r="CB13" s="44" t="n"/>
      <c r="CC13" s="44" t="n"/>
      <c r="CD13" s="44" t="n"/>
      <c r="CE13" s="44" t="n"/>
      <c r="CF13" s="44" t="n"/>
      <c r="CG13" s="44" t="n"/>
      <c r="CH13" s="44" t="n"/>
      <c r="CI13" s="44" t="n"/>
      <c r="CJ13" s="44" t="n"/>
      <c r="CK13" s="44" t="n"/>
      <c r="CL13" s="44" t="n"/>
      <c r="CM13" s="44" t="n"/>
      <c r="CN13" s="44" t="n"/>
      <c r="CO13" s="44" t="n"/>
      <c r="CP13" s="44" t="n"/>
      <c r="CQ13" s="44" t="n"/>
      <c r="CR13" s="44" t="n"/>
      <c r="CS13" s="44" t="n"/>
      <c r="CT13" s="44" t="n"/>
      <c r="CU13" s="44" t="n"/>
      <c r="CV13" s="44" t="n"/>
      <c r="CW13" s="44" t="n"/>
      <c r="CX13" s="39" t="n"/>
      <c r="CY13" s="44" t="n"/>
      <c r="CZ13" s="44" t="n"/>
      <c r="DA13" s="44" t="n"/>
      <c r="DB13" s="44" t="n"/>
      <c r="DC13" s="44" t="n"/>
      <c r="DD13" s="44" t="n"/>
      <c r="DE13" s="44" t="n"/>
      <c r="DF13" s="44" t="n"/>
      <c r="DG13" s="44" t="n"/>
      <c r="DH13" s="44" t="n"/>
      <c r="DI13" s="44" t="n"/>
      <c r="DJ13" s="44" t="n"/>
      <c r="DK13" s="44" t="n"/>
      <c r="DL13" s="44" t="n"/>
      <c r="DM13" s="44" t="n"/>
      <c r="DN13" s="44" t="n"/>
      <c r="DO13" s="44" t="n"/>
      <c r="DP13" s="44" t="n"/>
      <c r="DQ13" s="44" t="n"/>
      <c r="DR13" s="44" t="n"/>
      <c r="DS13" s="44" t="n"/>
      <c r="DT13" s="44" t="n"/>
      <c r="DU13" s="44" t="n"/>
      <c r="DV13" s="44" t="n"/>
      <c r="DW13" s="44" t="n"/>
    </row>
    <row r="14">
      <c r="N14" s="36" t="n"/>
    </row>
    <row r="15" ht="18.75" customHeight="1">
      <c r="D15" s="151" t="inlineStr">
        <is>
          <t>Probability &amp; Impact Matrix (actual)</t>
        </is>
      </c>
      <c r="N15" s="36" t="n"/>
      <c r="O15" s="151" t="n"/>
      <c r="P15" s="151" t="n"/>
      <c r="R15" s="151" t="n"/>
      <c r="S15" s="151" t="n"/>
      <c r="T15" s="151" t="n"/>
      <c r="BV15" s="151" t="n"/>
      <c r="BW15" s="151" t="n"/>
      <c r="BX15" s="151" t="n"/>
    </row>
    <row r="16" ht="7.5" customHeight="1" thickBot="1">
      <c r="N16" s="36" t="n"/>
      <c r="O16" s="151" t="n"/>
      <c r="P16" s="151" t="n"/>
      <c r="R16" s="151" t="n"/>
      <c r="S16" s="151" t="n"/>
      <c r="T16" s="151" t="n"/>
      <c r="BV16" s="151" t="n"/>
      <c r="BW16" s="151" t="n"/>
      <c r="BX16" s="151" t="n"/>
    </row>
    <row r="17" ht="18" customHeight="1">
      <c r="B17" s="144" t="inlineStr">
        <is>
          <t>Probability</t>
        </is>
      </c>
      <c r="D17" s="145" t="inlineStr">
        <is>
          <t>Threats</t>
        </is>
      </c>
      <c r="E17" s="167" t="n"/>
      <c r="F17" s="167" t="n"/>
      <c r="G17" s="167" t="n"/>
      <c r="H17" s="168" t="n"/>
      <c r="I17" s="145" t="inlineStr">
        <is>
          <t>Opportunities</t>
        </is>
      </c>
      <c r="J17" s="167" t="n"/>
      <c r="K17" s="167" t="n"/>
      <c r="L17" s="167" t="n"/>
      <c r="M17" s="168" t="n"/>
      <c r="N17" s="38" t="n"/>
      <c r="O17" s="151" t="n"/>
      <c r="P17" s="151" t="n"/>
      <c r="R17" s="151" t="n"/>
      <c r="S17" s="151" t="n"/>
      <c r="T17" s="39" t="n"/>
      <c r="BV17" s="151" t="n"/>
      <c r="BW17" s="151" t="n"/>
      <c r="BX17" s="39" t="n"/>
    </row>
    <row r="18" ht="33" customHeight="1">
      <c r="C18" s="40" t="n">
        <v>0.9</v>
      </c>
      <c r="D18" s="169">
        <f>BY26</f>
        <v/>
      </c>
      <c r="E18" s="170">
        <f>BZ26</f>
        <v/>
      </c>
      <c r="F18" s="75">
        <f>CA26</f>
        <v/>
      </c>
      <c r="G18" s="75">
        <f>CB26</f>
        <v/>
      </c>
      <c r="H18" s="76">
        <f>CC26</f>
        <v/>
      </c>
      <c r="I18" s="77">
        <f>CY26</f>
        <v/>
      </c>
      <c r="J18" s="78">
        <f>CZ26</f>
        <v/>
      </c>
      <c r="K18" s="78">
        <f>DA26</f>
        <v/>
      </c>
      <c r="L18" s="84">
        <f>DB26</f>
        <v/>
      </c>
      <c r="M18" s="80">
        <f>DC26</f>
        <v/>
      </c>
      <c r="N18" s="36" t="n"/>
      <c r="O18" s="151" t="n"/>
      <c r="P18" s="151" t="n"/>
      <c r="R18" s="151" t="n"/>
      <c r="S18" s="151" t="n"/>
      <c r="T18" s="151" t="n"/>
      <c r="U18" s="39" t="n"/>
      <c r="V18" s="39" t="n"/>
      <c r="X18" s="41" t="n"/>
      <c r="BV18" s="151" t="n"/>
      <c r="BW18" s="151" t="n"/>
      <c r="BX18" s="151" t="n"/>
      <c r="BY18" s="39" t="n"/>
      <c r="BZ18" s="39" t="n"/>
      <c r="CB18" s="41" t="n"/>
    </row>
    <row r="19" ht="33" customHeight="1">
      <c r="C19" s="40" t="n">
        <v>0.7</v>
      </c>
      <c r="D19" s="169">
        <f>CD26</f>
        <v/>
      </c>
      <c r="E19" s="170">
        <f>CE26</f>
        <v/>
      </c>
      <c r="F19" s="170">
        <f>CF26</f>
        <v/>
      </c>
      <c r="G19" s="75">
        <f>CG26</f>
        <v/>
      </c>
      <c r="H19" s="76">
        <f>CH26</f>
        <v/>
      </c>
      <c r="I19" s="77">
        <f>DD26</f>
        <v/>
      </c>
      <c r="J19" s="78">
        <f>DE26</f>
        <v/>
      </c>
      <c r="K19" s="84">
        <f>DF26</f>
        <v/>
      </c>
      <c r="L19" s="84">
        <f>DG26</f>
        <v/>
      </c>
      <c r="M19" s="80">
        <f>DH26</f>
        <v/>
      </c>
      <c r="N19" s="36" t="n"/>
      <c r="O19" s="151" t="n"/>
      <c r="P19" s="151" t="n"/>
      <c r="R19" s="151" t="n"/>
      <c r="S19" s="151" t="n"/>
      <c r="T19" s="151" t="n"/>
      <c r="U19" s="39" t="n"/>
      <c r="V19" s="39" t="n"/>
      <c r="X19" s="41" t="n"/>
      <c r="BV19" s="151" t="n"/>
      <c r="BW19" s="151" t="n"/>
      <c r="BX19" s="151" t="n"/>
      <c r="BY19" s="39" t="n"/>
      <c r="BZ19" s="39" t="n"/>
      <c r="CB19" s="41" t="n"/>
    </row>
    <row r="20" ht="33" customHeight="1">
      <c r="C20" s="40" t="n">
        <v>0.5</v>
      </c>
      <c r="D20" s="169">
        <f>CI26</f>
        <v/>
      </c>
      <c r="E20" s="171">
        <f>CJ26</f>
        <v/>
      </c>
      <c r="F20" s="170">
        <f>CK26</f>
        <v/>
      </c>
      <c r="G20" s="75">
        <f>CL26</f>
        <v/>
      </c>
      <c r="H20" s="76">
        <f>CM26</f>
        <v/>
      </c>
      <c r="I20" s="77">
        <f>DI26</f>
        <v/>
      </c>
      <c r="J20" s="78">
        <f>DJ26</f>
        <v/>
      </c>
      <c r="K20" s="84">
        <f>DK26</f>
        <v/>
      </c>
      <c r="L20" s="82">
        <f>DL26</f>
        <v/>
      </c>
      <c r="M20" s="80">
        <f>DM26</f>
        <v/>
      </c>
      <c r="N20" s="36" t="n"/>
      <c r="O20" s="151" t="n"/>
      <c r="P20" s="151" t="n"/>
      <c r="R20" s="151" t="n"/>
      <c r="S20" s="151" t="n"/>
      <c r="T20" s="151" t="n"/>
      <c r="U20" s="39" t="n"/>
      <c r="V20" s="39" t="n"/>
      <c r="X20" s="41" t="n"/>
      <c r="BV20" s="151" t="n"/>
      <c r="BW20" s="151" t="n"/>
      <c r="BX20" s="151" t="n"/>
      <c r="BY20" s="39" t="n"/>
      <c r="BZ20" s="39" t="n"/>
      <c r="CB20" s="41" t="n"/>
    </row>
    <row r="21" ht="33" customHeight="1">
      <c r="C21" s="40" t="n">
        <v>0.3</v>
      </c>
      <c r="D21" s="169">
        <f>CN26</f>
        <v/>
      </c>
      <c r="E21" s="171">
        <f>CO26</f>
        <v/>
      </c>
      <c r="F21" s="170">
        <f>CP26</f>
        <v/>
      </c>
      <c r="G21" s="170">
        <f>CQ26</f>
        <v/>
      </c>
      <c r="H21" s="76">
        <f>CR26</f>
        <v/>
      </c>
      <c r="I21" s="77">
        <f>DN26</f>
        <v/>
      </c>
      <c r="J21" s="84">
        <f>DO26</f>
        <v/>
      </c>
      <c r="K21" s="84">
        <f>DP26</f>
        <v/>
      </c>
      <c r="L21" s="82">
        <f>DQ26</f>
        <v/>
      </c>
      <c r="M21" s="80">
        <f>DR26</f>
        <v/>
      </c>
      <c r="N21" s="36" t="n"/>
      <c r="O21" s="151" t="n"/>
      <c r="P21" s="151" t="n"/>
      <c r="R21" s="151" t="n"/>
      <c r="S21" s="151" t="n"/>
      <c r="T21" s="151" t="n"/>
      <c r="U21" s="39" t="n"/>
      <c r="X21" s="41" t="n"/>
      <c r="Y21" s="151" t="n"/>
      <c r="Z21" s="151" t="n"/>
      <c r="AA21" s="151" t="n"/>
      <c r="BV21" s="151" t="n"/>
      <c r="BW21" s="151" t="n"/>
      <c r="BX21" s="151" t="n"/>
      <c r="BY21" s="39" t="n"/>
      <c r="CB21" s="41" t="n"/>
      <c r="CC21" s="151" t="n"/>
      <c r="CD21" s="151" t="n"/>
      <c r="CE21" s="151" t="n"/>
    </row>
    <row r="22" ht="33" customHeight="1" thickBot="1">
      <c r="C22" s="40" t="n">
        <v>0.1</v>
      </c>
      <c r="D22" s="172">
        <f>CS26</f>
        <v/>
      </c>
      <c r="E22" s="173">
        <f>CT26</f>
        <v/>
      </c>
      <c r="F22" s="173">
        <f>CU26</f>
        <v/>
      </c>
      <c r="G22" s="173">
        <f>CV26</f>
        <v/>
      </c>
      <c r="H22" s="174">
        <f>CW26</f>
        <v/>
      </c>
      <c r="I22" s="85">
        <f>DS26</f>
        <v/>
      </c>
      <c r="J22" s="83">
        <f>DT26</f>
        <v/>
      </c>
      <c r="K22" s="83">
        <f>DU26</f>
        <v/>
      </c>
      <c r="L22" s="83">
        <f>DV26</f>
        <v/>
      </c>
      <c r="M22" s="81">
        <f>DW26</f>
        <v/>
      </c>
      <c r="N22" s="36" t="n"/>
      <c r="O22" s="151" t="n"/>
      <c r="P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BV22" s="151" t="n"/>
      <c r="BW22" s="151" t="n"/>
      <c r="BX22" s="151" t="n"/>
      <c r="BY22" s="151" t="n"/>
      <c r="BZ22" s="151" t="n"/>
      <c r="CA22" s="151" t="n"/>
      <c r="CB22" s="151" t="n"/>
      <c r="CC22" s="151" t="n"/>
      <c r="CD22" s="151" t="n"/>
      <c r="CE22" s="151" t="n"/>
    </row>
    <row r="23" ht="19.5" customHeight="1">
      <c r="C23" s="42" t="n">
        <v>0</v>
      </c>
      <c r="D23" s="36" t="inlineStr">
        <is>
          <t>very low</t>
        </is>
      </c>
      <c r="E23" s="36" t="inlineStr">
        <is>
          <t>low</t>
        </is>
      </c>
      <c r="F23" s="36" t="inlineStr">
        <is>
          <t>medium</t>
        </is>
      </c>
      <c r="G23" s="36" t="inlineStr">
        <is>
          <t>high</t>
        </is>
      </c>
      <c r="H23" s="36" t="inlineStr">
        <is>
          <t>very high</t>
        </is>
      </c>
      <c r="I23" s="36" t="inlineStr">
        <is>
          <t>very high</t>
        </is>
      </c>
      <c r="J23" s="36" t="inlineStr">
        <is>
          <t>high</t>
        </is>
      </c>
      <c r="K23" s="36" t="inlineStr">
        <is>
          <t>medium</t>
        </is>
      </c>
      <c r="L23" s="36" t="inlineStr">
        <is>
          <t>low</t>
        </is>
      </c>
      <c r="M23" s="36" t="inlineStr">
        <is>
          <t>very low</t>
        </is>
      </c>
      <c r="N23" s="36" t="n"/>
      <c r="O23" s="151" t="n"/>
      <c r="P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BV23" s="151" t="n"/>
      <c r="BW23" s="151" t="n"/>
      <c r="BX23" s="151" t="n"/>
      <c r="BY23" s="151" t="n"/>
      <c r="BZ23" s="151" t="n"/>
      <c r="CA23" s="151" t="n"/>
      <c r="CB23" s="151" t="n"/>
      <c r="CC23" s="151" t="n"/>
      <c r="CD23" s="151" t="n"/>
      <c r="CE23" s="151" t="n"/>
    </row>
    <row r="24" ht="18" customHeight="1">
      <c r="D24" s="148" t="inlineStr">
        <is>
          <t>Impact</t>
        </is>
      </c>
      <c r="N24" s="148" t="n"/>
      <c r="O24" s="151" t="n"/>
      <c r="P24" s="151" t="n"/>
      <c r="R24" s="151" t="n"/>
      <c r="S24" s="151" t="n"/>
      <c r="T24" s="151" t="n"/>
      <c r="U24" s="39" t="inlineStr">
        <is>
          <t>P-I # threat</t>
        </is>
      </c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inlineStr">
        <is>
          <t>P-I # opportunity</t>
        </is>
      </c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V24" s="151" t="n"/>
      <c r="BW24" s="151" t="n"/>
      <c r="BX24" s="151" t="n"/>
      <c r="BY24" s="39" t="inlineStr">
        <is>
          <t>P-I # threat</t>
        </is>
      </c>
      <c r="BZ24" s="39" t="n"/>
      <c r="CA24" s="39" t="n"/>
      <c r="CB24" s="39" t="n"/>
      <c r="CC24" s="39" t="n"/>
      <c r="CD24" s="39" t="n"/>
      <c r="CE24" s="39" t="n"/>
      <c r="CF24" s="39" t="n"/>
      <c r="CG24" s="39" t="n"/>
      <c r="CH24" s="39" t="n"/>
      <c r="CI24" s="39" t="n"/>
      <c r="CJ24" s="39" t="n"/>
      <c r="CK24" s="39" t="n"/>
      <c r="CL24" s="39" t="n"/>
      <c r="CM24" s="39" t="n"/>
      <c r="CN24" s="39" t="n"/>
      <c r="CO24" s="39" t="n"/>
      <c r="CP24" s="39" t="n"/>
      <c r="CQ24" s="39" t="n"/>
      <c r="CR24" s="39" t="n"/>
      <c r="CS24" s="39" t="n"/>
      <c r="CT24" s="39" t="n"/>
      <c r="CU24" s="39" t="n"/>
      <c r="CV24" s="39" t="n"/>
      <c r="CW24" s="39" t="n"/>
      <c r="CX24" s="39" t="n"/>
      <c r="CY24" s="39" t="inlineStr">
        <is>
          <t>P-I # opportunity</t>
        </is>
      </c>
      <c r="CZ24" s="39" t="n"/>
      <c r="DA24" s="39" t="n"/>
      <c r="DB24" s="39" t="n"/>
      <c r="DC24" s="39" t="n"/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39" t="n"/>
      <c r="DN24" s="39" t="n"/>
      <c r="DO24" s="39" t="n"/>
      <c r="DP24" s="39" t="n"/>
      <c r="DQ24" s="39" t="n"/>
      <c r="DR24" s="39" t="n"/>
      <c r="DS24" s="39" t="n"/>
      <c r="DT24" s="39" t="n"/>
      <c r="DU24" s="39" t="n"/>
      <c r="DV24" s="39" t="n"/>
      <c r="DW24" s="39" t="n"/>
    </row>
    <row r="25" ht="15.6" customHeight="1">
      <c r="O25" s="151" t="n"/>
      <c r="P25" s="151" t="n"/>
      <c r="R25" s="151" t="n"/>
      <c r="S25" s="151" t="n"/>
      <c r="T25" s="151" t="n"/>
      <c r="U25" s="45" t="inlineStr">
        <is>
          <t>1-1</t>
        </is>
      </c>
      <c r="V25" s="45" t="inlineStr">
        <is>
          <t>1-2</t>
        </is>
      </c>
      <c r="W25" s="45" t="inlineStr">
        <is>
          <t>1-3</t>
        </is>
      </c>
      <c r="X25" s="45" t="inlineStr">
        <is>
          <t>1-4</t>
        </is>
      </c>
      <c r="Y25" s="45" t="inlineStr">
        <is>
          <t>1-5</t>
        </is>
      </c>
      <c r="Z25" s="46" t="inlineStr">
        <is>
          <t>2-1</t>
        </is>
      </c>
      <c r="AA25" s="45" t="inlineStr">
        <is>
          <t>2-2</t>
        </is>
      </c>
      <c r="AB25" s="45" t="inlineStr">
        <is>
          <t>2-3</t>
        </is>
      </c>
      <c r="AC25" s="45" t="inlineStr">
        <is>
          <t>2-4</t>
        </is>
      </c>
      <c r="AD25" s="45" t="inlineStr">
        <is>
          <t>2-5</t>
        </is>
      </c>
      <c r="AE25" s="45" t="inlineStr">
        <is>
          <t>3-1</t>
        </is>
      </c>
      <c r="AF25" s="45" t="inlineStr">
        <is>
          <t>3-2</t>
        </is>
      </c>
      <c r="AG25" s="45" t="inlineStr">
        <is>
          <t>3-3</t>
        </is>
      </c>
      <c r="AH25" s="45" t="inlineStr">
        <is>
          <t>3-4</t>
        </is>
      </c>
      <c r="AI25" s="45" t="inlineStr">
        <is>
          <t>3-5</t>
        </is>
      </c>
      <c r="AJ25" s="45" t="inlineStr">
        <is>
          <t>4-1</t>
        </is>
      </c>
      <c r="AK25" s="45" t="inlineStr">
        <is>
          <t>4-2</t>
        </is>
      </c>
      <c r="AL25" s="45" t="inlineStr">
        <is>
          <t>4-3</t>
        </is>
      </c>
      <c r="AM25" s="45" t="inlineStr">
        <is>
          <t>4-4</t>
        </is>
      </c>
      <c r="AN25" s="45" t="inlineStr">
        <is>
          <t>4-5</t>
        </is>
      </c>
      <c r="AO25" s="45" t="inlineStr">
        <is>
          <t>4-1</t>
        </is>
      </c>
      <c r="AP25" s="45" t="inlineStr">
        <is>
          <t>4-2</t>
        </is>
      </c>
      <c r="AQ25" s="45" t="inlineStr">
        <is>
          <t>4-3</t>
        </is>
      </c>
      <c r="AR25" s="45" t="inlineStr">
        <is>
          <t>4-4</t>
        </is>
      </c>
      <c r="AS25" s="45" t="inlineStr">
        <is>
          <t>4-5</t>
        </is>
      </c>
      <c r="AT25" s="39" t="n"/>
      <c r="AU25" s="45" t="inlineStr">
        <is>
          <t>1-1</t>
        </is>
      </c>
      <c r="AV25" s="45" t="inlineStr">
        <is>
          <t>1-2</t>
        </is>
      </c>
      <c r="AW25" s="45" t="inlineStr">
        <is>
          <t>1-3</t>
        </is>
      </c>
      <c r="AX25" s="45" t="inlineStr">
        <is>
          <t>1-4</t>
        </is>
      </c>
      <c r="AY25" s="45" t="inlineStr">
        <is>
          <t>1-5</t>
        </is>
      </c>
      <c r="AZ25" s="45" t="inlineStr">
        <is>
          <t>2-1</t>
        </is>
      </c>
      <c r="BA25" s="45" t="inlineStr">
        <is>
          <t>2-2</t>
        </is>
      </c>
      <c r="BB25" s="45" t="inlineStr">
        <is>
          <t>2-3</t>
        </is>
      </c>
      <c r="BC25" s="45" t="inlineStr">
        <is>
          <t>2-4</t>
        </is>
      </c>
      <c r="BD25" s="45" t="inlineStr">
        <is>
          <t>2-5</t>
        </is>
      </c>
      <c r="BE25" s="45" t="inlineStr">
        <is>
          <t>3-1</t>
        </is>
      </c>
      <c r="BF25" s="45" t="inlineStr">
        <is>
          <t>3-2</t>
        </is>
      </c>
      <c r="BG25" s="45" t="inlineStr">
        <is>
          <t>3-3</t>
        </is>
      </c>
      <c r="BH25" s="45" t="inlineStr">
        <is>
          <t>3-4</t>
        </is>
      </c>
      <c r="BI25" s="45" t="inlineStr">
        <is>
          <t>3-5</t>
        </is>
      </c>
      <c r="BJ25" s="45" t="inlineStr">
        <is>
          <t>4-1</t>
        </is>
      </c>
      <c r="BK25" s="45" t="inlineStr">
        <is>
          <t>4-2</t>
        </is>
      </c>
      <c r="BL25" s="45" t="inlineStr">
        <is>
          <t>4-3</t>
        </is>
      </c>
      <c r="BM25" s="45" t="inlineStr">
        <is>
          <t>4-4</t>
        </is>
      </c>
      <c r="BN25" s="45" t="inlineStr">
        <is>
          <t>4-5</t>
        </is>
      </c>
      <c r="BO25" s="45" t="inlineStr">
        <is>
          <t>4-1</t>
        </is>
      </c>
      <c r="BP25" s="45" t="inlineStr">
        <is>
          <t>4-2</t>
        </is>
      </c>
      <c r="BQ25" s="45" t="inlineStr">
        <is>
          <t>4-3</t>
        </is>
      </c>
      <c r="BR25" s="45" t="inlineStr">
        <is>
          <t>4-4</t>
        </is>
      </c>
      <c r="BS25" s="45" t="inlineStr">
        <is>
          <t>4-5</t>
        </is>
      </c>
      <c r="BV25" s="151" t="n"/>
      <c r="BW25" s="151" t="n"/>
      <c r="BX25" s="151" t="n"/>
      <c r="BY25" s="45" t="inlineStr">
        <is>
          <t>1-1</t>
        </is>
      </c>
      <c r="BZ25" s="45" t="inlineStr">
        <is>
          <t>1-2</t>
        </is>
      </c>
      <c r="CA25" s="45" t="inlineStr">
        <is>
          <t>1-3</t>
        </is>
      </c>
      <c r="CB25" s="45" t="inlineStr">
        <is>
          <t>1-4</t>
        </is>
      </c>
      <c r="CC25" s="45" t="inlineStr">
        <is>
          <t>1-5</t>
        </is>
      </c>
      <c r="CD25" s="46" t="inlineStr">
        <is>
          <t>2-1</t>
        </is>
      </c>
      <c r="CE25" s="45" t="inlineStr">
        <is>
          <t>2-2</t>
        </is>
      </c>
      <c r="CF25" s="45" t="inlineStr">
        <is>
          <t>2-3</t>
        </is>
      </c>
      <c r="CG25" s="45" t="inlineStr">
        <is>
          <t>2-4</t>
        </is>
      </c>
      <c r="CH25" s="45" t="inlineStr">
        <is>
          <t>2-5</t>
        </is>
      </c>
      <c r="CI25" s="45" t="inlineStr">
        <is>
          <t>3-1</t>
        </is>
      </c>
      <c r="CJ25" s="45" t="inlineStr">
        <is>
          <t>3-2</t>
        </is>
      </c>
      <c r="CK25" s="45" t="inlineStr">
        <is>
          <t>3-3</t>
        </is>
      </c>
      <c r="CL25" s="45" t="inlineStr">
        <is>
          <t>3-4</t>
        </is>
      </c>
      <c r="CM25" s="45" t="inlineStr">
        <is>
          <t>3-5</t>
        </is>
      </c>
      <c r="CN25" s="45" t="inlineStr">
        <is>
          <t>4-1</t>
        </is>
      </c>
      <c r="CO25" s="45" t="inlineStr">
        <is>
          <t>4-2</t>
        </is>
      </c>
      <c r="CP25" s="45" t="inlineStr">
        <is>
          <t>4-3</t>
        </is>
      </c>
      <c r="CQ25" s="45" t="inlineStr">
        <is>
          <t>4-4</t>
        </is>
      </c>
      <c r="CR25" s="45" t="inlineStr">
        <is>
          <t>4-5</t>
        </is>
      </c>
      <c r="CS25" s="45" t="inlineStr">
        <is>
          <t>4-1</t>
        </is>
      </c>
      <c r="CT25" s="45" t="inlineStr">
        <is>
          <t>4-2</t>
        </is>
      </c>
      <c r="CU25" s="45" t="inlineStr">
        <is>
          <t>4-3</t>
        </is>
      </c>
      <c r="CV25" s="45" t="inlineStr">
        <is>
          <t>4-4</t>
        </is>
      </c>
      <c r="CW25" s="45" t="inlineStr">
        <is>
          <t>4-5</t>
        </is>
      </c>
      <c r="CX25" s="39" t="n"/>
      <c r="CY25" s="45" t="inlineStr">
        <is>
          <t>1-1</t>
        </is>
      </c>
      <c r="CZ25" s="45" t="inlineStr">
        <is>
          <t>1-2</t>
        </is>
      </c>
      <c r="DA25" s="45" t="inlineStr">
        <is>
          <t>1-3</t>
        </is>
      </c>
      <c r="DB25" s="45" t="inlineStr">
        <is>
          <t>1-4</t>
        </is>
      </c>
      <c r="DC25" s="45" t="inlineStr">
        <is>
          <t>1-5</t>
        </is>
      </c>
      <c r="DD25" s="45" t="inlineStr">
        <is>
          <t>2-1</t>
        </is>
      </c>
      <c r="DE25" s="45" t="inlineStr">
        <is>
          <t>2-2</t>
        </is>
      </c>
      <c r="DF25" s="45" t="inlineStr">
        <is>
          <t>2-3</t>
        </is>
      </c>
      <c r="DG25" s="45" t="inlineStr">
        <is>
          <t>2-4</t>
        </is>
      </c>
      <c r="DH25" s="45" t="inlineStr">
        <is>
          <t>2-5</t>
        </is>
      </c>
      <c r="DI25" s="45" t="inlineStr">
        <is>
          <t>3-1</t>
        </is>
      </c>
      <c r="DJ25" s="45" t="inlineStr">
        <is>
          <t>3-2</t>
        </is>
      </c>
      <c r="DK25" s="45" t="inlineStr">
        <is>
          <t>3-3</t>
        </is>
      </c>
      <c r="DL25" s="45" t="inlineStr">
        <is>
          <t>3-4</t>
        </is>
      </c>
      <c r="DM25" s="45" t="inlineStr">
        <is>
          <t>3-5</t>
        </is>
      </c>
      <c r="DN25" s="45" t="inlineStr">
        <is>
          <t>4-1</t>
        </is>
      </c>
      <c r="DO25" s="45" t="inlineStr">
        <is>
          <t>4-2</t>
        </is>
      </c>
      <c r="DP25" s="45" t="inlineStr">
        <is>
          <t>4-3</t>
        </is>
      </c>
      <c r="DQ25" s="45" t="inlineStr">
        <is>
          <t>4-4</t>
        </is>
      </c>
      <c r="DR25" s="45" t="inlineStr">
        <is>
          <t>4-5</t>
        </is>
      </c>
      <c r="DS25" s="45" t="inlineStr">
        <is>
          <t>4-1</t>
        </is>
      </c>
      <c r="DT25" s="45" t="inlineStr">
        <is>
          <t>4-2</t>
        </is>
      </c>
      <c r="DU25" s="45" t="inlineStr">
        <is>
          <t>4-3</t>
        </is>
      </c>
      <c r="DV25" s="45" t="inlineStr">
        <is>
          <t>4-4</t>
        </is>
      </c>
      <c r="DW25" s="45" t="inlineStr">
        <is>
          <t>4-5</t>
        </is>
      </c>
    </row>
    <row r="26" ht="28.5" customHeight="1">
      <c r="D26" s="149" t="inlineStr">
        <is>
          <t>Risk ID</t>
        </is>
      </c>
      <c r="E26" s="149" t="inlineStr">
        <is>
          <t>Risk Category</t>
        </is>
      </c>
      <c r="F26" s="175" t="n"/>
      <c r="G26" s="149" t="inlineStr">
        <is>
          <t>Matrix Score</t>
        </is>
      </c>
      <c r="H26" s="149" t="inlineStr">
        <is>
          <t>Threat / Opportunity</t>
        </is>
      </c>
      <c r="I26" s="149" t="inlineStr">
        <is>
          <t>quantitative impact [€]</t>
        </is>
      </c>
      <c r="J26" s="48" t="inlineStr">
        <is>
          <t>risk strategy</t>
        </is>
      </c>
      <c r="K26" s="48" t="inlineStr">
        <is>
          <t>owner</t>
        </is>
      </c>
      <c r="L26" s="49" t="inlineStr">
        <is>
          <t>reporting date</t>
        </is>
      </c>
      <c r="M26" s="49" t="inlineStr">
        <is>
          <t>status</t>
        </is>
      </c>
      <c r="N26" s="149" t="inlineStr">
        <is>
          <t>Cause</t>
        </is>
      </c>
      <c r="O26" s="149" t="inlineStr">
        <is>
          <t>Effect</t>
        </is>
      </c>
      <c r="P26" s="149" t="inlineStr">
        <is>
          <t>Matrix Score (actual)</t>
        </is>
      </c>
      <c r="R26" s="50" t="inlineStr">
        <is>
          <t>Impact</t>
        </is>
      </c>
      <c r="S26" s="50" t="inlineStr">
        <is>
          <t>Probability</t>
        </is>
      </c>
      <c r="T26" s="151" t="n"/>
      <c r="U26" s="51">
        <f>CONCATENATE(U27,U28,U29,U30,U31,U32,U33,U34,U35,U36,U37,U38,U39,U40,U41,U42,U43,U44,U45,U46,U47,U48,U49,U50,U51,U52,U53,U54,U55,U56)&amp;CONCATENATE(U57,U58,U59,U60,U61,U62,U63,U64,U65,U66,U67,U68, U69, U70, U71, U72, U73, U74, U75, U76, U77, U78, U79, U80, U81, U82, U83, U84, U85)&amp;CONCATENATE(U86, U87, U88, U89, U90, U91, U92, U93, U94, U95, U96, U97, U98, U99, U100, U101, U102, U103, U104, U105, U106, U107, U108, U109, U110, U111, U112, U113, U114, U115)&amp;CONCATENATE(U116,U117,U118,U119,U120,U121,U122,U123,U124,U125,U126,U127,U128,U129,U130,U131,U132,U133,U134,U135,U136,U137,U138,U139,U140,U141,U142,U143)&amp;CONCATENATE(U144,U145,U146,U147,U148,U149,U150,U151,U152,U153,U154,U155,U156)</f>
        <v/>
      </c>
      <c r="V26" s="51">
        <f>CONCATENATE(V27,V28,V29,V30,V31,V32,V33,V34,V35,V36,V37,V38,V39,V40,V41,V42,V43,V44,V45,V46,V47,V48,V49,V50,V51,V52,V53,V54,V55,V56)&amp;CONCATENATE(V57,V58,V59,V60,V61,V62,V63,V64,V65,V66,V67,V68, V69, V70, V71, V72, V73, V74, V75, V76, V77, V78, V79, V80, V81, V82, V83, V84, V85)&amp;CONCATENATE(V86, V87, V88, V89, V90, V91, V92, V93, V94, V95, V96, V97, V98, V99, V100, V101, V102, V103, V104, V105, V106, V107, V108, V109, V110, V111, V112, V113, V114, V115)&amp;CONCATENATE(V116,V117,V118,V119,V120,V121,V122,V123,V124,V125,V126,V127,V128,V129,V130,V131,V132,V133,V134,V135,V136,V137,V138,V139,V140,V141,V142,V143)&amp;CONCATENATE(V144,V145,V146,V147,V148,V149,V150,V151,V152,V153,V154,V155,V156)</f>
        <v/>
      </c>
      <c r="W26" s="51">
        <f>CONCATENATE(W27,W28,W29,W30,W31,W32,W33,W34,W35,W36,W37,W38,W39,W40,W41,W42,W43,W44,W45,W46,W47,W48,W49,W50,W51,W52,W53,W54,W55,W56)&amp;CONCATENATE(W57,W58,W59,W60,W61,W62,W63,W64,W65,W66,W67,W68, W69, W70, W71, W72, W73, W74, W75, W76, W77, W78, W79, W80, W81, W82, W83, W84, W85)&amp;CONCATENATE(W86, W87, W88, W89, W90, W91, W92, W93, W94, W95, W96, W97, W98, W99, W100, W101, W102, W103, W104, W105, W106, W107, W108, W109, W110, W111, W112, W113, W114, W115)&amp;CONCATENATE(W116,W117,W118,W119,W120,W121,W122,W123,W124,W125,W126,W127,W128,W129,W130,W131,W132,W133,W134,W135,W136,W137,W138,W139,W140,W141,W142,W143)&amp;CONCATENATE(W144,W145,W146,W147,W148,W149,W150,W151,W152,W153,W154,W155,W156)</f>
        <v/>
      </c>
      <c r="X26" s="51">
        <f>CONCATENATE(X27,X28,X29,X30,X31,X32,X33,X34,X35,X36,X37,X38,X39,X40,X41,X42,X43,X44,X45,X46,X47,X48,X49,X50,X51,X52,X53,X54,X55,X56)&amp;CONCATENATE(X57,X58,X59,X60,X61,X62,X63,X64,X65,X66,X67,X68, X69, X70, X71, X72, X73, X74, X75, X76, X77, X78, X79, X80, X81, X82, X83, X84, X85)&amp;CONCATENATE(X86, X87, X88, X89, X90, X91, X92, X93, X94, X95, X96, X97, X98, X99, X100, X101, X102, X103, X104, X105, X106, X107, X108, X109, X110, X111, X112, X113, X114, X115)&amp;CONCATENATE(X116,X117,X118,X119,X120,X121,X122,X123,X124,X125,X126,X127,X128,X129,X130,X131,X132,X133,X134,X135,X136,X137,X138,X139,X140,X141,X142,X143)&amp;CONCATENATE(X144,X145,X146,X147,X148,X149,X150,X151,X152,X153,X154,X155,X156)</f>
        <v/>
      </c>
      <c r="Y26" s="51">
        <f>CONCATENATE(Y27,Y28,Y29,Y30,Y31,Y32,Y33,Y34,Y35,Y36,Y37,Y38,Y39,Y40,Y41,Y42,Y43,Y44,Y45,Y46,Y47,Y48,Y49,Y50,Y51,Y52,Y53,Y54,Y55,Y56)&amp;CONCATENATE(Y57,Y58,Y59,Y60,Y61,Y62,Y63,Y64,Y65,Y66,Y67,Y68, Y69, Y70, Y71, Y72, Y73, Y74, Y75, Y76, Y77, Y78, Y79, Y80, Y81, Y82, Y83, Y84, Y85)&amp;CONCATENATE(Y86, Y87, Y88, Y89, Y90, Y91, Y92, Y93, Y94, Y95, Y96, Y97, Y98, Y99, Y100, Y101, Y102, Y103, Y104, Y105, Y106, Y107, Y108, Y109, Y110, Y111, Y112, Y113, Y114, Y115)&amp;CONCATENATE(Y116,Y117,Y118,Y119,Y120,Y121,Y122,Y123,Y124,Y125,Y126,Y127,Y128,Y129,Y130,Y131,Y132,Y133,Y134,Y135,Y136,Y137,Y138,Y139,Y140,Y141,Y142,Y143)&amp;CONCATENATE(Y144,Y145,Y146,Y147,Y148,Y149,Y150,Y151,Y152,Y153,Y154,Y155,Y156)</f>
        <v/>
      </c>
      <c r="Z26" s="51">
        <f>CONCATENATE(Z27,Z28,Z29,Z30,Z31,Z32,Z33,Z34,Z35,Z36,Z37,Z38,Z39,Z40,Z41,Z42,Z43,Z44,Z45,Z46,Z47,Z48,Z49,Z50,Z51,Z52,Z53,Z54,Z55,Z56)&amp;CONCATENATE(Z57,Z58,Z59,Z60,Z61,Z62,Z63,Z64,Z65,Z66,Z67,Z68, Z69, Z70, Z71, Z72, Z73, Z74, Z75, Z76, Z77, Z78, Z79, Z80, Z81, Z82, Z83, Z84, Z85)&amp;CONCATENATE(Z86, Z87, Z88, Z89, Z90, Z91, Z92, Z93, Z94, Z95, Z96, Z97, Z98, Z99, Z100, Z101, Z102, Z103, Z104, Z105, Z106, Z107, Z108, Z109, Z110, Z111, Z112, Z113, Z114, Z115)&amp;CONCATENATE(Z116,Z117,Z118,Z119,Z120,Z121,Z122,Z123,Z124,Z125,Z126,Z127,Z128,Z129,Z130,Z131,Z132,Z133,Z134,Z135,Z136,Z137,Z138,Z139,Z140,Z141,Z142,Z143)&amp;CONCATENATE(Z144,Z145,Z146,Z147,Z148,Z149,Z150,Z151,Z152,Z153,Z154,Z155,Z156)</f>
        <v/>
      </c>
      <c r="AA26" s="51">
        <f>CONCATENATE(AA27,AA28,AA29,AA30,AA31,AA32,AA33,AA34,AA35,AA36,AA37,AA38,AA39,AA40,AA41,AA42,AA43,AA44,AA45,AA46,AA47,AA48,AA49,AA50,AA51,AA52,AA53,AA54,AA55,AA56)&amp;CONCATENATE(AA57,AA58,AA59,AA60,AA61,AA62,AA63,AA64,AA65,AA66,AA67,AA68, AA69, AA70, AA71, AA72, AA73, AA74, AA75, AA76, AA77, AA78, AA79, AA80, AA81, AA82, AA83, AA84, AA85)&amp;CONCATENATE(AA86, AA87, AA88, AA89, AA90, AA91, AA92, AA93, AA94, AA95, AA96, AA97, AA98, AA99, AA100, AA101, AA102, AA103, AA104, AA105, AA106, AA107, AA108, AA109, AA110, AA111, AA112, AA113, AA114, AA115)&amp;CONCATENATE(AA116,AA117,AA118,AA119,AA120,AA121,AA122,AA123,AA124,AA125,AA126,AA127,AA128,AA129,AA130,AA131,AA132,AA133,AA134,AA135,AA136,AA137,AA138,AA139,AA140,AA141,AA142,AA143)&amp;CONCATENATE(AA144,AA145,AA146,AA147,AA148,AA149,AA150,AA151,AA152,AA153,AA154,AA155,AA156)</f>
        <v/>
      </c>
      <c r="AB26" s="51">
        <f>CONCATENATE(AB27,AB28,AB29,AB30,AB31,AB32,AB33,AB34,AB35,AB36,AB37,AB38,AB39,AB40,AB41,AB42,AB43,AB44,AB45,AB46,AB47,AB48,AB49,AB50,AB51,AB52,AB53,AB54,AB55,AB56)&amp;CONCATENATE(AB57,AB58,AB59,AB60,AB61,AB62,AB63,AB64,AB65,AB66,AB67,AB68, AB69, AB70, AB71, AB72, AB73, AB74, AB75, AB76, AB77, AB78, AB79, AB80, AB81, AB82, AB83, AB84, AB85)&amp;CONCATENATE(AB86, AB87, AB88, AB89, AB90, AB91, AB92, AB93, AB94, AB95, AB96, AB97, AB98, AB99, AB100, AB101, AB102, AB103, AB104, AB105, AB106, AB107, AB108, AB109, AB110, AB111, AB112, AB113, AB114, AB115)&amp;CONCATENATE(AB116,AB117,AB118,AB119,AB120,AB121,AB122,AB123,AB124,AB125,AB126,AB127,AB128,AB129,AB130,AB131,AB132,AB133,AB134,AB135,AB136,AB137,AB138,AB139,AB140,AB141,AB142,AB143)&amp;CONCATENATE(AB144,AB145,AB146,AB147,AB148,AB149,AB150,AB151,AB152,AB153,AB154,AB155,AB156)</f>
        <v/>
      </c>
      <c r="AC26" s="51">
        <f>CONCATENATE(AC27,AC28,AC29,AC30,AC31,AC32,AC33,AC34,AC35,AC36,AC37,AC38,AC39,AC40,AC41,AC42,AC43,AC44,AC45,AC46,AC47,AC48,AC49,AC50,AC51,AC52,AC53,AC54,AC55,AC56)&amp;CONCATENATE(AC57,AC58,AC59,AC60,AC61,AC62,AC63,AC64,AC65,AC66,AC67,AC68, AC69, AC70, AC71, AC72, AC73, AC74, AC75, AC76, AC77, AC78, AC79, AC80, AC81, AC82, AC83, AC84, AC85)&amp;CONCATENATE(AC86, AC87, AC88, AC89, AC90, AC91, AC92, AC93, AC94, AC95, AC96, AC97, AC98, AC99, AC100, AC101, AC102, AC103, AC104, AC105, AC106, AC107, AC108, AC109, AC110, AC111, AC112, AC113, AC114, AC115)&amp;CONCATENATE(AC116,AC117,AC118,AC119,AC120,AC121,AC122,AC123,AC124,AC125,AC126,AC127,AC128,AC129,AC130,AC131,AC132,AC133,AC134,AC135,AC136,AC137,AC138,AC139,AC140,AC141,AC142,AC143)&amp;CONCATENATE(AC144,AC145,AC146,AC147,AC148,AC149,AC150,AC151,AC152,AC153,AC154,AC155,AC156)</f>
        <v/>
      </c>
      <c r="AD26" s="51">
        <f>CONCATENATE(AD27,AD28,AD29,AD30,AD31,AD32,AD33,AD34,AD35,AD36,AD37,AD38,AD39,AD40,AD41,AD42,AD43,AD44,AD45,AD46,AD47,AD48,AD49,AD50,AD51,AD52,AD53,AD54,AD55,AD56)&amp;CONCATENATE(AD57,AD58,AD59,AD60,AD61,AD62,AD63,AD64,AD65,AD66,AD67,AD68, AD69, AD70, AD71, AD72, AD73, AD74, AD75, AD76, AD77, AD78, AD79, AD80, AD81, AD82, AD83, AD84, AD85)&amp;CONCATENATE(AD86, AD87, AD88, AD89, AD90, AD91, AD92, AD93, AD94, AD95, AD96, AD97, AD98, AD99, AD100, AD101, AD102, AD103, AD104, AD105, AD106, AD107, AD108, AD109, AD110, AD111, AD112, AD113, AD114, AD115)&amp;CONCATENATE(AD116,AD117,AD118,AD119,AD120,AD121,AD122,AD123,AD124,AD125,AD126,AD127,AD128,AD129,AD130,AD131,AD132,AD133,AD134,AD135,AD136,AD137,AD138,AD139,AD140,AD141,AD142,AD143)&amp;CONCATENATE(AD144,AD145,AD146,AD147,AD148,AD149,AD150,AD151,AD152,AD153,AD154,AD155,AD156)</f>
        <v/>
      </c>
      <c r="AE26" s="51">
        <f>CONCATENATE(AE27,AE28,AE29,AE30,AE31,AE32,AE33,AE34,AE35,AE36,AE37,AE38,AE39,AE40,AE41,AE42,AE43,AE44,AE45,AE46,AE47,AE48,AE49,AE50,AE51,AE52,AE53,AE54,AE55,AE56)&amp;CONCATENATE(AE57,AE58,AE59,AE60,AE61,AE62,AE63,AE64,AE65,AE66,AE67,AE68, AE69, AE70, AE71, AE72, AE73, AE74, AE75, AE76, AE77, AE78, AE79, AE80, AE81, AE82, AE83, AE84, AE85)&amp;CONCATENATE(AE86, AE87, AE88, AE89, AE90, AE91, AE92, AE93, AE94, AE95, AE96, AE97, AE98, AE99, AE100, AE101, AE102, AE103, AE104, AE105, AE106, AE107, AE108, AE109, AE110, AE111, AE112, AE113, AE114, AE115)&amp;CONCATENATE(AE116,AE117,AE118,AE119,AE120,AE121,AE122,AE123,AE124,AE125,AE126,AE127,AE128,AE129,AE130,AE131,AE132,AE133,AE134,AE135,AE136,AE137,AE138,AE139,AE140,AE141,AE142,AE143)&amp;CONCATENATE(AE144,AE145,AE146,AE147,AE148,AE149,AE150,AE151,AE152,AE153,AE154,AE155,AE156)</f>
        <v/>
      </c>
      <c r="AF26" s="51">
        <f>CONCATENATE(AF27,AF28,AF29,AF30,AF31,AF32,AF33,AF34,AF35,AF36,AF37,AF38,AF39,AF40,AF41,AF42,AF43,AF44,AF45,AF46,AF47,AF48,AF49,AF50,AF51,AF52,AF53,AF54,AF55,AF56)&amp;CONCATENATE(AF57,AF58,AF59,AF60,AF61,AF62,AF63,AF64,AF65,AF66,AF67,AF68, AF69, AF70, AF71, AF72, AF73, AF74, AF75, AF76, AF77, AF78, AF79, AF80, AF81, AF82, AF83, AF84, AF85)&amp;CONCATENATE(AF86, AF87, AF88, AF89, AF90, AF91, AF92, AF93, AF94, AF95, AF96, AF97, AF98, AF99, AF100, AF101, AF102, AF103, AF104, AF105, AF106, AF107, AF108, AF109, AF110, AF111, AF112, AF113, AF114, AF115)&amp;CONCATENATE(AF116,AF117,AF118,AF119,AF120,AF121,AF122,AF123,AF124,AF125,AF126,AF127,AF128,AF129,AF130,AF131,AF132,AF133,AF134,AF135,AF136,AF137,AF138,AF139,AF140,AF141,AF142,AF143)&amp;CONCATENATE(AF144,AF145,AF146,AF147,AF148,AF149,AF150,AF151,AF152,AF153,AF154,AF155,AF156)</f>
        <v/>
      </c>
      <c r="AG26" s="51">
        <f>CONCATENATE(AG27,AG28,AG29,AG30,AG31,AG32,AG33,AG34,AG35,AG36,AG37,AG38,AG39,AG40,AG41,AG42,AG43,AG44,AG45,AG46,AG47,AG48,AG49,AG50,AG51,AG52,AG53,AG54,AG55,AG56)&amp;CONCATENATE(AG57,AG58,AG59,AG60,AG61,AG62,AG63,AG64,AG65,AG66,AG67,AG68, AG69, AG70, AG71, AG72, AG73, AG74, AG75, AG76, AG77, AG78, AG79, AG80, AG81, AG82, AG83, AG84, AG85)&amp;CONCATENATE(AG86, AG87, AG88, AG89, AG90, AG91, AG92, AG93, AG94, AG95, AG96, AG97, AG98, AG99, AG100, AG101, AG102, AG103, AG104, AG105, AG106, AG107, AG108, AG109, AG110, AG111, AG112, AG113, AG114, AG115)&amp;CONCATENATE(AG116,AG117,AG118,AG119,AG120,AG121,AG122,AG123,AG124,AG125,AG126,AG127,AG128,AG129,AG130,AG131,AG132,AG133,AG134,AG135,AG136,AG137,AG138,AG139,AG140,AG141,AG142,AG143)&amp;CONCATENATE(AG144,AG145,AG146,AG147,AG148,AG149,AG150,AG151,AG152,AG153,AG154,AG155,AG156)</f>
        <v/>
      </c>
      <c r="AH26" s="51">
        <f>CONCATENATE(AH27,AH28,AH29,AH30,AH31,AH32,AH33,AH34,AH35,AH36,AH37,AH38,AH39,AH40,AH41,AH42,AH43,AH44,AH45,AH46,AH47,AH48,AH49,AH50,AH51,AH52,AH53,AH54,AH55,AH56)&amp;CONCATENATE(AH57,AH58,AH59,AH60,AH61,AH62,AH63,AH64,AH65,AH66,AH67,AH68, AH69, AH70, AH71, AH72, AH73, AH74, AH75, AH76, AH77, AH78, AH79, AH80, AH81, AH82, AH83, AH84, AH85)&amp;CONCATENATE(AH86, AH87, AH88, AH89, AH90, AH91, AH92, AH93, AH94, AH95, AH96, AH97, AH98, AH99, AH100, AH101, AH102, AH103, AH104, AH105, AH106, AH107, AH108, AH109, AH110, AH111, AH112, AH113, AH114, AH115)&amp;CONCATENATE(AH116,AH117,AH118,AH119,AH120,AH121,AH122,AH123,AH124,AH125,AH126,AH127,AH128,AH129,AH130,AH131,AH132,AH133,AH134,AH135,AH136,AH137,AH138,AH139,AH140,AH141,AH142,AH143)&amp;CONCATENATE(AH144,AH145,AH146,AH147,AH148,AH149,AH150,AH151,AH152,AH153,AH154,AH155,AH156)</f>
        <v/>
      </c>
      <c r="AI26" s="51">
        <f>CONCATENATE(AI27,AI28,AI29,AI30,AI31,AI32,AI33,AI34,AI35,AI36,AI37,AI38,AI39,AI40,AI41,AI42,AI43,AI44,AI45,AI46,AI47,AI48,AI49,AI50,AI51,AI52,AI53,AI54,AI55,AI56)&amp;CONCATENATE(AI57,AI58,AI59,AI60,AI61,AI62,AI63,AI64,AI65,AI66,AI67,AI68, AI69, AI70, AI71, AI72, AI73, AI74, AI75, AI76, AI77, AI78, AI79, AI80, AI81, AI82, AI83, AI84, AI85)&amp;CONCATENATE(AI86, AI87, AI88, AI89, AI90, AI91, AI92, AI93, AI94, AI95, AI96, AI97, AI98, AI99, AI100, AI101, AI102, AI103, AI104, AI105, AI106, AI107, AI108, AI109, AI110, AI111, AI112, AI113, AI114, AI115)&amp;CONCATENATE(AI116,AI117,AI118,AI119,AI120,AI121,AI122,AI123,AI124,AI125,AI126,AI127,AI128,AI129,AI130,AI131,AI132,AI133,AI134,AI135,AI136,AI137,AI138,AI139,AI140,AI141,AI142,AI143)&amp;CONCATENATE(AI144,AI145,AI146,AI147,AI148,AI149,AI150,AI151,AI152,AI153,AI154,AI155,AI156)</f>
        <v/>
      </c>
      <c r="AJ26" s="51">
        <f>CONCATENATE(AJ27,AJ28,AJ29,AJ30,AJ31,AJ32,AJ33,AJ34,AJ35,AJ36,AJ37,AJ38,AJ39,AJ40,AJ41,AJ42,AJ43,AJ44,AJ45,AJ46,AJ47,AJ48,AJ49,AJ50,AJ51,AJ52,AJ53,AJ54,AJ55,AJ56)&amp;CONCATENATE(AJ57,AJ58,AJ59,AJ60,AJ61,AJ62,AJ63,AJ64,AJ65,AJ66,AJ67,AJ68, AJ69, AJ70, AJ71, AJ72, AJ73, AJ74, AJ75, AJ76, AJ77, AJ78, AJ79, AJ80, AJ81, AJ82, AJ83, AJ84, AJ85)&amp;CONCATENATE(AJ86, AJ87, AJ88, AJ89, AJ90, AJ91, AJ92, AJ93, AJ94, AJ95, AJ96, AJ97, AJ98, AJ99, AJ100, AJ101, AJ102, AJ103, AJ104, AJ105, AJ106, AJ107, AJ108, AJ109, AJ110, AJ111, AJ112, AJ113, AJ114, AJ115)&amp;CONCATENATE(AJ116,AJ117,AJ118,AJ119,AJ120,AJ121,AJ122,AJ123,AJ124,AJ125,AJ126,AJ127,AJ128,AJ129,AJ130,AJ131,AJ132,AJ133,AJ134,AJ135,AJ136,AJ137,AJ138,AJ139,AJ140,AJ141,AJ142,AJ143)&amp;CONCATENATE(AJ144,AJ145,AJ146,AJ147,AJ148,AJ149,AJ150,AJ151,AJ152,AJ153,AJ154,AJ155,AJ156)</f>
        <v/>
      </c>
      <c r="AK26" s="51">
        <f>CONCATENATE(AK27,AK28,AK29,AK30,AK31,AK32,AK33,AK34,AK35,AK36,AK37,AK38,AK39,AK40,AK41,AK42,AK43,AK44,AK45,AK46,AK47,AK48,AK49,AK50,AK51,AK52,AK53,AK54,AK55,AK56)&amp;CONCATENATE(AK57,AK58,AK59,AK60,AK61,AK62,AK63,AK64,AK65,AK66,AK67,AK68, AK69, AK70, AK71, AK72, AK73, AK74, AK75, AK76, AK77, AK78, AK79, AK80, AK81, AK82, AK83, AK84, AK85)&amp;CONCATENATE(AK86, AK87, AK88, AK89, AK90, AK91, AK92, AK93, AK94, AK95, AK96, AK97, AK98, AK99, AK100, AK101, AK102, AK103, AK104, AK105, AK106, AK107, AK108, AK109, AK110, AK111, AK112, AK113, AK114, AK115)&amp;CONCATENATE(AK116,AK117,AK118,AK119,AK120,AK121,AK122,AK123,AK124,AK125,AK126,AK127,AK128,AK129,AK130,AK131,AK132,AK133,AK134,AK135,AK136,AK137,AK138,AK139,AK140,AK141,AK142,AK143)&amp;CONCATENATE(AK144,AK145,AK146,AK147,AK148,AK149,AK150,AK151,AK152,AK153,AK154,AK155,AK156)</f>
        <v/>
      </c>
      <c r="AL26" s="51">
        <f>CONCATENATE(AL27,AL28,AL29,AL30,AL31,AL32,AL33,AL34,AL35,AL36,AL37,AL38,AL39,AL40,AL41,AL42,AL43,AL44,AL45,AL46,AL47,AL48,AL49,AL50,AL51,AL52,AL53,AL54,AL55,AL56)&amp;CONCATENATE(AL57,AL58,AL59,AL60,AL61,AL62,AL63,AL64,AL65,AL66,AL67,AL68, AL69, AL70, AL71, AL72, AL73, AL74, AL75, AL76, AL77, AL78, AL79, AL80, AL81, AL82, AL83, AL84, AL85)&amp;CONCATENATE(AL86, AL87, AL88, AL89, AL90, AL91, AL92, AL93, AL94, AL95, AL96, AL97, AL98, AL99, AL100, AL101, AL102, AL103, AL104, AL105, AL106, AL107, AL108, AL109, AL110, AL111, AL112, AL113, AL114, AL115)&amp;CONCATENATE(AL116,AL117,AL118,AL119,AL120,AL121,AL122,AL123,AL124,AL125,AL126,AL127,AL128,AL129,AL130,AL131,AL132,AL133,AL134,AL135,AL136,AL137,AL138,AL139,AL140,AL141,AL142,AL143)&amp;CONCATENATE(AL144,AL145,AL146,AL147,AL148,AL149,AL150,AL151,AL152,AL153,AL154,AL155,AL156)</f>
        <v/>
      </c>
      <c r="AM26" s="51">
        <f>CONCATENATE(AM27,AM28,AM29,AM30,AM31,AM32,AM33,AM34,AM35,AM36,AM37,AM38,AM39,AM40,AM41,AM42,AM43,AM44,AM45,AM46,AM47,AM48,AM49,AM50,AM51,AM52,AM53,AM54,AM55,AM56)&amp;CONCATENATE(AM57,AM58,AM59,AM60,AM61,AM62,AM63,AM64,AM65,AM66,AM67,AM68, AM69, AM70, AM71, AM72, AM73, AM74, AM75, AM76, AM77, AM78, AM79, AM80, AM81, AM82, AM83, AM84, AM85)&amp;CONCATENATE(AM86, AM87, AM88, AM89, AM90, AM91, AM92, AM93, AM94, AM95, AM96, AM97, AM98, AM99, AM100, AM101, AM102, AM103, AM104, AM105, AM106, AM107, AM108, AM109, AM110, AM111, AM112, AM113, AM114, AM115)&amp;CONCATENATE(AM116,AM117,AM118,AM119,AM120,AM121,AM122,AM123,AM124,AM125,AM126,AM127,AM128,AM129,AM130,AM131,AM132,AM133,AM134,AM135,AM136,AM137,AM138,AM139,AM140,AM141,AM142,AM143)&amp;CONCATENATE(AM144,AM145,AM146,AM147,AM148,AM149,AM150,AM151,AM152,AM153,AM154,AM155,AM156)</f>
        <v/>
      </c>
      <c r="AN26" s="51">
        <f>CONCATENATE(AN27,AN28,AN29,AN30,AN31,AN32,AN33,AN34,AN35,AN36,AN37,AN38,AN39,AN40,AN41,AN42,AN43,AN44,AN45,AN46,AN47,AN48,AN49,AN50,AN51,AN52,AN53,AN54,AN55,AN56)&amp;CONCATENATE(AN57,AN58,AN59,AN60,AN61,AN62,AN63,AN64,AN65,AN66,AN67,AN68, AN69, AN70, AN71, AN72, AN73, AN74, AN75, AN76, AN77, AN78, AN79, AN80, AN81, AN82, AN83, AN84, AN85)&amp;CONCATENATE(AN86, AN87, AN88, AN89, AN90, AN91, AN92, AN93, AN94, AN95, AN96, AN97, AN98, AN99, AN100, AN101, AN102, AN103, AN104, AN105, AN106, AN107, AN108, AN109, AN110, AN111, AN112, AN113, AN114, AN115)&amp;CONCATENATE(AN116,AN117,AN118,AN119,AN120,AN121,AN122,AN123,AN124,AN125,AN126,AN127,AN128,AN129,AN130,AN131,AN132,AN133,AN134,AN135,AN136,AN137,AN138,AN139,AN140,AN141,AN142,AN143)&amp;CONCATENATE(AN144,AN145,AN146,AN147,AN148,AN149,AN150,AN151,AN152,AN153,AN154,AN155,AN156)</f>
        <v/>
      </c>
      <c r="AO26" s="51">
        <f>CONCATENATE(AO27,AO28,AO29,AO30,AO31,AO32,AO33,AO34,AO35,AO36,AO37,AO38,AO39,AO40,AO41,AO42,AO43,AO44,AO45,AO46,AO47,AO48,AO49,AO50,AO51,AO52,AO53,AO54,AO55,AO56)&amp;CONCATENATE(AO57,AO58,AO59,AO60,AO61,AO62,AO63,AO64,AO65,AO66,AO67,AO68, AO69, AO70, AO71, AO72, AO73, AO74, AO75, AO76, AO77, AO78, AO79, AO80, AO81, AO82, AO83, AO84, AO85)&amp;CONCATENATE(AO86, AO87, AO88, AO89, AO90, AO91, AO92, AO93, AO94, AO95, AO96, AO97, AO98, AO99, AO100, AO101, AO102, AO103, AO104, AO105, AO106, AO107, AO108, AO109, AO110, AO111, AO112, AO113, AO114, AO115)&amp;CONCATENATE(AO116,AO117,AO118,AO119,AO120,AO121,AO122,AO123,AO124,AO125,AO126,AO127,AO128,AO129,AO130,AO131,AO132,AO133,AO134,AO135,AO136,AO137,AO138,AO139,AO140,AO141,AO142,AO143)&amp;CONCATENATE(AO144,AO145,AO146,AO147,AO148,AO149,AO150,AO151,AO152,AO153,AO154,AO155,AO156)</f>
        <v/>
      </c>
      <c r="AP26" s="51">
        <f>CONCATENATE(AP27,AP28,AP29,AP30,AP31,AP32,AP33,AP34,AP35,AP36,AP37,AP38,AP39,AP40,AP41,AP42,AP43,AP44,AP45,AP46,AP47,AP48,AP49,AP50,AP51,AP52,AP53,AP54,AP55,AP56)&amp;CONCATENATE(AP57,AP58,AP59,AP60,AP61,AP62,AP63,AP64,AP65,AP66,AP67,AP68, AP69, AP70, AP71, AP72, AP73, AP74, AP75, AP76, AP77, AP78, AP79, AP80, AP81, AP82, AP83, AP84, AP85)&amp;CONCATENATE(AP86, AP87, AP88, AP89, AP90, AP91, AP92, AP93, AP94, AP95, AP96, AP97, AP98, AP99, AP100, AP101, AP102, AP103, AP104, AP105, AP106, AP107, AP108, AP109, AP110, AP111, AP112, AP113, AP114, AP115)&amp;CONCATENATE(AP116,AP117,AP118,AP119,AP120,AP121,AP122,AP123,AP124,AP125,AP126,AP127,AP128,AP129,AP130,AP131,AP132,AP133,AP134,AP135,AP136,AP137,AP138,AP139,AP140,AP141,AP142,AP143)&amp;CONCATENATE(AP144,AP145,AP146,AP147,AP148,AP149,AP150,AP151,AP152,AP153,AP154,AP155,AP156)</f>
        <v/>
      </c>
      <c r="AQ26" s="51">
        <f>CONCATENATE(AQ27,AQ28,AQ29,AQ30,AQ31,AQ32,AQ33,AQ34,AQ35,AQ36,AQ37,AQ38,AQ39,AQ40,AQ41,AQ42,AQ43,AQ44,AQ45,AQ46,AQ47,AQ48,AQ49,AQ50,AQ51,AQ52,AQ53,AQ54,AQ55,AQ56)&amp;CONCATENATE(AQ57,AQ58,AQ59,AQ60,AQ61,AQ62,AQ63,AQ64,AQ65,AQ66,AQ67,AQ68, AQ69, AQ70, AQ71, AQ72, AQ73, AQ74, AQ75, AQ76, AQ77, AQ78, AQ79, AQ80, AQ81, AQ82, AQ83, AQ84, AQ85)&amp;CONCATENATE(AQ86, AQ87, AQ88, AQ89, AQ90, AQ91, AQ92, AQ93, AQ94, AQ95, AQ96, AQ97, AQ98, AQ99, AQ100, AQ101, AQ102, AQ103, AQ104, AQ105, AQ106, AQ107, AQ108, AQ109, AQ110, AQ111, AQ112, AQ113, AQ114, AQ115)&amp;CONCATENATE(AQ116,AQ117,AQ118,AQ119,AQ120,AQ121,AQ122,AQ123,AQ124,AQ125,AQ126,AQ127,AQ128,AQ129,AQ130,AQ131,AQ132,AQ133,AQ134,AQ135,AQ136,AQ137,AQ138,AQ139,AQ140,AQ141,AQ142,AQ143)&amp;CONCATENATE(AQ144,AQ145,AQ146,AQ147,AQ148,AQ149,AQ150,AQ151,AQ152,AQ153,AQ154,AQ155,AQ156)</f>
        <v/>
      </c>
      <c r="AR26" s="51">
        <f>CONCATENATE(AR27,AR28,AR29,AR30,AR31,AR32,AR33,AR34,AR35,AR36,AR37,AR38,AR39,AR40,AR41,AR42,AR43,AR44,AR45,AR46,AR47,AR48,AR49,AR50,AR51,AR52,AR53,AR54,AR55,AR56)&amp;CONCATENATE(AR57,AR58,AR59,AR60,AR61,AR62,AR63,AR64,AR65,AR66,AR67,AR68, AR69, AR70, AR71, AR72, AR73, AR74, AR75, AR76, AR77, AR78, AR79, AR80, AR81, AR82, AR83, AR84, AR85)&amp;CONCATENATE(AR86, AR87, AR88, AR89, AR90, AR91, AR92, AR93, AR94, AR95, AR96, AR97, AR98, AR99, AR100, AR101, AR102, AR103, AR104, AR105, AR106, AR107, AR108, AR109, AR110, AR111, AR112, AR113, AR114, AR115)&amp;CONCATENATE(AR116,AR117,AR118,AR119,AR120,AR121,AR122,AR123,AR124,AR125,AR126,AR127,AR128,AR129,AR130,AR131,AR132,AR133,AR134,AR135,AR136,AR137,AR138,AR139,AR140,AR141,AR142,AR143)&amp;CONCATENATE(AR144,AR145,AR146,AR147,AR148,AR149,AR150,AR151,AR152,AR153,AR154,AR155,AR156)</f>
        <v/>
      </c>
      <c r="AS26" s="51">
        <f>CONCATENATE(AS27,AS28,AS29,AS30,AS31,AS32,AS33,AS34,AS35,AS36,AS37,AS38,AS39,AS40,AS41,AS42,AS43,AS44,AS45,AS46,AS47,AS48,AS49,AS50,AS51,AS52,AS53,AS54,AS55,AS56)&amp;CONCATENATE(AS57,AS58,AS59,AS60,AS61,AS62,AS63,AS64,AS65,AS66,AS67,AS68, AS69, AS70, AS71, AS72, AS73, AS74, AS75, AS76, AS77, AS78, AS79, AS80, AS81, AS82, AS83, AS84, AS85)&amp;CONCATENATE(AS86, AS87, AS88, AS89, AS90, AS91, AS92, AS93, AS94, AS95, AS96, AS97, AS98, AS99, AS100, AS101, AS102, AS103, AS104, AS105, AS106, AS107, AS108, AS109, AS110, AS111, AS112, AS113, AS114, AS115)&amp;CONCATENATE(AS116,AS117,AS118,AS119,AS120,AS121,AS122,AS123,AS124,AS125,AS126,AS127,AS128,AS129,AS130,AS131,AS132,AS133,AS134,AS135,AS136,AS137,AS138,AS139,AS140,AS141,AS142,AS143)&amp;CONCATENATE(AS144,AS145,AS146,AS147,AS148,AS149,AS150,AS151,AS152,AS153,AS154,AS155,AS156)</f>
        <v/>
      </c>
      <c r="AU26" s="51">
        <f>CONCATENATE(AU27,AU28,AU29,AU30,AU31,AU32,AU33,AU34,AU35,AU36,AU37,AU38,AU39,AU40,AU41,AU42,AU43,AU44,AU45,AU46,AU47,AU48,AU49,AU50,AU51,AU52,AU53,AU54,AU55,AU56)&amp;CONCATENATE(AU57,AU58,AU59,AU60,AU61,AU62,AU63,AU64,AU65,AU66,AU67,AU68, AU69, AU70, AU71, AU72, AU73, AU74, AU75, AU76, AU77, AU78, AU79, AU80, AU81, AU82, AU83, AU84, AU85)&amp;CONCATENATE(AU86, AU87, AU88, AU89, AU90, AU91, AU92, AU93, AU94, AU95, AU96, AU97, AU98, AU99, AU100, AU101, AU102, AU103, AU104, AU105, AU106, AU107, AU108, AU109, AU110, AU111, AU112, AU113, AU114, AU115)&amp;CONCATENATE(AU116,AU117,AU118,AU119,AU120,AU121,AU122,AU123,AU124,AU125,AU126,AU127,AU128,AU129,AU130,AU131,AU132,AU133,AU134,AU135,AU136,AU137,AU138,AU139,AU140,AU141,AU142,AU143)&amp;CONCATENATE(AU144,AU145,AU146,AU147,AU148,AU149,AU150,AU151,AU152,AU153,AU154,AU155,AU156)</f>
        <v/>
      </c>
      <c r="AV26" s="51">
        <f>CONCATENATE(AV27,AV28,AV29,AV30,AV31,AV32,AV33,AV34,AV35,AV36,AV37,AV38,AV39,AV40,AV41,AV42,AV43,AV44,AV45,AV46,AV47,AV48,AV49,AV50,AV51,AV52,AV53,AV54,AV55,AV56)&amp;CONCATENATE(AV57,AV58,AV59,AV60,AV61,AV62,AV63,AV64,AV65,AV66,AV67,AV68, AV69, AV70, AV71, AV72, AV73, AV74, AV75, AV76, AV77, AV78, AV79, AV80, AV81, AV82, AV83, AV84, AV85)&amp;CONCATENATE(AV86, AV87, AV88, AV89, AV90, AV91, AV92, AV93, AV94, AV95, AV96, AV97, AV98, AV99, AV100, AV101, AV102, AV103, AV104, AV105, AV106, AV107, AV108, AV109, AV110, AV111, AV112, AV113, AV114, AV115)&amp;CONCATENATE(AV116,AV117,AV118,AV119,AV120,AV121,AV122,AV123,AV124,AV125,AV126,AV127,AV128,AV129,AV130,AV131,AV132,AV133,AV134,AV135,AV136,AV137,AV138,AV139,AV140,AV141,AV142,AV143)&amp;CONCATENATE(AV144,AV145,AV146,AV147,AV148,AV149,AV150,AV151,AV152,AV153,AV154,AV155,AV156)</f>
        <v/>
      </c>
      <c r="AW26" s="51">
        <f>CONCATENATE(AW27,AW28,AW29,AW30,AW31,AW32,AW33,AW34,AW35,AW36,AW37,AW38,AW39,AW40,AW41,AW42,AW43,AW44,AW45,AW46,AW47,AW48,AW49,AW50,AW51,AW52,AW53,AW54,AW55,AW56)&amp;CONCATENATE(AW57,AW58,AW59,AW60,AW61,AW62,AW63,AW64,AW65,AW66,AW67,AW68, AW69, AW70, AW71, AW72, AW73, AW74, AW75, AW76, AW77, AW78, AW79, AW80, AW81, AW82, AW83, AW84, AW85)&amp;CONCATENATE(AW86, AW87, AW88, AW89, AW90, AW91, AW92, AW93, AW94, AW95, AW96, AW97, AW98, AW99, AW100, AW101, AW102, AW103, AW104, AW105, AW106, AW107, AW108, AW109, AW110, AW111, AW112, AW113, AW114, AW115)&amp;CONCATENATE(AW116,AW117,AW118,AW119,AW120,AW121,AW122,AW123,AW124,AW125,AW126,AW127,AW128,AW129,AW130,AW131,AW132,AW133,AW134,AW135,AW136,AW137,AW138,AW139,AW140,AW141,AW142,AW143)&amp;CONCATENATE(AW144,AW145,AW146,AW147,AW148,AW149,AW150,AW151,AW152,AW153,AW154,AW155,AW156)</f>
        <v/>
      </c>
      <c r="AX26" s="51">
        <f>CONCATENATE(AX27,AX28,AX29,AX30,AX31,AX32,AX33,AX34,AX35,AX36,AX37,AX38,AX39,AX40,AX41,AX42,AX43,AX44,AX45,AX46,AX47,AX48,AX49,AX50,AX51,AX52,AX53,AX54,AX55,AX56)&amp;CONCATENATE(AX57,AX58,AX59,AX60,AX61,AX62,AX63,AX64,AX65,AX66,AX67,AX68, AX69, AX70, AX71, AX72, AX73, AX74, AX75, AX76, AX77, AX78, AX79, AX80, AX81, AX82, AX83, AX84, AX85)&amp;CONCATENATE(AX86, AX87, AX88, AX89, AX90, AX91, AX92, AX93, AX94, AX95, AX96, AX97, AX98, AX99, AX100, AX101, AX102, AX103, AX104, AX105, AX106, AX107, AX108, AX109, AX110, AX111, AX112, AX113, AX114, AX115)&amp;CONCATENATE(AX116,AX117,AX118,AX119,AX120,AX121,AX122,AX123,AX124,AX125,AX126,AX127,AX128,AX129,AX130,AX131,AX132,AX133,AX134,AX135,AX136,AX137,AX138,AX139,AX140,AX141,AX142,AX143)&amp;CONCATENATE(AX144,AX145,AX146,AX147,AX148,AX149,AX150,AX151,AX152,AX153,AX154,AX155,AX156)</f>
        <v/>
      </c>
      <c r="AY26" s="51">
        <f>CONCATENATE(AY27,AY28,AY29,AY30,AY31,AY32,AY33,AY34,AY35,AY36,AY37,AY38,AY39,AY40,AY41,AY42,AY43,AY44,AY45,AY46,AY47,AY48,AY49,AY50,AY51,AY52,AY53,AY54,AY55,AY56)&amp;CONCATENATE(AY57,AY58,AY59,AY60,AY61,AY62,AY63,AY64,AY65,AY66,AY67,AY68, AY69, AY70, AY71, AY72, AY73, AY74, AY75, AY76, AY77, AY78, AY79, AY80, AY81, AY82, AY83, AY84, AY85)&amp;CONCATENATE(AY86, AY87, AY88, AY89, AY90, AY91, AY92, AY93, AY94, AY95, AY96, AY97, AY98, AY99, AY100, AY101, AY102, AY103, AY104, AY105, AY106, AY107, AY108, AY109, AY110, AY111, AY112, AY113, AY114, AY115)&amp;CONCATENATE(AY116,AY117,AY118,AY119,AY120,AY121,AY122,AY123,AY124,AY125,AY126,AY127,AY128,AY129,AY130,AY131,AY132,AY133,AY134,AY135,AY136,AY137,AY138,AY139,AY140,AY141,AY142,AY143)&amp;CONCATENATE(AY144,AY145,AY146,AY147,AY148,AY149,AY150,AY151,AY152,AY153,AY154,AY155,AY156)</f>
        <v/>
      </c>
      <c r="AZ26" s="51">
        <f>CONCATENATE(AZ27,AZ28,AZ29,AZ30,AZ31,AZ32,AZ33,AZ34,AZ35,AZ36,AZ37,AZ38,AZ39,AZ40,AZ41,AZ42,AZ43,AZ44,AZ45,AZ46,AZ47,AZ48,AZ49,AZ50,AZ51,AZ52,AZ53,AZ54,AZ55,AZ56)&amp;CONCATENATE(AZ57,AZ58,AZ59,AZ60,AZ61,AZ62,AZ63,AZ64,AZ65,AZ66,AZ67,AZ68, AZ69, AZ70, AZ71, AZ72, AZ73, AZ74, AZ75, AZ76, AZ77, AZ78, AZ79, AZ80, AZ81, AZ82, AZ83, AZ84, AZ85)&amp;CONCATENATE(AZ86, AZ87, AZ88, AZ89, AZ90, AZ91, AZ92, AZ93, AZ94, AZ95, AZ96, AZ97, AZ98, AZ99, AZ100, AZ101, AZ102, AZ103, AZ104, AZ105, AZ106, AZ107, AZ108, AZ109, AZ110, AZ111, AZ112, AZ113, AZ114, AZ115)&amp;CONCATENATE(AZ116,AZ117,AZ118,AZ119,AZ120,AZ121,AZ122,AZ123,AZ124,AZ125,AZ126,AZ127,AZ128,AZ129,AZ130,AZ131,AZ132,AZ133,AZ134,AZ135,AZ136,AZ137,AZ138,AZ139,AZ140,AZ141,AZ142,AZ143)&amp;CONCATENATE(AZ144,AZ145,AZ146,AZ147,AZ148,AZ149,AZ150,AZ151,AZ152,AZ153,AZ154,AZ155,AZ156)</f>
        <v/>
      </c>
      <c r="BA26" s="51">
        <f>CONCATENATE(BA27,BA28,BA29,BA30,BA31,BA32,BA33,BA34,BA35,BA36,BA37,BA38,BA39,BA40,BA41,BA42,BA43,BA44,BA45,BA46,BA47,BA48,BA49,BA50,BA51,BA52,BA53,BA54,BA55,BA56)&amp;CONCATENATE(BA57,BA58,BA59,BA60,BA61,BA62,BA63,BA64,BA65,BA66,BA67,BA68, BA69, BA70, BA71, BA72, BA73, BA74, BA75, BA76, BA77, BA78, BA79, BA80, BA81, BA82, BA83, BA84, BA85)&amp;CONCATENATE(BA86, BA87, BA88, BA89, BA90, BA91, BA92, BA93, BA94, BA95, BA96, BA97, BA98, BA99, BA100, BA101, BA102, BA103, BA104, BA105, BA106, BA107, BA108, BA109, BA110, BA111, BA112, BA113, BA114, BA115)&amp;CONCATENATE(BA116,BA117,BA118,BA119,BA120,BA121,BA122,BA123,BA124,BA125,BA126,BA127,BA128,BA129,BA130,BA131,BA132,BA133,BA134,BA135,BA136,BA137,BA138,BA139,BA140,BA141,BA142,BA143)&amp;CONCATENATE(BA144,BA145,BA146,BA147,BA148,BA149,BA150,BA151,BA152,BA153,BA154,BA155,BA156)</f>
        <v/>
      </c>
      <c r="BB26" s="51">
        <f>CONCATENATE(BB27,BB28,BB29,BB30,BB31,BB32,BB33,BB34,BB35,BB36,BB37,BB38,BB39,BB40,BB41,BB42,BB43,BB44,BB45,BB46,BB47,BB48,BB49,BB50,BB51,BB52,BB53,BB54,BB55,BB56)&amp;CONCATENATE(BB57,BB58,BB59,BB60,BB61,BB62,BB63,BB64,BB65,BB66,BB67,BB68, BB69, BB70, BB71, BB72, BB73, BB74, BB75, BB76, BB77, BB78, BB79, BB80, BB81, BB82, BB83, BB84, BB85)&amp;CONCATENATE(BB86, BB87, BB88, BB89, BB90, BB91, BB92, BB93, BB94, BB95, BB96, BB97, BB98, BB99, BB100, BB101, BB102, BB103, BB104, BB105, BB106, BB107, BB108, BB109, BB110, BB111, BB112, BB113, BB114, BB115)&amp;CONCATENATE(BB116,BB117,BB118,BB119,BB120,BB121,BB122,BB123,BB124,BB125,BB126,BB127,BB128,BB129,BB130,BB131,BB132,BB133,BB134,BB135,BB136,BB137,BB138,BB139,BB140,BB141,BB142,BB143)&amp;CONCATENATE(BB144,BB145,BB146,BB147,BB148,BB149,BB150,BB151,BB152,BB153,BB154,BB155,BB156)</f>
        <v/>
      </c>
      <c r="BC26" s="51">
        <f>CONCATENATE(BC27,BC28,BC29,BC30,BC31,BC32,BC33,BC34,BC35,BC36,BC37,BC38,BC39,BC40,BC41,BC42,BC43,BC44,BC45,BC46,BC47,BC48,BC49,BC50,BC51,BC52,BC53,BC54,BC55,BC56)&amp;CONCATENATE(BC57,BC58,BC59,BC60,BC61,BC62,BC63,BC64,BC65,BC66,BC67,BC68, BC69, BC70, BC71, BC72, BC73, BC74, BC75, BC76, BC77, BC78, BC79, BC80, BC81, BC82, BC83, BC84, BC85)&amp;CONCATENATE(BC86, BC87, BC88, BC89, BC90, BC91, BC92, BC93, BC94, BC95, BC96, BC97, BC98, BC99, BC100, BC101, BC102, BC103, BC104, BC105, BC106, BC107, BC108, BC109, BC110, BC111, BC112, BC113, BC114, BC115)&amp;CONCATENATE(BC116,BC117,BC118,BC119,BC120,BC121,BC122,BC123,BC124,BC125,BC126,BC127,BC128,BC129,BC130,BC131,BC132,BC133,BC134,BC135,BC136,BC137,BC138,BC139,BC140,BC141,BC142,BC143)&amp;CONCATENATE(BC144,BC145,BC146,BC147,BC148,BC149,BC150,BC151,BC152,BC153,BC154,BC155,BC156)</f>
        <v/>
      </c>
      <c r="BD26" s="51">
        <f>CONCATENATE(BD27,BD28,BD29,BD30,BD31,BD32,BD33,BD34,BD35,BD36,BD37,BD38,BD39,BD40,BD41,BD42,BD43,BD44,BD45,BD46,BD47,BD48,BD49,BD50,BD51,BD52,BD53,BD54,BD55,BD56)&amp;CONCATENATE(BD57,BD58,BD59,BD60,BD61,BD62,BD63,BD64,BD65,BD66,BD67,BD68, BD69, BD70, BD71, BD72, BD73, BD74, BD75, BD76, BD77, BD78, BD79, BD80, BD81, BD82, BD83, BD84, BD85)&amp;CONCATENATE(BD86, BD87, BD88, BD89, BD90, BD91, BD92, BD93, BD94, BD95, BD96, BD97, BD98, BD99, BD100, BD101, BD102, BD103, BD104, BD105, BD106, BD107, BD108, BD109, BD110, BD111, BD112, BD113, BD114, BD115)&amp;CONCATENATE(BD116,BD117,BD118,BD119,BD120,BD121,BD122,BD123,BD124,BD125,BD126,BD127,BD128,BD129,BD130,BD131,BD132,BD133,BD134,BD135,BD136,BD137,BD138,BD139,BD140,BD141,BD142,BD143)&amp;CONCATENATE(BD144,BD145,BD146,BD147,BD148,BD149,BD150,BD151,BD152,BD153,BD154,BD155,BD156)</f>
        <v/>
      </c>
      <c r="BE26" s="51">
        <f>CONCATENATE(BE27,BE28,BE29,BE30,BE31,BE32,BE33,BE34,BE35,BE36,BE37,BE38,BE39,BE40,BE41,BE42,BE43,BE44,BE45,BE46,BE47,BE48,BE49,BE50,BE51,BE52,BE53,BE54,BE55,BE56)&amp;CONCATENATE(BE57,BE58,BE59,BE60,BE61,BE62,BE63,BE64,BE65,BE66,BE67,BE68, BE69, BE70, BE71, BE72, BE73, BE74, BE75, BE76, BE77, BE78, BE79, BE80, BE81, BE82, BE83, BE84, BE85)&amp;CONCATENATE(BE86, BE87, BE88, BE89, BE90, BE91, BE92, BE93, BE94, BE95, BE96, BE97, BE98, BE99, BE100, BE101, BE102, BE103, BE104, BE105, BE106, BE107, BE108, BE109, BE110, BE111, BE112, BE113, BE114, BE115)&amp;CONCATENATE(BE116,BE117,BE118,BE119,BE120,BE121,BE122,BE123,BE124,BE125,BE126,BE127,BE128,BE129,BE130,BE131,BE132,BE133,BE134,BE135,BE136,BE137,BE138,BE139,BE140,BE141,BE142,BE143)&amp;CONCATENATE(BE144,BE145,BE146,BE147,BE148,BE149,BE150,BE151,BE152,BE153,BE154,BE155,BE156)</f>
        <v/>
      </c>
      <c r="BF26" s="51">
        <f>CONCATENATE(BF27,BF28,BF29,BF30,BF31,BF32,BF33,BF34,BF35,BF36,BF37,BF38,BF39,BF40,BF41,BF42,BF43,BF44,BF45,BF46,BF47,BF48,BF49,BF50,BF51,BF52,BF53,BF54,BF55,BF56)&amp;CONCATENATE(BF57,BF58,BF59,BF60,BF61,BF62,BF63,BF64,BF65,BF66,BF67,BF68, BF69, BF70, BF71, BF72, BF73, BF74, BF75, BF76, BF77, BF78, BF79, BF80, BF81, BF82, BF83, BF84, BF85)&amp;CONCATENATE(BF86, BF87, BF88, BF89, BF90, BF91, BF92, BF93, BF94, BF95, BF96, BF97, BF98, BF99, BF100, BF101, BF102, BF103, BF104, BF105, BF106, BF107, BF108, BF109, BF110, BF111, BF112, BF113, BF114, BF115)&amp;CONCATENATE(BF116,BF117,BF118,BF119,BF120,BF121,BF122,BF123,BF124,BF125,BF126,BF127,BF128,BF129,BF130,BF131,BF132,BF133,BF134,BF135,BF136,BF137,BF138,BF139,BF140,BF141,BF142,BF143)&amp;CONCATENATE(BF144,BF145,BF146,BF147,BF148,BF149,BF150,BF151,BF152,BF153,BF154,BF155,BF156)</f>
        <v/>
      </c>
      <c r="BG26" s="51">
        <f>CONCATENATE(BG27,BG28,BG29,BG30,BG31,BG32,BG33,BG34,BG35,BG36,BG37,BG38,BG39,BG40,BG41,BG42,BG43,BG44,BG45,BG46,BG47,BG48,BG49,BG50,BG51,BG52,BG53,BG54,BG55,BG56)&amp;CONCATENATE(BG57,BG58,BG59,BG60,BG61,BG62,BG63,BG64,BG65,BG66,BG67,BG68, BG69, BG70, BG71, BG72, BG73, BG74, BG75, BG76, BG77, BG78, BG79, BG80, BG81, BG82, BG83, BG84, BG85)&amp;CONCATENATE(BG86, BG87, BG88, BG89, BG90, BG91, BG92, BG93, BG94, BG95, BG96, BG97, BG98, BG99, BG100, BG101, BG102, BG103, BG104, BG105, BG106, BG107, BG108, BG109, BG110, BG111, BG112, BG113, BG114, BG115)&amp;CONCATENATE(BG116,BG117,BG118,BG119,BG120,BG121,BG122,BG123,BG124,BG125,BG126,BG127,BG128,BG129,BG130,BG131,BG132,BG133,BG134,BG135,BG136,BG137,BG138,BG139,BG140,BG141,BG142,BG143)&amp;CONCATENATE(BG144,BG145,BG146,BG147,BG148,BG149,BG150,BG151,BG152,BG153,BG154,BG155,BG156)</f>
        <v/>
      </c>
      <c r="BH26" s="51">
        <f>CONCATENATE(BH27,BH28,BH29,BH30,BH31,BH32,BH33,BH34,BH35,BH36,BH37,BH38,BH39,BH40,BH41,BH42,BH43,BH44,BH45,BH46,BH47,BH48,BH49,BH50,BH51,BH52,BH53,BH54,BH55,BH56)&amp;CONCATENATE(BH57,BH58,BH59,BH60,BH61,BH62,BH63,BH64,BH65,BH66,BH67,BH68, BH69, BH70, BH71, BH72, BH73, BH74, BH75, BH76, BH77, BH78, BH79, BH80, BH81, BH82, BH83, BH84, BH85)&amp;CONCATENATE(BH86, BH87, BH88, BH89, BH90, BH91, BH92, BH93, BH94, BH95, BH96, BH97, BH98, BH99, BH100, BH101, BH102, BH103, BH104, BH105, BH106, BH107, BH108, BH109, BH110, BH111, BH112, BH113, BH114, BH115)&amp;CONCATENATE(BH116,BH117,BH118,BH119,BH120,BH121,BH122,BH123,BH124,BH125,BH126,BH127,BH128,BH129,BH130,BH131,BH132,BH133,BH134,BH135,BH136,BH137,BH138,BH139,BH140,BH141,BH142,BH143)&amp;CONCATENATE(BH144,BH145,BH146,BH147,BH148,BH149,BH150,BH151,BH152,BH153,BH154,BH155,BH156)</f>
        <v/>
      </c>
      <c r="BI26" s="51">
        <f>CONCATENATE(BI27,BI28,BI29,BI30,BI31,BI32,BI33,BI34,BI35,BI36,BI37,BI38,BI39,BI40,BI41,BI42,BI43,BI44,BI45,BI46,BI47,BI48,BI49,BI50,BI51,BI52,BI53,BI54,BI55,BI56)&amp;CONCATENATE(BI57,BI58,BI59,BI60,BI61,BI62,BI63,BI64,BI65,BI66,BI67,BI68, BI69, BI70, BI71, BI72, BI73, BI74, BI75, BI76, BI77, BI78, BI79, BI80, BI81, BI82, BI83, BI84, BI85)&amp;CONCATENATE(BI86, BI87, BI88, BI89, BI90, BI91, BI92, BI93, BI94, BI95, BI96, BI97, BI98, BI99, BI100, BI101, BI102, BI103, BI104, BI105, BI106, BI107, BI108, BI109, BI110, BI111, BI112, BI113, BI114, BI115)&amp;CONCATENATE(BI116,BI117,BI118,BI119,BI120,BI121,BI122,BI123,BI124,BI125,BI126,BI127,BI128,BI129,BI130,BI131,BI132,BI133,BI134,BI135,BI136,BI137,BI138,BI139,BI140,BI141,BI142,BI143)&amp;CONCATENATE(BI144,BI145,BI146,BI147,BI148,BI149,BI150,BI151,BI152,BI153,BI154,BI155,BI156)</f>
        <v/>
      </c>
      <c r="BJ26" s="51">
        <f>CONCATENATE(BJ27,BJ28,BJ29,BJ30,BJ31,BJ32,BJ33,BJ34,BJ35,BJ36,BJ37,BJ38,BJ39,BJ40,BJ41,BJ42,BJ43,BJ44,BJ45,BJ46,BJ47,BJ48,BJ49,BJ50,BJ51,BJ52,BJ53,BJ54,BJ55,BJ56)&amp;CONCATENATE(BJ57,BJ58,BJ59,BJ60,BJ61,BJ62,BJ63,BJ64,BJ65,BJ66,BJ67,BJ68, BJ69, BJ70, BJ71, BJ72, BJ73, BJ74, BJ75, BJ76, BJ77, BJ78, BJ79, BJ80, BJ81, BJ82, BJ83, BJ84, BJ85)&amp;CONCATENATE(BJ86, BJ87, BJ88, BJ89, BJ90, BJ91, BJ92, BJ93, BJ94, BJ95, BJ96, BJ97, BJ98, BJ99, BJ100, BJ101, BJ102, BJ103, BJ104, BJ105, BJ106, BJ107, BJ108, BJ109, BJ110, BJ111, BJ112, BJ113, BJ114, BJ115)&amp;CONCATENATE(BJ116,BJ117,BJ118,BJ119,BJ120,BJ121,BJ122,BJ123,BJ124,BJ125,BJ126,BJ127,BJ128,BJ129,BJ130,BJ131,BJ132,BJ133,BJ134,BJ135,BJ136,BJ137,BJ138,BJ139,BJ140,BJ141,BJ142,BJ143)&amp;CONCATENATE(BJ144,BJ145,BJ146,BJ147,BJ148,BJ149,BJ150,BJ151,BJ152,BJ153,BJ154,BJ155,BJ156)</f>
        <v/>
      </c>
      <c r="BK26" s="51">
        <f>CONCATENATE(BK27,BK28,BK29,BK30,BK31,BK32,BK33,BK34,BK35,BK36,BK37,BK38,BK39,BK40,BK41,BK42,BK43,BK44,BK45,BK46,BK47,BK48,BK49,BK50,BK51,BK52,BK53,BK54,BK55,BK56)&amp;CONCATENATE(BK57,BK58,BK59,BK60,BK61,BK62,BK63,BK64,BK65,BK66,BK67,BK68, BK69, BK70, BK71, BK72, BK73, BK74, BK75, BK76, BK77, BK78, BK79, BK80, BK81, BK82, BK83, BK84, BK85)&amp;CONCATENATE(BK86, BK87, BK88, BK89, BK90, BK91, BK92, BK93, BK94, BK95, BK96, BK97, BK98, BK99, BK100, BK101, BK102, BK103, BK104, BK105, BK106, BK107, BK108, BK109, BK110, BK111, BK112, BK113, BK114, BK115)&amp;CONCATENATE(BK116,BK117,BK118,BK119,BK120,BK121,BK122,BK123,BK124,BK125,BK126,BK127,BK128,BK129,BK130,BK131,BK132,BK133,BK134,BK135,BK136,BK137,BK138,BK139,BK140,BK141,BK142,BK143)&amp;CONCATENATE(BK144,BK145,BK146,BK147,BK148,BK149,BK150,BK151,BK152,BK153,BK154,BK155,BK156)</f>
        <v/>
      </c>
      <c r="BL26" s="51">
        <f>CONCATENATE(BL27,BL28,BL29,BL30,BL31,BL32,BL33,BL34,BL35,BL36,BL37,BL38,BL39,BL40,BL41,BL42,BL43,BL44,BL45,BL46,BL47,BL48,BL49,BL50,BL51,BL52,BL53,BL54,BL55,BL56)&amp;CONCATENATE(BL57,BL58,BL59,BL60,BL61,BL62,BL63,BL64,BL65,BL66,BL67,BL68, BL69, BL70, BL71, BL72, BL73, BL74, BL75, BL76, BL77, BL78, BL79, BL80, BL81, BL82, BL83, BL84, BL85)&amp;CONCATENATE(BL86, BL87, BL88, BL89, BL90, BL91, BL92, BL93, BL94, BL95, BL96, BL97, BL98, BL99, BL100, BL101, BL102, BL103, BL104, BL105, BL106, BL107, BL108, BL109, BL110, BL111, BL112, BL113, BL114, BL115)&amp;CONCATENATE(BL116,BL117,BL118,BL119,BL120,BL121,BL122,BL123,BL124,BL125,BL126,BL127,BL128,BL129,BL130,BL131,BL132,BL133,BL134,BL135,BL136,BL137,BL138,BL139,BL140,BL141,BL142,BL143)&amp;CONCATENATE(BL144,BL145,BL146,BL147,BL148,BL149,BL150,BL151,BL152,BL153,BL154,BL155,BL156)</f>
        <v/>
      </c>
      <c r="BM26" s="51">
        <f>CONCATENATE(BM27,BM28,BM29,BM30,BM31,BM32,BM33,BM34,BM35,BM36,BM37,BM38,BM39,BM40,BM41,BM42,BM43,BM44,BM45,BM46,BM47,BM48,BM49,BM50,BM51,BM52,BM53,BM54,BM55,BM56)&amp;CONCATENATE(BM57,BM58,BM59,BM60,BM61,BM62,BM63,BM64,BM65,BM66,BM67,BM68, BM69, BM70, BM71, BM72, BM73, BM74, BM75, BM76, BM77, BM78, BM79, BM80, BM81, BM82, BM83, BM84, BM85)&amp;CONCATENATE(BM86, BM87, BM88, BM89, BM90, BM91, BM92, BM93, BM94, BM95, BM96, BM97, BM98, BM99, BM100, BM101, BM102, BM103, BM104, BM105, BM106, BM107, BM108, BM109, BM110, BM111, BM112, BM113, BM114, BM115)&amp;CONCATENATE(BM116,BM117,BM118,BM119,BM120,BM121,BM122,BM123,BM124,BM125,BM126,BM127,BM128,BM129,BM130,BM131,BM132,BM133,BM134,BM135,BM136,BM137,BM138,BM139,BM140,BM141,BM142,BM143)&amp;CONCATENATE(BM144,BM145,BM146,BM147,BM148,BM149,BM150,BM151,BM152,BM153,BM154,BM155,BM156)</f>
        <v/>
      </c>
      <c r="BN26" s="51">
        <f>CONCATENATE(BN27,BN28,BN29,BN30,BN31,BN32,BN33,BN34,BN35,BN36,BN37,BN38,BN39,BN40,BN41,BN42,BN43,BN44,BN45,BN46,BN47,BN48,BN49,BN50,BN51,BN52,BN53,BN54,BN55,BN56)&amp;CONCATENATE(BN57,BN58,BN59,BN60,BN61,BN62,BN63,BN64,BN65,BN66,BN67,BN68, BN69, BN70, BN71, BN72, BN73, BN74, BN75, BN76, BN77, BN78, BN79, BN80, BN81, BN82, BN83, BN84, BN85)&amp;CONCATENATE(BN86, BN87, BN88, BN89, BN90, BN91, BN92, BN93, BN94, BN95, BN96, BN97, BN98, BN99, BN100, BN101, BN102, BN103, BN104, BN105, BN106, BN107, BN108, BN109, BN110, BN111, BN112, BN113, BN114, BN115)&amp;CONCATENATE(BN116,BN117,BN118,BN119,BN120,BN121,BN122,BN123,BN124,BN125,BN126,BN127,BN128,BN129,BN130,BN131,BN132,BN133,BN134,BN135,BN136,BN137,BN138,BN139,BN140,BN141,BN142,BN143)&amp;CONCATENATE(BN144,BN145,BN146,BN147,BN148,BN149,BN150,BN151,BN152,BN153,BN154,BN155,BN156)</f>
        <v/>
      </c>
      <c r="BO26" s="51">
        <f>CONCATENATE(BO27,BO28,BO29,BO30,BO31,BO32,BO33,BO34,BO35,BO36,BO37,BO38,BO39,BO40,BO41,BO42,BO43,BO44,BO45,BO46,BO47,BO48,BO49,BO50,BO51,BO52,BO53,BO54,BO55,BO56)&amp;CONCATENATE(BO57,BO58,BO59,BO60,BO61,BO62,BO63,BO64,BO65,BO66,BO67,BO68, BO69, BO70, BO71, BO72, BO73, BO74, BO75, BO76, BO77, BO78, BO79, BO80, BO81, BO82, BO83, BO84, BO85)&amp;CONCATENATE(BO86, BO87, BO88, BO89, BO90, BO91, BO92, BO93, BO94, BO95, BO96, BO97, BO98, BO99, BO100, BO101, BO102, BO103, BO104, BO105, BO106, BO107, BO108, BO109, BO110, BO111, BO112, BO113, BO114, BO115)&amp;CONCATENATE(BO116,BO117,BO118,BO119,BO120,BO121,BO122,BO123,BO124,BO125,BO126,BO127,BO128,BO129,BO130,BO131,BO132,BO133,BO134,BO135,BO136,BO137,BO138,BO139,BO140,BO141,BO142,BO143)&amp;CONCATENATE(BO144,BO145,BO146,BO147,BO148,BO149,BO150,BO151,BO152,BO153,BO154,BO155,BO156)</f>
        <v/>
      </c>
      <c r="BP26" s="51">
        <f>CONCATENATE(BP27,BP28,BP29,BP30,BP31,BP32,BP33,BP34,BP35,BP36,BP37,BP38,BP39,BP40,BP41,BP42,BP43,BP44,BP45,BP46,BP47,BP48,BP49,BP50,BP51,BP52,BP53,BP54,BP55,BP56)&amp;CONCATENATE(BP57,BP58,BP59,BP60,BP61,BP62,BP63,BP64,BP65,BP66,BP67,BP68, BP69, BP70, BP71, BP72, BP73, BP74, BP75, BP76, BP77, BP78, BP79, BP80, BP81, BP82, BP83, BP84, BP85)&amp;CONCATENATE(BP86, BP87, BP88, BP89, BP90, BP91, BP92, BP93, BP94, BP95, BP96, BP97, BP98, BP99, BP100, BP101, BP102, BP103, BP104, BP105, BP106, BP107, BP108, BP109, BP110, BP111, BP112, BP113, BP114, BP115)&amp;CONCATENATE(BP116,BP117,BP118,BP119,BP120,BP121,BP122,BP123,BP124,BP125,BP126,BP127,BP128,BP129,BP130,BP131,BP132,BP133,BP134,BP135,BP136,BP137,BP138,BP139,BP140,BP141,BP142,BP143)&amp;CONCATENATE(BP144,BP145,BP146,BP147,BP148,BP149,BP150,BP151,BP152,BP153,BP154,BP155,BP156)</f>
        <v/>
      </c>
      <c r="BQ26" s="51">
        <f>CONCATENATE(BQ27,BQ28,BQ29,BQ30,BQ31,BQ32,BQ33,BQ34,BQ35,BQ36,BQ37,BQ38,BQ39,BQ40,BQ41,BQ42,BQ43,BQ44,BQ45,BQ46,BQ47,BQ48,BQ49,BQ50,BQ51,BQ52,BQ53,BQ54,BQ55,BQ56)&amp;CONCATENATE(BQ57,BQ58,BQ59,BQ60,BQ61,BQ62,BQ63,BQ64,BQ65,BQ66,BQ67,BQ68, BQ69, BQ70, BQ71, BQ72, BQ73, BQ74, BQ75, BQ76, BQ77, BQ78, BQ79, BQ80, BQ81, BQ82, BQ83, BQ84, BQ85)&amp;CONCATENATE(BQ86, BQ87, BQ88, BQ89, BQ90, BQ91, BQ92, BQ93, BQ94, BQ95, BQ96, BQ97, BQ98, BQ99, BQ100, BQ101, BQ102, BQ103, BQ104, BQ105, BQ106, BQ107, BQ108, BQ109, BQ110, BQ111, BQ112, BQ113, BQ114, BQ115)&amp;CONCATENATE(BQ116,BQ117,BQ118,BQ119,BQ120,BQ121,BQ122,BQ123,BQ124,BQ125,BQ126,BQ127,BQ128,BQ129,BQ130,BQ131,BQ132,BQ133,BQ134,BQ135,BQ136,BQ137,BQ138,BQ139,BQ140,BQ141,BQ142,BQ143)&amp;CONCATENATE(BQ144,BQ145,BQ146,BQ147,BQ148,BQ149,BQ150,BQ151,BQ152,BQ153,BQ154,BQ155,BQ156)</f>
        <v/>
      </c>
      <c r="BR26" s="51">
        <f>CONCATENATE(BR27,BR28,BR29,BR30,BR31,BR32,BR33,BR34,BR35,BR36,BR37,BR38,BR39,BR40,BR41,BR42,BR43,BR44,BR45,BR46,BR47,BR48,BR49,BR50,BR51,BR52,BR53,BR54,BR55,BR56)&amp;CONCATENATE(BR57,BR58,BR59,BR60,BR61,BR62,BR63,BR64,BR65,BR66,BR67,BR68, BR69, BR70, BR71, BR72, BR73, BR74, BR75, BR76, BR77, BR78, BR79, BR80, BR81, BR82, BR83, BR84, BR85)&amp;CONCATENATE(BR86, BR87, BR88, BR89, BR90, BR91, BR92, BR93, BR94, BR95, BR96, BR97, BR98, BR99, BR100, BR101, BR102, BR103, BR104, BR105, BR106, BR107, BR108, BR109, BR110, BR111, BR112, BR113, BR114, BR115)&amp;CONCATENATE(BR116,BR117,BR118,BR119,BR120,BR121,BR122,BR123,BR124,BR125,BR126,BR127,BR128,BR129,BR130,BR131,BR132,BR133,BR134,BR135,BR136,BR137,BR138,BR139,BR140,BR141,BR142,BR143)&amp;CONCATENATE(BR144,BR145,BR146,BR147,BR148,BR149,BR150,BR151,BR152,BR153,BR154,BR155,BR156)</f>
        <v/>
      </c>
      <c r="BS26" s="51">
        <f>CONCATENATE(BS27,BS28,BS29,BS30,BS31,BS32,BS33,BS34,BS35,BS36,BS37,BS38,BS39,BS40,BS41,BS42,BS43,BS44,BS45,BS46,BS47,BS48,BS49,BS50,BS51,BS52,BS53,BS54,BS55,BS56)&amp;CONCATENATE(BS57,BS58,BS59,BS60,BS61,BS62,BS63,BS64,BS65,BS66,BS67,BS68, BS69, BS70, BS71, BS72, BS73, BS74, BS75, BS76, BS77, BS78, BS79, BS80, BS81, BS82, BS83, BS84, BS85)&amp;CONCATENATE(BS86, BS87, BS88, BS89, BS90, BS91, BS92, BS93, BS94, BS95, BS96, BS97, BS98, BS99, BS100, BS101, BS102, BS103, BS104, BS105, BS106, BS107, BS108, BS109, BS110, BS111, BS112, BS113, BS114, BS115)&amp;CONCATENATE(BS116,BS117,BS118,BS119,BS120,BS121,BS122,BS123,BS124,BS125,BS126,BS127,BS128,BS129,BS130,BS131,BS132,BS133,BS134,BS135,BS136,BS137,BS138,BS139,BS140,BS141,BS142,BS143)&amp;CONCATENATE(BS144,BS145,BS146,BS147,BS148,BS149,BS150,BS151,BS152,BS153,BS154,BS155,BS156)</f>
        <v/>
      </c>
      <c r="BV26" s="50" t="inlineStr">
        <is>
          <t>Impact (actual)</t>
        </is>
      </c>
      <c r="BW26" s="50" t="inlineStr">
        <is>
          <t>Probability (actual)</t>
        </is>
      </c>
      <c r="BX26" s="151" t="n"/>
      <c r="BY26" s="51">
        <f>CONCATENATE(BY27,BY28,BY29,BY30,BY31,BY32,BY33,BY34,BY35,BY36,BY37,BY38,BY39,BY40,BY41,BY42,BY43,BY44,BY45,BY46,BY47,BY48,BY49,BY50,BY51,BY52,BY53,BY54,BY55,BY56)&amp;CONCATENATE(BY57,BY58,BY59,BY60,BY61,BY62,BY63,BY64,BY65,BY66,BY67,BY68, BY69, BY70, BY71, BY72, BY73, BY74, BY75, BY76, BY77, BY78, BY79, BY80, BY81, BY82, BY83, BY84, BY85)&amp;CONCATENATE(BY86, BY87, BY88, BY89, BY90, BY91, BY92, BY93, BY94, BY95, BY96, BY97, BY98, BY99, BY100, BY101, BY102, BY103, BY104, BY105, BY106, BY107, BY108, BY109, BY110, BY111, BY112, BY113, BY114, BY115)&amp;CONCATENATE(BY116,BY117,BY118,BY119,BY120,BY121,BY122,BY123,BY124,BY125,BY126,BY127,BY128,BY129,BY130,BY131,BY132,BY133,BY134,BY135,BY136,BY137,BY138,BY139,BY140,BY141,BY142,BY143)&amp;CONCATENATE(BY144,BY145,BY146,BY147,BY148,BY149,BY150,BY151,BY152,BY153,BY154,BY155,BY156)</f>
        <v/>
      </c>
      <c r="BZ26" s="51">
        <f>CONCATENATE(BZ27,BZ28,BZ29,BZ30,BZ31,BZ32,BZ33,BZ34,BZ35,BZ36,BZ37,BZ38,BZ39,BZ40,BZ41,BZ42,BZ43,BZ44,BZ45,BZ46,BZ47,BZ48,BZ49,BZ50,BZ51,BZ52,BZ53,BZ54,BZ55,BZ56)&amp;CONCATENATE(BZ57,BZ58,BZ59,BZ60,BZ61,BZ62,BZ63,BZ64,BZ65,BZ66,BZ67,BZ68, BZ69, BZ70, BZ71, BZ72, BZ73, BZ74, BZ75, BZ76, BZ77, BZ78, BZ79, BZ80, BZ81, BZ82, BZ83, BZ84, BZ85)&amp;CONCATENATE(BZ86, BZ87, BZ88, BZ89, BZ90, BZ91, BZ92, BZ93, BZ94, BZ95, BZ96, BZ97, BZ98, BZ99, BZ100, BZ101, BZ102, BZ103, BZ104, BZ105, BZ106, BZ107, BZ108, BZ109, BZ110, BZ111, BZ112, BZ113, BZ114, BZ115)&amp;CONCATENATE(BZ116,BZ117,BZ118,BZ119,BZ120,BZ121,BZ122,BZ123,BZ124,BZ125,BZ126,BZ127,BZ128,BZ129,BZ130,BZ131,BZ132,BZ133,BZ134,BZ135,BZ136,BZ137,BZ138,BZ139,BZ140,BZ141,BZ142,BZ143)&amp;CONCATENATE(BZ144,BZ145,BZ146,BZ147,BZ148,BZ149,BZ150,BZ151,BZ152,BZ153,BZ154,BZ155,BZ156)</f>
        <v/>
      </c>
      <c r="CA26" s="51">
        <f>CONCATENATE(CA27,CA28,CA29,CA30,CA31,CA32,CA33,CA34,CA35,CA36,CA37,CA38,CA39,CA40,CA41,CA42,CA43,CA44,CA45,CA46,CA47,CA48,CA49,CA50,CA51,CA52,CA53,CA54,CA55,CA56)&amp;CONCATENATE(CA57,CA58,CA59,CA60,CA61,CA62,CA63,CA64,CA65,CA66,CA67,CA68, CA69, CA70, CA71, CA72, CA73, CA74, CA75, CA76, CA77, CA78, CA79, CA80, CA81, CA82, CA83, CA84, CA85)&amp;CONCATENATE(CA86, CA87, CA88, CA89, CA90, CA91, CA92, CA93, CA94, CA95, CA96, CA97, CA98, CA99, CA100, CA101, CA102, CA103, CA104, CA105, CA106, CA107, CA108, CA109, CA110, CA111, CA112, CA113, CA114, CA115)&amp;CONCATENATE(CA116,CA117,CA118,CA119,CA120,CA121,CA122,CA123,CA124,CA125,CA126,CA127,CA128,CA129,CA130,CA131,CA132,CA133,CA134,CA135,CA136,CA137,CA138,CA139,CA140,CA141,CA142,CA143)&amp;CONCATENATE(CA144,CA145,CA146,CA147,CA148,CA149,CA150,CA151,CA152,CA153,CA154,CA155,CA156)</f>
        <v/>
      </c>
      <c r="CB26" s="51">
        <f>CONCATENATE(CB27,CB28,CB29,CB30,CB31,CB32,CB33,CB34,CB35,CB36,CB37,CB38,CB39,CB40,CB41,CB42,CB43,CB44,CB45,CB46,CB47,CB48,CB49,CB50,CB51,CB52,CB53,CB54,CB55,CB56)&amp;CONCATENATE(CB57,CB58,CB59,CB60,CB61,CB62,CB63,CB64,CB65,CB66,CB67,CB68, CB69, CB70, CB71, CB72, CB73, CB74, CB75, CB76, CB77, CB78, CB79, CB80, CB81, CB82, CB83, CB84, CB85)&amp;CONCATENATE(CB86, CB87, CB88, CB89, CB90, CB91, CB92, CB93, CB94, CB95, CB96, CB97, CB98, CB99, CB100, CB101, CB102, CB103, CB104, CB105, CB106, CB107, CB108, CB109, CB110, CB111, CB112, CB113, CB114, CB115)&amp;CONCATENATE(CB116,CB117,CB118,CB119,CB120,CB121,CB122,CB123,CB124,CB125,CB126,CB127,CB128,CB129,CB130,CB131,CB132,CB133,CB134,CB135,CB136,CB137,CB138,CB139,CB140,CB141,CB142,CB143)&amp;CONCATENATE(CB144,CB145,CB146,CB147,CB148,CB149,CB150,CB151,CB152,CB153,CB154,CB155,CB156)</f>
        <v/>
      </c>
      <c r="CC26" s="51">
        <f>CONCATENATE(CC27,CC28,CC29,CC30,CC31,CC32,CC33,CC34,CC35,CC36,CC37,CC38,CC39,CC40,CC41,CC42,CC43,CC44,CC45,CC46,CC47,CC48,CC49,CC50,CC51,CC52,CC53,CC54,CC55,CC56)&amp;CONCATENATE(CC57,CC58,CC59,CC60,CC61,CC62,CC63,CC64,CC65,CC66,CC67,CC68, CC69, CC70, CC71, CC72, CC73, CC74, CC75, CC76, CC77, CC78, CC79, CC80, CC81, CC82, CC83, CC84, CC85)&amp;CONCATENATE(CC86, CC87, CC88, CC89, CC90, CC91, CC92, CC93, CC94, CC95, CC96, CC97, CC98, CC99, CC100, CC101, CC102, CC103, CC104, CC105, CC106, CC107, CC108, CC109, CC110, CC111, CC112, CC113, CC114, CC115)&amp;CONCATENATE(CC116,CC117,CC118,CC119,CC120,CC121,CC122,CC123,CC124,CC125,CC126,CC127,CC128,CC129,CC130,CC131,CC132,CC133,CC134,CC135,CC136,CC137,CC138,CC139,CC140,CC141,CC142,CC143)&amp;CONCATENATE(CC144,CC145,CC146,CC147,CC148,CC149,CC150,CC151,CC152,CC153,CC154,CC155,CC156)</f>
        <v/>
      </c>
      <c r="CD26" s="51">
        <f>CONCATENATE(CD27,CD28,CD29,CD30,CD31,CD32,CD33,CD34,CD35,CD36,CD37,CD38,CD39,CD40,CD41,CD42,CD43,CD44,CD45,CD46,CD47,CD48,CD49,CD50,CD51,CD52,CD53,CD54,CD55,CD56)&amp;CONCATENATE(CD57,CD58,CD59,CD60,CD61,CD62,CD63,CD64,CD65,CD66,CD67,CD68, CD69, CD70, CD71, CD72, CD73, CD74, CD75, CD76, CD77, CD78, CD79, CD80, CD81, CD82, CD83, CD84, CD85)&amp;CONCATENATE(CD86, CD87, CD88, CD89, CD90, CD91, CD92, CD93, CD94, CD95, CD96, CD97, CD98, CD99, CD100, CD101, CD102, CD103, CD104, CD105, CD106, CD107, CD108, CD109, CD110, CD111, CD112, CD113, CD114, CD115)&amp;CONCATENATE(CD116,CD117,CD118,CD119,CD120,CD121,CD122,CD123,CD124,CD125,CD126,CD127,CD128,CD129,CD130,CD131,CD132,CD133,CD134,CD135,CD136,CD137,CD138,CD139,CD140,CD141,CD142,CD143)&amp;CONCATENATE(CD144,CD145,CD146,CD147,CD148,CD149,CD150,CD151,CD152,CD153,CD154,CD155,CD156)</f>
        <v/>
      </c>
      <c r="CE26" s="51">
        <f>CONCATENATE(CE27,CE28,CE29,CE30,CE31,CE32,CE33,CE34,CE35,CE36,CE37,CE38,CE39,CE40,CE41,CE42,CE43,CE44,CE45,CE46,CE47,CE48,CE49,CE50,CE51,CE52,CE53,CE54,CE55,CE56)&amp;CONCATENATE(CE57,CE58,CE59,CE60,CE61,CE62,CE63,CE64,CE65,CE66,CE67,CE68, CE69, CE70, CE71, CE72, CE73, CE74, CE75, CE76, CE77, CE78, CE79, CE80, CE81, CE82, CE83, CE84, CE85)&amp;CONCATENATE(CE86, CE87, CE88, CE89, CE90, CE91, CE92, CE93, CE94, CE95, CE96, CE97, CE98, CE99, CE100, CE101, CE102, CE103, CE104, CE105, CE106, CE107, CE108, CE109, CE110, CE111, CE112, CE113, CE114, CE115)&amp;CONCATENATE(CE116,CE117,CE118,CE119,CE120,CE121,CE122,CE123,CE124,CE125,CE126,CE127,CE128,CE129,CE130,CE131,CE132,CE133,CE134,CE135,CE136,CE137,CE138,CE139,CE140,CE141,CE142,CE143)&amp;CONCATENATE(CE144,CE145,CE146,CE147,CE148,CE149,CE150,CE151,CE152,CE153,CE154,CE155,CE156)</f>
        <v/>
      </c>
      <c r="CF26" s="51">
        <f>CONCATENATE(CF27,CF28,CF29,CF30,CF31,CF32,CF33,CF34,CF35,CF36,CF37,CF38,CF39,CF40,CF41,CF42,CF43,CF44,CF45,CF46,CF47,CF48,CF49,CF50,CF51,CF52,CF53,CF54,CF55,CF56)&amp;CONCATENATE(CF57,CF58,CF59,CF60,CF61,CF62,CF63,CF64,CF65,CF66,CF67,CF68, CF69, CF70, CF71, CF72, CF73, CF74, CF75, CF76, CF77, CF78, CF79, CF80, CF81, CF82, CF83, CF84, CF85)&amp;CONCATENATE(CF86, CF87, CF88, CF89, CF90, CF91, CF92, CF93, CF94, CF95, CF96, CF97, CF98, CF99, CF100, CF101, CF102, CF103, CF104, CF105, CF106, CF107, CF108, CF109, CF110, CF111, CF112, CF113, CF114, CF115)&amp;CONCATENATE(CF116,CF117,CF118,CF119,CF120,CF121,CF122,CF123,CF124,CF125,CF126,CF127,CF128,CF129,CF130,CF131,CF132,CF133,CF134,CF135,CF136,CF137,CF138,CF139,CF140,CF141,CF142,CF143)&amp;CONCATENATE(CF144,CF145,CF146,CF147,CF148,CF149,CF150,CF151,CF152,CF153,CF154,CF155,CF156)</f>
        <v/>
      </c>
      <c r="CG26" s="51">
        <f>CONCATENATE(CG27,CG28,CG29,CG30,CG31,CG32,CG33,CG34,CG35,CG36,CG37,CG38,CG39,CG40,CG41,CG42,CG43,CG44,CG45,CG46,CG47,CG48,CG49,CG50,CG51,CG52,CG53,CG54,CG55,CG56)&amp;CONCATENATE(CG57,CG58,CG59,CG60,CG61,CG62,CG63,CG64,CG65,CG66,CG67,CG68, CG69, CG70, CG71, CG72, CG73, CG74, CG75, CG76, CG77, CG78, CG79, CG80, CG81, CG82, CG83, CG84, CG85)&amp;CONCATENATE(CG86, CG87, CG88, CG89, CG90, CG91, CG92, CG93, CG94, CG95, CG96, CG97, CG98, CG99, CG100, CG101, CG102, CG103, CG104, CG105, CG106, CG107, CG108, CG109, CG110, CG111, CG112, CG113, CG114, CG115)&amp;CONCATENATE(CG116,CG117,CG118,CG119,CG120,CG121,CG122,CG123,CG124,CG125,CG126,CG127,CG128,CG129,CG130,CG131,CG132,CG133,CG134,CG135,CG136,CG137,CG138,CG139,CG140,CG141,CG142,CG143)&amp;CONCATENATE(CG144,CG145,CG146,CG147,CG148,CG149,CG150,CG151,CG152,CG153,CG154,CG155,CG156)</f>
        <v/>
      </c>
      <c r="CH26" s="51">
        <f>CONCATENATE(CH27,CH28,CH29,CH30,CH31,CH32,CH33,CH34,CH35,CH36,CH37,CH38,CH39,CH40,CH41,CH42,CH43,CH44,CH45,CH46,CH47,CH48,CH49,CH50,CH51,CH52,CH53,CH54,CH55,CH56)&amp;CONCATENATE(CH57,CH58,CH59,CH60,CH61,CH62,CH63,CH64,CH65,CH66,CH67,CH68, CH69, CH70, CH71, CH72, CH73, CH74, CH75, CH76, CH77, CH78, CH79, CH80, CH81, CH82, CH83, CH84, CH85)&amp;CONCATENATE(CH86, CH87, CH88, CH89, CH90, CH91, CH92, CH93, CH94, CH95, CH96, CH97, CH98, CH99, CH100, CH101, CH102, CH103, CH104, CH105, CH106, CH107, CH108, CH109, CH110, CH111, CH112, CH113, CH114, CH115)&amp;CONCATENATE(CH116,CH117,CH118,CH119,CH120,CH121,CH122,CH123,CH124,CH125,CH126,CH127,CH128,CH129,CH130,CH131,CH132,CH133,CH134,CH135,CH136,CH137,CH138,CH139,CH140,CH141,CH142,CH143)&amp;CONCATENATE(CH144,CH145,CH146,CH147,CH148,CH149,CH150,CH151,CH152,CH153,CH154,CH155,CH156)</f>
        <v/>
      </c>
      <c r="CI26" s="51">
        <f>CONCATENATE(CI27,CI28,CI29,CI30,CI31,CI32,CI33,CI34,CI35,CI36,CI37,CI38,CI39,CI40,CI41,CI42,CI43,CI44,CI45,CI46,CI47,CI48,CI49,CI50,CI51,CI52,CI53,CI54,CI55,CI56)&amp;CONCATENATE(CI57,CI58,CI59,CI60,CI61,CI62,CI63,CI64,CI65,CI66,CI67,CI68, CI69, CI70, CI71, CI72, CI73, CI74, CI75, CI76, CI77, CI78, CI79, CI80, CI81, CI82, CI83, CI84, CI85)&amp;CONCATENATE(CI86, CI87, CI88, CI89, CI90, CI91, CI92, CI93, CI94, CI95, CI96, CI97, CI98, CI99, CI100, CI101, CI102, CI103, CI104, CI105, CI106, CI107, CI108, CI109, CI110, CI111, CI112, CI113, CI114, CI115)&amp;CONCATENATE(CI116,CI117,CI118,CI119,CI120,CI121,CI122,CI123,CI124,CI125,CI126,CI127,CI128,CI129,CI130,CI131,CI132,CI133,CI134,CI135,CI136,CI137,CI138,CI139,CI140,CI141,CI142,CI143)&amp;CONCATENATE(CI144,CI145,CI146,CI147,CI148,CI149,CI150,CI151,CI152,CI153,CI154,CI155,CI156)</f>
        <v/>
      </c>
      <c r="CJ26" s="51">
        <f>CONCATENATE(CJ27,CJ28,CJ29,CJ30,CJ31,CJ32,CJ33,CJ34,CJ35,CJ36,CJ37,CJ38,CJ39,CJ40,CJ41,CJ42,CJ43,CJ44,CJ45,CJ46,CJ47,CJ48,CJ49,CJ50,CJ51,CJ52,CJ53,CJ54,CJ55,CJ56)&amp;CONCATENATE(CJ57,CJ58,CJ59,CJ60,CJ61,CJ62,CJ63,CJ64,CJ65,CJ66,CJ67,CJ68, CJ69, CJ70, CJ71, CJ72, CJ73, CJ74, CJ75, CJ76, CJ77, CJ78, CJ79, CJ80, CJ81, CJ82, CJ83, CJ84, CJ85)&amp;CONCATENATE(CJ86, CJ87, CJ88, CJ89, CJ90, CJ91, CJ92, CJ93, CJ94, CJ95, CJ96, CJ97, CJ98, CJ99, CJ100, CJ101, CJ102, CJ103, CJ104, CJ105, CJ106, CJ107, CJ108, CJ109, CJ110, CJ111, CJ112, CJ113, CJ114, CJ115)&amp;CONCATENATE(CJ116,CJ117,CJ118,CJ119,CJ120,CJ121,CJ122,CJ123,CJ124,CJ125,CJ126,CJ127,CJ128,CJ129,CJ130,CJ131,CJ132,CJ133,CJ134,CJ135,CJ136,CJ137,CJ138,CJ139,CJ140,CJ141,CJ142,CJ143)&amp;CONCATENATE(CJ144,CJ145,CJ146,CJ147,CJ148,CJ149,CJ150,CJ151,CJ152,CJ153,CJ154,CJ155,CJ156)</f>
        <v/>
      </c>
      <c r="CK26" s="51">
        <f>CONCATENATE(CK27,CK28,CK29,CK30,CK31,CK32,CK33,CK34,CK35,CK36,CK37,CK38,CK39,CK40,CK41,CK42,CK43,CK44,CK45,CK46,CK47,CK48,CK49,CK50,CK51,CK52,CK53,CK54,CK55,CK56)&amp;CONCATENATE(CK57,CK58,CK59,CK60,CK61,CK62,CK63,CK64,CK65,CK66,CK67,CK68, CK69, CK70, CK71, CK72, CK73, CK74, CK75, CK76, CK77, CK78, CK79, CK80, CK81, CK82, CK83, CK84, CK85)&amp;CONCATENATE(CK86, CK87, CK88, CK89, CK90, CK91, CK92, CK93, CK94, CK95, CK96, CK97, CK98, CK99, CK100, CK101, CK102, CK103, CK104, CK105, CK106, CK107, CK108, CK109, CK110, CK111, CK112, CK113, CK114, CK115)&amp;CONCATENATE(CK116,CK117,CK118,CK119,CK120,CK121,CK122,CK123,CK124,CK125,CK126,CK127,CK128,CK129,CK130,CK131,CK132,CK133,CK134,CK135,CK136,CK137,CK138,CK139,CK140,CK141,CK142,CK143)&amp;CONCATENATE(CK144,CK145,CK146,CK147,CK148,CK149,CK150,CK151,CK152,CK153,CK154,CK155,CK156)</f>
        <v/>
      </c>
      <c r="CL26" s="51">
        <f>CONCATENATE(CL27,CL28,CL29,CL30,CL31,CL32,CL33,CL34,CL35,CL36,CL37,CL38,CL39,CL40,CL41,CL42,CL43,CL44,CL45,CL46,CL47,CL48,CL49,CL50,CL51,CL52,CL53,CL54,CL55,CL56)&amp;CONCATENATE(CL57,CL58,CL59,CL60,CL61,CL62,CL63,CL64,CL65,CL66,CL67,CL68, CL69, CL70, CL71, CL72, CL73, CL74, CL75, CL76, CL77, CL78, CL79, CL80, CL81, CL82, CL83, CL84, CL85)&amp;CONCATENATE(CL86, CL87, CL88, CL89, CL90, CL91, CL92, CL93, CL94, CL95, CL96, CL97, CL98, CL99, CL100, CL101, CL102, CL103, CL104, CL105, CL106, CL107, CL108, CL109, CL110, CL111, CL112, CL113, CL114, CL115)&amp;CONCATENATE(CL116,CL117,CL118,CL119,CL120,CL121,CL122,CL123,CL124,CL125,CL126,CL127,CL128,CL129,CL130,CL131,CL132,CL133,CL134,CL135,CL136,CL137,CL138,CL139,CL140,CL141,CL142,CL143)&amp;CONCATENATE(CL144,CL145,CL146,CL147,CL148,CL149,CL150,CL151,CL152,CL153,CL154,CL155,CL156)</f>
        <v/>
      </c>
      <c r="CM26" s="51">
        <f>CONCATENATE(CM27,CM28,CM29,CM30,CM31,CM32,CM33,CM34,CM35,CM36,CM37,CM38,CM39,CM40,CM41,CM42,CM43,CM44,CM45,CM46,CM47,CM48,CM49,CM50,CM51,CM52,CM53,CM54,CM55,CM56)&amp;CONCATENATE(CM57,CM58,CM59,CM60,CM61,CM62,CM63,CM64,CM65,CM66,CM67,CM68, CM69, CM70, CM71, CM72, CM73, CM74, CM75, CM76, CM77, CM78, CM79, CM80, CM81, CM82, CM83, CM84, CM85)&amp;CONCATENATE(CM86, CM87, CM88, CM89, CM90, CM91, CM92, CM93, CM94, CM95, CM96, CM97, CM98, CM99, CM100, CM101, CM102, CM103, CM104, CM105, CM106, CM107, CM108, CM109, CM110, CM111, CM112, CM113, CM114, CM115)&amp;CONCATENATE(CM116,CM117,CM118,CM119,CM120,CM121,CM122,CM123,CM124,CM125,CM126,CM127,CM128,CM129,CM130,CM131,CM132,CM133,CM134,CM135,CM136,CM137,CM138,CM139,CM140,CM141,CM142,CM143)&amp;CONCATENATE(CM144,CM145,CM146,CM147,CM148,CM149,CM150,CM151,CM152,CM153,CM154,CM155,CM156)</f>
        <v/>
      </c>
      <c r="CN26" s="51">
        <f>CONCATENATE(CN27,CN28,CN29,CN30,CN31,CN32,CN33,CN34,CN35,CN36,CN37,CN38,CN39,CN40,CN41,CN42,CN43,CN44,CN45,CN46,CN47,CN48,CN49,CN50,CN51,CN52,CN53,CN54,CN55,CN56)&amp;CONCATENATE(CN57,CN58,CN59,CN60,CN61,CN62,CN63,CN64,CN65,CN66,CN67,CN68, CN69, CN70, CN71, CN72, CN73, CN74, CN75, CN76, CN77, CN78, CN79, CN80, CN81, CN82, CN83, CN84, CN85)&amp;CONCATENATE(CN86, CN87, CN88, CN89, CN90, CN91, CN92, CN93, CN94, CN95, CN96, CN97, CN98, CN99, CN100, CN101, CN102, CN103, CN104, CN105, CN106, CN107, CN108, CN109, CN110, CN111, CN112, CN113, CN114, CN115)&amp;CONCATENATE(CN116,CN117,CN118,CN119,CN120,CN121,CN122,CN123,CN124,CN125,CN126,CN127,CN128,CN129,CN130,CN131,CN132,CN133,CN134,CN135,CN136,CN137,CN138,CN139,CN140,CN141,CN142,CN143)&amp;CONCATENATE(CN144,CN145,CN146,CN147,CN148,CN149,CN150,CN151,CN152,CN153,CN154,CN155,CN156)</f>
        <v/>
      </c>
      <c r="CO26" s="51">
        <f>CONCATENATE(CO27,CO28,CO29,CO30,CO31,CO32,CO33,CO34,CO35,CO36,CO37,CO38,CO39,CO40,CO41,CO42,CO43,CO44,CO45,CO46,CO47,CO48,CO49,CO50,CO51,CO52,CO53,CO54,CO55,CO56)&amp;CONCATENATE(CO57,CO58,CO59,CO60,CO61,CO62,CO63,CO64,CO65,CO66,CO67,CO68, CO69, CO70, CO71, CO72, CO73, CO74, CO75, CO76, CO77, CO78, CO79, CO80, CO81, CO82, CO83, CO84, CO85)&amp;CONCATENATE(CO86, CO87, CO88, CO89, CO90, CO91, CO92, CO93, CO94, CO95, CO96, CO97, CO98, CO99, CO100, CO101, CO102, CO103, CO104, CO105, CO106, CO107, CO108, CO109, CO110, CO111, CO112, CO113, CO114, CO115)&amp;CONCATENATE(CO116,CO117,CO118,CO119,CO120,CO121,CO122,CO123,CO124,CO125,CO126,CO127,CO128,CO129,CO130,CO131,CO132,CO133,CO134,CO135,CO136,CO137,CO138,CO139,CO140,CO141,CO142,CO143)&amp;CONCATENATE(CO144,CO145,CO146,CO147,CO148,CO149,CO150,CO151,CO152,CO153,CO154,CO155,CO156)</f>
        <v/>
      </c>
      <c r="CP26" s="51">
        <f>CONCATENATE(CP27,CP28,CP29,CP30,CP31,CP32,CP33,CP34,CP35,CP36,CP37,CP38,CP39,CP40,CP41,CP42,CP43,CP44,CP45,CP46,CP47,CP48,CP49,CP50,CP51,CP52,CP53,CP54,CP55,CP56)&amp;CONCATENATE(CP57,CP58,CP59,CP60,CP61,CP62,CP63,CP64,CP65,CP66,CP67,CP68, CP69, CP70, CP71, CP72, CP73, CP74, CP75, CP76, CP77, CP78, CP79, CP80, CP81, CP82, CP83, CP84, CP85)&amp;CONCATENATE(CP86, CP87, CP88, CP89, CP90, CP91, CP92, CP93, CP94, CP95, CP96, CP97, CP98, CP99, CP100, CP101, CP102, CP103, CP104, CP105, CP106, CP107, CP108, CP109, CP110, CP111, CP112, CP113, CP114, CP115)&amp;CONCATENATE(CP116,CP117,CP118,CP119,CP120,CP121,CP122,CP123,CP124,CP125,CP126,CP127,CP128,CP129,CP130,CP131,CP132,CP133,CP134,CP135,CP136,CP137,CP138,CP139,CP140,CP141,CP142,CP143)&amp;CONCATENATE(CP144,CP145,CP146,CP147,CP148,CP149,CP150,CP151,CP152,CP153,CP154,CP155,CP156)</f>
        <v/>
      </c>
      <c r="CQ26" s="51">
        <f>CONCATENATE(CQ27,CQ28,CQ29,CQ30,CQ31,CQ32,CQ33,CQ34,CQ35,CQ36,CQ37,CQ38,CQ39,CQ40,CQ41,CQ42,CQ43,CQ44,CQ45,CQ46,CQ47,CQ48,CQ49,CQ50,CQ51,CQ52,CQ53,CQ54,CQ55,CQ56)&amp;CONCATENATE(CQ57,CQ58,CQ59,CQ60,CQ61,CQ62,CQ63,CQ64,CQ65,CQ66,CQ67,CQ68, CQ69, CQ70, CQ71, CQ72, CQ73, CQ74, CQ75, CQ76, CQ77, CQ78, CQ79, CQ80, CQ81, CQ82, CQ83, CQ84, CQ85)&amp;CONCATENATE(CQ86, CQ87, CQ88, CQ89, CQ90, CQ91, CQ92, CQ93, CQ94, CQ95, CQ96, CQ97, CQ98, CQ99, CQ100, CQ101, CQ102, CQ103, CQ104, CQ105, CQ106, CQ107, CQ108, CQ109, CQ110, CQ111, CQ112, CQ113, CQ114, CQ115)&amp;CONCATENATE(CQ116,CQ117,CQ118,CQ119,CQ120,CQ121,CQ122,CQ123,CQ124,CQ125,CQ126,CQ127,CQ128,CQ129,CQ130,CQ131,CQ132,CQ133,CQ134,CQ135,CQ136,CQ137,CQ138,CQ139,CQ140,CQ141,CQ142,CQ143)&amp;CONCATENATE(CQ144,CQ145,CQ146,CQ147,CQ148,CQ149,CQ150,CQ151,CQ152,CQ153,CQ154,CQ155,CQ156)</f>
        <v/>
      </c>
      <c r="CR26" s="51">
        <f>CONCATENATE(CR27,CR28,CR29,CR30,CR31,CR32,CR33,CR34,CR35,CR36,CR37,CR38,CR39,CR40,CR41,CR42,CR43,CR44,CR45,CR46,CR47,CR48,CR49,CR50,CR51,CR52,CR53,CR54,CR55,CR56)&amp;CONCATENATE(CR57,CR58,CR59,CR60,CR61,CR62,CR63,CR64,CR65,CR66,CR67,CR68, CR69, CR70, CR71, CR72, CR73, CR74, CR75, CR76, CR77, CR78, CR79, CR80, CR81, CR82, CR83, CR84, CR85)&amp;CONCATENATE(CR86, CR87, CR88, CR89, CR90, CR91, CR92, CR93, CR94, CR95, CR96, CR97, CR98, CR99, CR100, CR101, CR102, CR103, CR104, CR105, CR106, CR107, CR108, CR109, CR110, CR111, CR112, CR113, CR114, CR115)&amp;CONCATENATE(CR116,CR117,CR118,CR119,CR120,CR121,CR122,CR123,CR124,CR125,CR126,CR127,CR128,CR129,CR130,CR131,CR132,CR133,CR134,CR135,CR136,CR137,CR138,CR139,CR140,CR141,CR142,CR143)&amp;CONCATENATE(CR144,CR145,CR146,CR147,CR148,CR149,CR150,CR151,CR152,CR153,CR154,CR155,CR156)</f>
        <v/>
      </c>
      <c r="CS26" s="51">
        <f>CONCATENATE(CS27,CS28,CS29,CS30,CS31,CS32,CS33,CS34,CS35,CS36,CS37,CS38,CS39,CS40,CS41,CS42,CS43,CS44,CS45,CS46,CS47,CS48,CS49,CS50,CS51,CS52,CS53,CS54,CS55,CS56)&amp;CONCATENATE(CS57,CS58,CS59,CS60,CS61,CS62,CS63,CS64,CS65,CS66,CS67,CS68, CS69, CS70, CS71, CS72, CS73, CS74, CS75, CS76, CS77, CS78, CS79, CS80, CS81, CS82, CS83, CS84, CS85)&amp;CONCATENATE(CS86, CS87, CS88, CS89, CS90, CS91, CS92, CS93, CS94, CS95, CS96, CS97, CS98, CS99, CS100, CS101, CS102, CS103, CS104, CS105, CS106, CS107, CS108, CS109, CS110, CS111, CS112, CS113, CS114, CS115)&amp;CONCATENATE(CS116,CS117,CS118,CS119,CS120,CS121,CS122,CS123,CS124,CS125,CS126,CS127,CS128,CS129,CS130,CS131,CS132,CS133,CS134,CS135,CS136,CS137,CS138,CS139,CS140,CS141,CS142,CS143)&amp;CONCATENATE(CS144,CS145,CS146,CS147,CS148,CS149,CS150,CS151,CS152,CS153,CS154,CS155,CS156)</f>
        <v/>
      </c>
      <c r="CT26" s="51">
        <f>CONCATENATE(CT27,CT28,CT29,CT30,CT31,CT32,CT33,CT34,CT35,CT36,CT37,CT38,CT39,CT40,CT41,CT42,CT43,CT44,CT45,CT46,CT47,CT48,CT49,CT50,CT51,CT52,CT53,CT54,CT55,CT56)&amp;CONCATENATE(CT57,CT58,CT59,CT60,CT61,CT62,CT63,CT64,CT65,CT66,CT67,CT68, CT69, CT70, CT71, CT72, CT73, CT74, CT75, CT76, CT77, CT78, CT79, CT80, CT81, CT82, CT83, CT84, CT85)&amp;CONCATENATE(CT86, CT87, CT88, CT89, CT90, CT91, CT92, CT93, CT94, CT95, CT96, CT97, CT98, CT99, CT100, CT101, CT102, CT103, CT104, CT105, CT106, CT107, CT108, CT109, CT110, CT111, CT112, CT113, CT114, CT115)&amp;CONCATENATE(CT116,CT117,CT118,CT119,CT120,CT121,CT122,CT123,CT124,CT125,CT126,CT127,CT128,CT129,CT130,CT131,CT132,CT133,CT134,CT135,CT136,CT137,CT138,CT139,CT140,CT141,CT142,CT143)&amp;CONCATENATE(CT144,CT145,CT146,CT147,CT148,CT149,CT150,CT151,CT152,CT153,CT154,CT155,CT156)</f>
        <v/>
      </c>
      <c r="CU26" s="51">
        <f>CONCATENATE(CU27,CU28,CU29,CU30,CU31,CU32,CU33,CU34,CU35,CU36,CU37,CU38,CU39,CU40,CU41,CU42,CU43,CU44,CU45,CU46,CU47,CU48,CU49,CU50,CU51,CU52,CU53,CU54,CU55,CU56)&amp;CONCATENATE(CU57,CU58,CU59,CU60,CU61,CU62,CU63,CU64,CU65,CU66,CU67,CU68, CU69, CU70, CU71, CU72, CU73, CU74, CU75, CU76, CU77, CU78, CU79, CU80, CU81, CU82, CU83, CU84, CU85)&amp;CONCATENATE(CU86, CU87, CU88, CU89, CU90, CU91, CU92, CU93, CU94, CU95, CU96, CU97, CU98, CU99, CU100, CU101, CU102, CU103, CU104, CU105, CU106, CU107, CU108, CU109, CU110, CU111, CU112, CU113, CU114, CU115)&amp;CONCATENATE(CU116,CU117,CU118,CU119,CU120,CU121,CU122,CU123,CU124,CU125,CU126,CU127,CU128,CU129,CU130,CU131,CU132,CU133,CU134,CU135,CU136,CU137,CU138,CU139,CU140,CU141,CU142,CU143)&amp;CONCATENATE(CU144,CU145,CU146,CU147,CU148,CU149,CU150,CU151,CU152,CU153,CU154,CU155,CU156)</f>
        <v/>
      </c>
      <c r="CV26" s="51">
        <f>CONCATENATE(CV27,CV28,CV29,CV30,CV31,CV32,CV33,CV34,CV35,CV36,CV37,CV38,CV39,CV40,CV41,CV42,CV43,CV44,CV45,CV46,CV47,CV48,CV49,CV50,CV51,CV52,CV53,CV54,CV55,CV56)&amp;CONCATENATE(CV57,CV58,CV59,CV60,CV61,CV62,CV63,CV64,CV65,CV66,CV67,CV68, CV69, CV70, CV71, CV72, CV73, CV74, CV75, CV76, CV77, CV78, CV79, CV80, CV81, CV82, CV83, CV84, CV85)&amp;CONCATENATE(CV86, CV87, CV88, CV89, CV90, CV91, CV92, CV93, CV94, CV95, CV96, CV97, CV98, CV99, CV100, CV101, CV102, CV103, CV104, CV105, CV106, CV107, CV108, CV109, CV110, CV111, CV112, CV113, CV114, CV115)&amp;CONCATENATE(CV116,CV117,CV118,CV119,CV120,CV121,CV122,CV123,CV124,CV125,CV126,CV127,CV128,CV129,CV130,CV131,CV132,CV133,CV134,CV135,CV136,CV137,CV138,CV139,CV140,CV141,CV142,CV143)&amp;CONCATENATE(CV144,CV145,CV146,CV147,CV148,CV149,CV150,CV151,CV152,CV153,CV154,CV155,CV156)</f>
        <v/>
      </c>
      <c r="CW26" s="51">
        <f>CONCATENATE(CW27,CW28,CW29,CW30,CW31,CW32,CW33,CW34,CW35,CW36,CW37,CW38,CW39,CW40,CW41,CW42,CW43,CW44,CW45,CW46,CW47,CW48,CW49,CW50,CW51,CW52,CW53,CW54,CW55,CW56)&amp;CONCATENATE(CW57,CW58,CW59,CW60,CW61,CW62,CW63,CW64,CW65,CW66,CW67,CW68, CW69, CW70, CW71, CW72, CW73, CW74, CW75, CW76, CW77, CW78, CW79, CW80, CW81, CW82, CW83, CW84, CW85)&amp;CONCATENATE(CW86, CW87, CW88, CW89, CW90, CW91, CW92, CW93, CW94, CW95, CW96, CW97, CW98, CW99, CW100, CW101, CW102, CW103, CW104, CW105, CW106, CW107, CW108, CW109, CW110, CW111, CW112, CW113, CW114, CW115)&amp;CONCATENATE(CW116,CW117,CW118,CW119,CW120,CW121,CW122,CW123,CW124,CW125,CW126,CW127,CW128,CW129,CW130,CW131,CW132,CW133,CW134,CW135,CW136,CW137,CW138,CW139,CW140,CW141,CW142,CW143)&amp;CONCATENATE(CW144,CW145,CW146,CW147,CW148,CW149,CW150,CW151,CW152,CW153,CW154,CW155,CW156)</f>
        <v/>
      </c>
      <c r="CY26" s="51">
        <f>CONCATENATE(CY27,CY28,CY29,CY30,CY31,CY32,CY33,CY34,CY35,CY36,CY37,CY38,CY39,CY40,CY41,CY42,CY43,CY44,CY45,CY46,CY47,CY48,CY49,CY50,CY51,CY52,CY53,CY54,CY55,CY56)&amp;CONCATENATE(CY57,CY58,CY59,CY60,CY61,CY62,CY63,CY64,CY65,CY66,CY67,CY68, CY69, CY70, CY71, CY72, CY73, CY74, CY75, CY76, CY77, CY78, CY79, CY80, CY81, CY82, CY83, CY84, CY85)&amp;CONCATENATE(CY86, CY87, CY88, CY89, CY90, CY91, CY92, CY93, CY94, CY95, CY96, CY97, CY98, CY99, CY100, CY101, CY102, CY103, CY104, CY105, CY106, CY107, CY108, CY109, CY110, CY111, CY112, CY113, CY114, CY115)&amp;CONCATENATE(CY116,CY117,CY118,CY119,CY120,CY121,CY122,CY123,CY124,CY125,CY126,CY127,CY128,CY129,CY130,CY131,CY132,CY133,CY134,CY135,CY136,CY137,CY138,CY139,CY140,CY141,CY142,CY143)&amp;CONCATENATE(CY144,CY145,CY146,CY147,CY148,CY149,CY150,CY151,CY152,CY153,CY154,CY155,CY156)</f>
        <v/>
      </c>
      <c r="CZ26" s="51">
        <f>CONCATENATE(CZ27,CZ28,CZ29,CZ30,CZ31,CZ32,CZ33,CZ34,CZ35,CZ36,CZ37,CZ38,CZ39,CZ40,CZ41,CZ42,CZ43,CZ44,CZ45,CZ46,CZ47,CZ48,CZ49,CZ50,CZ51,CZ52,CZ53,CZ54,CZ55,CZ56)&amp;CONCATENATE(CZ57,CZ58,CZ59,CZ60,CZ61,CZ62,CZ63,CZ64,CZ65,CZ66,CZ67,CZ68, CZ69, CZ70, CZ71, CZ72, CZ73, CZ74, CZ75, CZ76, CZ77, CZ78, CZ79, CZ80, CZ81, CZ82, CZ83, CZ84, CZ85)&amp;CONCATENATE(CZ86, CZ87, CZ88, CZ89, CZ90, CZ91, CZ92, CZ93, CZ94, CZ95, CZ96, CZ97, CZ98, CZ99, CZ100, CZ101, CZ102, CZ103, CZ104, CZ105, CZ106, CZ107, CZ108, CZ109, CZ110, CZ111, CZ112, CZ113, CZ114, CZ115)&amp;CONCATENATE(CZ116,CZ117,CZ118,CZ119,CZ120,CZ121,CZ122,CZ123,CZ124,CZ125,CZ126,CZ127,CZ128,CZ129,CZ130,CZ131,CZ132,CZ133,CZ134,CZ135,CZ136,CZ137,CZ138,CZ139,CZ140,CZ141,CZ142,CZ143)&amp;CONCATENATE(CZ144,CZ145,CZ146,CZ147,CZ148,CZ149,CZ150,CZ151,CZ152,CZ153,CZ154,CZ155,CZ156)</f>
        <v/>
      </c>
      <c r="DA26" s="51">
        <f>CONCATENATE(DA27,DA28,DA29,DA30,DA31,DA32,DA33,DA34,DA35,DA36,DA37,DA38,DA39,DA40,DA41,DA42,DA43,DA44,DA45,DA46,DA47,DA48,DA49,DA50,DA51,DA52,DA53,DA54,DA55,DA56)&amp;CONCATENATE(DA57,DA58,DA59,DA60,DA61,DA62,DA63,DA64,DA65,DA66,DA67,DA68, DA69, DA70, DA71, DA72, DA73, DA74, DA75, DA76, DA77, DA78, DA79, DA80, DA81, DA82, DA83, DA84, DA85)&amp;CONCATENATE(DA86, DA87, DA88, DA89, DA90, DA91, DA92, DA93, DA94, DA95, DA96, DA97, DA98, DA99, DA100, DA101, DA102, DA103, DA104, DA105, DA106, DA107, DA108, DA109, DA110, DA111, DA112, DA113, DA114, DA115)&amp;CONCATENATE(DA116,DA117,DA118,DA119,DA120,DA121,DA122,DA123,DA124,DA125,DA126,DA127,DA128,DA129,DA130,DA131,DA132,DA133,DA134,DA135,DA136,DA137,DA138,DA139,DA140,DA141,DA142,DA143)&amp;CONCATENATE(DA144,DA145,DA146,DA147,DA148,DA149,DA150,DA151,DA152,DA153,DA154,DA155,DA156)</f>
        <v/>
      </c>
      <c r="DB26" s="51">
        <f>CONCATENATE(DB27,DB28,DB29,DB30,DB31,DB32,DB33,DB34,DB35,DB36,DB37,DB38,DB39,DB40,DB41,DB42,DB43,DB44,DB45,DB46,DB47,DB48,DB49,DB50,DB51,DB52,DB53,DB54,DB55,DB56)&amp;CONCATENATE(DB57,DB58,DB59,DB60,DB61,DB62,DB63,DB64,DB65,DB66,DB67,DB68, DB69, DB70, DB71, DB72, DB73, DB74, DB75, DB76, DB77, DB78, DB79, DB80, DB81, DB82, DB83, DB84, DB85)&amp;CONCATENATE(DB86, DB87, DB88, DB89, DB90, DB91, DB92, DB93, DB94, DB95, DB96, DB97, DB98, DB99, DB100, DB101, DB102, DB103, DB104, DB105, DB106, DB107, DB108, DB109, DB110, DB111, DB112, DB113, DB114, DB115)&amp;CONCATENATE(DB116,DB117,DB118,DB119,DB120,DB121,DB122,DB123,DB124,DB125,DB126,DB127,DB128,DB129,DB130,DB131,DB132,DB133,DB134,DB135,DB136,DB137,DB138,DB139,DB140,DB141,DB142,DB143)&amp;CONCATENATE(DB144,DB145,DB146,DB147,DB148,DB149,DB150,DB151,DB152,DB153,DB154,DB155,DB156)</f>
        <v/>
      </c>
      <c r="DC26" s="51">
        <f>CONCATENATE(DC27,DC28,DC29,DC30,DC31,DC32,DC33,DC34,DC35,DC36,DC37,DC38,DC39,DC40,DC41,DC42,DC43,DC44,DC45,DC46,DC47,DC48,DC49,DC50,DC51,DC52,DC53,DC54,DC55,DC56)&amp;CONCATENATE(DC57,DC58,DC59,DC60,DC61,DC62,DC63,DC64,DC65,DC66,DC67,DC68, DC69, DC70, DC71, DC72, DC73, DC74, DC75, DC76, DC77, DC78, DC79, DC80, DC81, DC82, DC83, DC84, DC85)&amp;CONCATENATE(DC86, DC87, DC88, DC89, DC90, DC91, DC92, DC93, DC94, DC95, DC96, DC97, DC98, DC99, DC100, DC101, DC102, DC103, DC104, DC105, DC106, DC107, DC108, DC109, DC110, DC111, DC112, DC113, DC114, DC115)&amp;CONCATENATE(DC116,DC117,DC118,DC119,DC120,DC121,DC122,DC123,DC124,DC125,DC126,DC127,DC128,DC129,DC130,DC131,DC132,DC133,DC134,DC135,DC136,DC137,DC138,DC139,DC140,DC141,DC142,DC143)&amp;CONCATENATE(DC144,DC145,DC146,DC147,DC148,DC149,DC150,DC151,DC152,DC153,DC154,DC155,DC156)</f>
        <v/>
      </c>
      <c r="DD26" s="51">
        <f>CONCATENATE(DD27,DD28,DD29,DD30,DD31,DD32,DD33,DD34,DD35,DD36,DD37,DD38,DD39,DD40,DD41,DD42,DD43,DD44,DD45,DD46,DD47,DD48,DD49,DD50,DD51,DD52,DD53,DD54,DD55,DD56)&amp;CONCATENATE(DD57,DD58,DD59,DD60,DD61,DD62,DD63,DD64,DD65,DD66,DD67,DD68, DD69, DD70, DD71, DD72, DD73, DD74, DD75, DD76, DD77, DD78, DD79, DD80, DD81, DD82, DD83, DD84, DD85)&amp;CONCATENATE(DD86, DD87, DD88, DD89, DD90, DD91, DD92, DD93, DD94, DD95, DD96, DD97, DD98, DD99, DD100, DD101, DD102, DD103, DD104, DD105, DD106, DD107, DD108, DD109, DD110, DD111, DD112, DD113, DD114, DD115)&amp;CONCATENATE(DD116,DD117,DD118,DD119,DD120,DD121,DD122,DD123,DD124,DD125,DD126,DD127,DD128,DD129,DD130,DD131,DD132,DD133,DD134,DD135,DD136,DD137,DD138,DD139,DD140,DD141,DD142,DD143)&amp;CONCATENATE(DD144,DD145,DD146,DD147,DD148,DD149,DD150,DD151,DD152,DD153,DD154,DD155,DD156)</f>
        <v/>
      </c>
      <c r="DE26" s="51">
        <f>CONCATENATE(DE27,DE28,DE29,DE30,DE31,DE32,DE33,DE34,DE35,DE36,DE37,DE38,DE39,DE40,DE41,DE42,DE43,DE44,DE45,DE46,DE47,DE48,DE49,DE50,DE51,DE52,DE53,DE54,DE55,DE56)&amp;CONCATENATE(DE57,DE58,DE59,DE60,DE61,DE62,DE63,DE64,DE65,DE66,DE67,DE68, DE69, DE70, DE71, DE72, DE73, DE74, DE75, DE76, DE77, DE78, DE79, DE80, DE81, DE82, DE83, DE84, DE85)&amp;CONCATENATE(DE86, DE87, DE88, DE89, DE90, DE91, DE92, DE93, DE94, DE95, DE96, DE97, DE98, DE99, DE100, DE101, DE102, DE103, DE104, DE105, DE106, DE107, DE108, DE109, DE110, DE111, DE112, DE113, DE114, DE115)&amp;CONCATENATE(DE116,DE117,DE118,DE119,DE120,DE121,DE122,DE123,DE124,DE125,DE126,DE127,DE128,DE129,DE130,DE131,DE132,DE133,DE134,DE135,DE136,DE137,DE138,DE139,DE140,DE141,DE142,DE143)&amp;CONCATENATE(DE144,DE145,DE146,DE147,DE148,DE149,DE150,DE151,DE152,DE153,DE154,DE155,DE156)</f>
        <v/>
      </c>
      <c r="DF26" s="51">
        <f>CONCATENATE(DF27,DF28,DF29,DF30,DF31,DF32,DF33,DF34,DF35,DF36,DF37,DF38,DF39,DF40,DF41,DF42,DF43,DF44,DF45,DF46,DF47,DF48,DF49,DF50,DF51,DF52,DF53,DF54,DF55,DF56)&amp;CONCATENATE(DF57,DF58,DF59,DF60,DF61,DF62,DF63,DF64,DF65,DF66,DF67,DF68, DF69, DF70, DF71, DF72, DF73, DF74, DF75, DF76, DF77, DF78, DF79, DF80, DF81, DF82, DF83, DF84, DF85)&amp;CONCATENATE(DF86, DF87, DF88, DF89, DF90, DF91, DF92, DF93, DF94, DF95, DF96, DF97, DF98, DF99, DF100, DF101, DF102, DF103, DF104, DF105, DF106, DF107, DF108, DF109, DF110, DF111, DF112, DF113, DF114, DF115)&amp;CONCATENATE(DF116,DF117,DF118,DF119,DF120,DF121,DF122,DF123,DF124,DF125,DF126,DF127,DF128,DF129,DF130,DF131,DF132,DF133,DF134,DF135,DF136,DF137,DF138,DF139,DF140,DF141,DF142,DF143)&amp;CONCATENATE(DF144,DF145,DF146,DF147,DF148,DF149,DF150,DF151,DF152,DF153,DF154,DF155,DF156)</f>
        <v/>
      </c>
      <c r="DG26" s="51">
        <f>CONCATENATE(DG27,DG28,DG29,DG30,DG31,DG32,DG33,DG34,DG35,DG36,DG37,DG38,DG39,DG40,DG41,DG42,DG43,DG44,DG45,DG46,DG47,DG48,DG49,DG50,DG51,DG52,DG53,DG54,DG55,DG56)&amp;CONCATENATE(DG57,DG58,DG59,DG60,DG61,DG62,DG63,DG64,DG65,DG66,DG67,DG68, DG69, DG70, DG71, DG72, DG73, DG74, DG75, DG76, DG77, DG78, DG79, DG80, DG81, DG82, DG83, DG84, DG85)&amp;CONCATENATE(DG86, DG87, DG88, DG89, DG90, DG91, DG92, DG93, DG94, DG95, DG96, DG97, DG98, DG99, DG100, DG101, DG102, DG103, DG104, DG105, DG106, DG107, DG108, DG109, DG110, DG111, DG112, DG113, DG114, DG115)&amp;CONCATENATE(DG116,DG117,DG118,DG119,DG120,DG121,DG122,DG123,DG124,DG125,DG126,DG127,DG128,DG129,DG130,DG131,DG132,DG133,DG134,DG135,DG136,DG137,DG138,DG139,DG140,DG141,DG142,DG143)&amp;CONCATENATE(DG144,DG145,DG146,DG147,DG148,DG149,DG150,DG151,DG152,DG153,DG154,DG155,DG156)</f>
        <v/>
      </c>
      <c r="DH26" s="51">
        <f>CONCATENATE(DH27,DH28,DH29,DH30,DH31,DH32,DH33,DH34,DH35,DH36,DH37,DH38,DH39,DH40,DH41,DH42,DH43,DH44,DH45,DH46,DH47,DH48,DH49,DH50,DH51,DH52,DH53,DH54,DH55,DH56)&amp;CONCATENATE(DH57,DH58,DH59,DH60,DH61,DH62,DH63,DH64,DH65,DH66,DH67,DH68, DH69, DH70, DH71, DH72, DH73, DH74, DH75, DH76, DH77, DH78, DH79, DH80, DH81, DH82, DH83, DH84, DH85)&amp;CONCATENATE(DH86, DH87, DH88, DH89, DH90, DH91, DH92, DH93, DH94, DH95, DH96, DH97, DH98, DH99, DH100, DH101, DH102, DH103, DH104, DH105, DH106, DH107, DH108, DH109, DH110, DH111, DH112, DH113, DH114, DH115)&amp;CONCATENATE(DH116,DH117,DH118,DH119,DH120,DH121,DH122,DH123,DH124,DH125,DH126,DH127,DH128,DH129,DH130,DH131,DH132,DH133,DH134,DH135,DH136,DH137,DH138,DH139,DH140,DH141,DH142,DH143)&amp;CONCATENATE(DH144,DH145,DH146,DH147,DH148,DH149,DH150,DH151,DH152,DH153,DH154,DH155,DH156)</f>
        <v/>
      </c>
      <c r="DI26" s="51">
        <f>CONCATENATE(DI27,DI28,DI29,DI30,DI31,DI32,DI33,DI34,DI35,DI36,DI37,DI38,DI39,DI40,DI41,DI42,DI43,DI44,DI45,DI46,DI47,DI48,DI49,DI50,DI51,DI52,DI53,DI54,DI55,DI56)&amp;CONCATENATE(DI57,DI58,DI59,DI60,DI61,DI62,DI63,DI64,DI65,DI66,DI67,DI68, DI69, DI70, DI71, DI72, DI73, DI74, DI75, DI76, DI77, DI78, DI79, DI80, DI81, DI82, DI83, DI84, DI85)&amp;CONCATENATE(DI86, DI87, DI88, DI89, DI90, DI91, DI92, DI93, DI94, DI95, DI96, DI97, DI98, DI99, DI100, DI101, DI102, DI103, DI104, DI105, DI106, DI107, DI108, DI109, DI110, DI111, DI112, DI113, DI114, DI115)&amp;CONCATENATE(DI116,DI117,DI118,DI119,DI120,DI121,DI122,DI123,DI124,DI125,DI126,DI127,DI128,DI129,DI130,DI131,DI132,DI133,DI134,DI135,DI136,DI137,DI138,DI139,DI140,DI141,DI142,DI143)&amp;CONCATENATE(DI144,DI145,DI146,DI147,DI148,DI149,DI150,DI151,DI152,DI153,DI154,DI155,DI156)</f>
        <v/>
      </c>
      <c r="DJ26" s="51">
        <f>CONCATENATE(DJ27,DJ28,DJ29,DJ30,DJ31,DJ32,DJ33,DJ34,DJ35,DJ36,DJ37,DJ38,DJ39,DJ40,DJ41,DJ42,DJ43,DJ44,DJ45,DJ46,DJ47,DJ48,DJ49,DJ50,DJ51,DJ52,DJ53,DJ54,DJ55,DJ56)&amp;CONCATENATE(DJ57,DJ58,DJ59,DJ60,DJ61,DJ62,DJ63,DJ64,DJ65,DJ66,DJ67,DJ68, DJ69, DJ70, DJ71, DJ72, DJ73, DJ74, DJ75, DJ76, DJ77, DJ78, DJ79, DJ80, DJ81, DJ82, DJ83, DJ84, DJ85)&amp;CONCATENATE(DJ86, DJ87, DJ88, DJ89, DJ90, DJ91, DJ92, DJ93, DJ94, DJ95, DJ96, DJ97, DJ98, DJ99, DJ100, DJ101, DJ102, DJ103, DJ104, DJ105, DJ106, DJ107, DJ108, DJ109, DJ110, DJ111, DJ112, DJ113, DJ114, DJ115)&amp;CONCATENATE(DJ116,DJ117,DJ118,DJ119,DJ120,DJ121,DJ122,DJ123,DJ124,DJ125,DJ126,DJ127,DJ128,DJ129,DJ130,DJ131,DJ132,DJ133,DJ134,DJ135,DJ136,DJ137,DJ138,DJ139,DJ140,DJ141,DJ142,DJ143)&amp;CONCATENATE(DJ144,DJ145,DJ146,DJ147,DJ148,DJ149,DJ150,DJ151,DJ152,DJ153,DJ154,DJ155,DJ156)</f>
        <v/>
      </c>
      <c r="DK26" s="51">
        <f>CONCATENATE(DK27,DK28,DK29,DK30,DK31,DK32,DK33,DK34,DK35,DK36,DK37,DK38,DK39,DK40,DK41,DK42,DK43,DK44,DK45,DK46,DK47,DK48,DK49,DK50,DK51,DK52,DK53,DK54,DK55,DK56)&amp;CONCATENATE(DK57,DK58,DK59,DK60,DK61,DK62,DK63,DK64,DK65,DK66,DK67,DK68, DK69, DK70, DK71, DK72, DK73, DK74, DK75, DK76, DK77, DK78, DK79, DK80, DK81, DK82, DK83, DK84, DK85)&amp;CONCATENATE(DK86, DK87, DK88, DK89, DK90, DK91, DK92, DK93, DK94, DK95, DK96, DK97, DK98, DK99, DK100, DK101, DK102, DK103, DK104, DK105, DK106, DK107, DK108, DK109, DK110, DK111, DK112, DK113, DK114, DK115)&amp;CONCATENATE(DK116,DK117,DK118,DK119,DK120,DK121,DK122,DK123,DK124,DK125,DK126,DK127,DK128,DK129,DK130,DK131,DK132,DK133,DK134,DK135,DK136,DK137,DK138,DK139,DK140,DK141,DK142,DK143)&amp;CONCATENATE(DK144,DK145,DK146,DK147,DK148,DK149,DK150,DK151,DK152,DK153,DK154,DK155,DK156)</f>
        <v/>
      </c>
      <c r="DL26" s="51">
        <f>CONCATENATE(DL27,DL28,DL29,DL30,DL31,DL32,DL33,DL34,DL35,DL36,DL37,DL38,DL39,DL40,DL41,DL42,DL43,DL44,DL45,DL46,DL47,DL48,DL49,DL50,DL51,DL52,DL53,DL54,DL55,DL56)&amp;CONCATENATE(DL57,DL58,DL59,DL60,DL61,DL62,DL63,DL64,DL65,DL66,DL67,DL68, DL69, DL70, DL71, DL72, DL73, DL74, DL75, DL76, DL77, DL78, DL79, DL80, DL81, DL82, DL83, DL84, DL85)&amp;CONCATENATE(DL86, DL87, DL88, DL89, DL90, DL91, DL92, DL93, DL94, DL95, DL96, DL97, DL98, DL99, DL100, DL101, DL102, DL103, DL104, DL105, DL106, DL107, DL108, DL109, DL110, DL111, DL112, DL113, DL114, DL115)&amp;CONCATENATE(DL116,DL117,DL118,DL119,DL120,DL121,DL122,DL123,DL124,DL125,DL126,DL127,DL128,DL129,DL130,DL131,DL132,DL133,DL134,DL135,DL136,DL137,DL138,DL139,DL140,DL141,DL142,DL143)&amp;CONCATENATE(DL144,DL145,DL146,DL147,DL148,DL149,DL150,DL151,DL152,DL153,DL154,DL155,DL156)</f>
        <v/>
      </c>
      <c r="DM26" s="51">
        <f>CONCATENATE(DM27,DM28,DM29,DM30,DM31,DM32,DM33,DM34,DM35,DM36,DM37,DM38,DM39,DM40,DM41,DM42,DM43,DM44,DM45,DM46,DM47,DM48,DM49,DM50,DM51,DM52,DM53,DM54,DM55,DM56)&amp;CONCATENATE(DM57,DM58,DM59,DM60,DM61,DM62,DM63,DM64,DM65,DM66,DM67,DM68, DM69, DM70, DM71, DM72, DM73, DM74, DM75, DM76, DM77, DM78, DM79, DM80, DM81, DM82, DM83, DM84, DM85)&amp;CONCATENATE(DM86, DM87, DM88, DM89, DM90, DM91, DM92, DM93, DM94, DM95, DM96, DM97, DM98, DM99, DM100, DM101, DM102, DM103, DM104, DM105, DM106, DM107, DM108, DM109, DM110, DM111, DM112, DM113, DM114, DM115)&amp;CONCATENATE(DM116,DM117,DM118,DM119,DM120,DM121,DM122,DM123,DM124,DM125,DM126,DM127,DM128,DM129,DM130,DM131,DM132,DM133,DM134,DM135,DM136,DM137,DM138,DM139,DM140,DM141,DM142,DM143)&amp;CONCATENATE(DM144,DM145,DM146,DM147,DM148,DM149,DM150,DM151,DM152,DM153,DM154,DM155,DM156)</f>
        <v/>
      </c>
      <c r="DN26" s="51">
        <f>CONCATENATE(DN27,DN28,DN29,DN30,DN31,DN32,DN33,DN34,DN35,DN36,DN37,DN38,DN39,DN40,DN41,DN42,DN43,DN44,DN45,DN46,DN47,DN48,DN49,DN50,DN51,DN52,DN53,DN54,DN55,DN56)&amp;CONCATENATE(DN57,DN58,DN59,DN60,DN61,DN62,DN63,DN64,DN65,DN66,DN67,DN68, DN69, DN70, DN71, DN72, DN73, DN74, DN75, DN76, DN77, DN78, DN79, DN80, DN81, DN82, DN83, DN84, DN85)&amp;CONCATENATE(DN86, DN87, DN88, DN89, DN90, DN91, DN92, DN93, DN94, DN95, DN96, DN97, DN98, DN99, DN100, DN101, DN102, DN103, DN104, DN105, DN106, DN107, DN108, DN109, DN110, DN111, DN112, DN113, DN114, DN115)&amp;CONCATENATE(DN116,DN117,DN118,DN119,DN120,DN121,DN122,DN123,DN124,DN125,DN126,DN127,DN128,DN129,DN130,DN131,DN132,DN133,DN134,DN135,DN136,DN137,DN138,DN139,DN140,DN141,DN142,DN143)&amp;CONCATENATE(DN144,DN145,DN146,DN147,DN148,DN149,DN150,DN151,DN152,DN153,DN154,DN155,DN156)</f>
        <v/>
      </c>
      <c r="DO26" s="51">
        <f>CONCATENATE(DO27,DO28,DO29,DO30,DO31,DO32,DO33,DO34,DO35,DO36,DO37,DO38,DO39,DO40,DO41,DO42,DO43,DO44,DO45,DO46,DO47,DO48,DO49,DO50,DO51,DO52,DO53,DO54,DO55,DO56)&amp;CONCATENATE(DO57,DO58,DO59,DO60,DO61,DO62,DO63,DO64,DO65,DO66,DO67,DO68, DO69, DO70, DO71, DO72, DO73, DO74, DO75, DO76, DO77, DO78, DO79, DO80, DO81, DO82, DO83, DO84, DO85)&amp;CONCATENATE(DO86, DO87, DO88, DO89, DO90, DO91, DO92, DO93, DO94, DO95, DO96, DO97, DO98, DO99, DO100, DO101, DO102, DO103, DO104, DO105, DO106, DO107, DO108, DO109, DO110, DO111, DO112, DO113, DO114, DO115)&amp;CONCATENATE(DO116,DO117,DO118,DO119,DO120,DO121,DO122,DO123,DO124,DO125,DO126,DO127,DO128,DO129,DO130,DO131,DO132,DO133,DO134,DO135,DO136,DO137,DO138,DO139,DO140,DO141,DO142,DO143)&amp;CONCATENATE(DO144,DO145,DO146,DO147,DO148,DO149,DO150,DO151,DO152,DO153,DO154,DO155,DO156)</f>
        <v/>
      </c>
      <c r="DP26" s="51">
        <f>CONCATENATE(DP27,DP28,DP29,DP30,DP31,DP32,DP33,DP34,DP35,DP36,DP37,DP38,DP39,DP40,DP41,DP42,DP43,DP44,DP45,DP46,DP47,DP48,DP49,DP50,DP51,DP52,DP53,DP54,DP55,DP56)&amp;CONCATENATE(DP57,DP58,DP59,DP60,DP61,DP62,DP63,DP64,DP65,DP66,DP67,DP68, DP69, DP70, DP71, DP72, DP73, DP74, DP75, DP76, DP77, DP78, DP79, DP80, DP81, DP82, DP83, DP84, DP85)&amp;CONCATENATE(DP86, DP87, DP88, DP89, DP90, DP91, DP92, DP93, DP94, DP95, DP96, DP97, DP98, DP99, DP100, DP101, DP102, DP103, DP104, DP105, DP106, DP107, DP108, DP109, DP110, DP111, DP112, DP113, DP114, DP115)&amp;CONCATENATE(DP116,DP117,DP118,DP119,DP120,DP121,DP122,DP123,DP124,DP125,DP126,DP127,DP128,DP129,DP130,DP131,DP132,DP133,DP134,DP135,DP136,DP137,DP138,DP139,DP140,DP141,DP142,DP143)&amp;CONCATENATE(DP144,DP145,DP146,DP147,DP148,DP149,DP150,DP151,DP152,DP153,DP154,DP155,DP156)</f>
        <v/>
      </c>
      <c r="DQ26" s="51">
        <f>CONCATENATE(DQ27,DQ28,DQ29,DQ30,DQ31,DQ32,DQ33,DQ34,DQ35,DQ36,DQ37,DQ38,DQ39,DQ40,DQ41,DQ42,DQ43,DQ44,DQ45,DQ46,DQ47,DQ48,DQ49,DQ50,DQ51,DQ52,DQ53,DQ54,DQ55,DQ56)&amp;CONCATENATE(DQ57,DQ58,DQ59,DQ60,DQ61,DQ62,DQ63,DQ64,DQ65,DQ66,DQ67,DQ68, DQ69, DQ70, DQ71, DQ72, DQ73, DQ74, DQ75, DQ76, DQ77, DQ78, DQ79, DQ80, DQ81, DQ82, DQ83, DQ84, DQ85)&amp;CONCATENATE(DQ86, DQ87, DQ88, DQ89, DQ90, DQ91, DQ92, DQ93, DQ94, DQ95, DQ96, DQ97, DQ98, DQ99, DQ100, DQ101, DQ102, DQ103, DQ104, DQ105, DQ106, DQ107, DQ108, DQ109, DQ110, DQ111, DQ112, DQ113, DQ114, DQ115)&amp;CONCATENATE(DQ116,DQ117,DQ118,DQ119,DQ120,DQ121,DQ122,DQ123,DQ124,DQ125,DQ126,DQ127,DQ128,DQ129,DQ130,DQ131,DQ132,DQ133,DQ134,DQ135,DQ136,DQ137,DQ138,DQ139,DQ140,DQ141,DQ142,DQ143)&amp;CONCATENATE(DQ144,DQ145,DQ146,DQ147,DQ148,DQ149,DQ150,DQ151,DQ152,DQ153,DQ154,DQ155,DQ156)</f>
        <v/>
      </c>
      <c r="DR26" s="51">
        <f>CONCATENATE(DR27,DR28,DR29,DR30,DR31,DR32,DR33,DR34,DR35,DR36,DR37,DR38,DR39,DR40,DR41,DR42,DR43,DR44,DR45,DR46,DR47,DR48,DR49,DR50,DR51,DR52,DR53,DR54,DR55,DR56)&amp;CONCATENATE(DR57,DR58,DR59,DR60,DR61,DR62,DR63,DR64,DR65,DR66,DR67,DR68, DR69, DR70, DR71, DR72, DR73, DR74, DR75, DR76, DR77, DR78, DR79, DR80, DR81, DR82, DR83, DR84, DR85)&amp;CONCATENATE(DR86, DR87, DR88, DR89, DR90, DR91, DR92, DR93, DR94, DR95, DR96, DR97, DR98, DR99, DR100, DR101, DR102, DR103, DR104, DR105, DR106, DR107, DR108, DR109, DR110, DR111, DR112, DR113, DR114, DR115)&amp;CONCATENATE(DR116,DR117,DR118,DR119,DR120,DR121,DR122,DR123,DR124,DR125,DR126,DR127,DR128,DR129,DR130,DR131,DR132,DR133,DR134,DR135,DR136,DR137,DR138,DR139,DR140,DR141,DR142,DR143)&amp;CONCATENATE(DR144,DR145,DR146,DR147,DR148,DR149,DR150,DR151,DR152,DR153,DR154,DR155,DR156)</f>
        <v/>
      </c>
      <c r="DS26" s="51">
        <f>CONCATENATE(DS27,DS28,DS29,DS30,DS31,DS32,DS33,DS34,DS35,DS36,DS37,DS38,DS39,DS40,DS41,DS42,DS43,DS44,DS45,DS46,DS47,DS48,DS49,DS50,DS51,DS52,DS53,DS54,DS55,DS56)&amp;CONCATENATE(DS57,DS58,DS59,DS60,DS61,DS62,DS63,DS64,DS65,DS66,DS67,DS68, DS69, DS70, DS71, DS72, DS73, DS74, DS75, DS76, DS77, DS78, DS79, DS80, DS81, DS82, DS83, DS84, DS85)&amp;CONCATENATE(DS86, DS87, DS88, DS89, DS90, DS91, DS92, DS93, DS94, DS95, DS96, DS97, DS98, DS99, DS100, DS101, DS102, DS103, DS104, DS105, DS106, DS107, DS108, DS109, DS110, DS111, DS112, DS113, DS114, DS115)&amp;CONCATENATE(DS116,DS117,DS118,DS119,DS120,DS121,DS122,DS123,DS124,DS125,DS126,DS127,DS128,DS129,DS130,DS131,DS132,DS133,DS134,DS135,DS136,DS137,DS138,DS139,DS140,DS141,DS142,DS143)&amp;CONCATENATE(DS144,DS145,DS146,DS147,DS148,DS149,DS150,DS151,DS152,DS153,DS154,DS155,DS156)</f>
        <v/>
      </c>
      <c r="DT26" s="51">
        <f>CONCATENATE(DT27,DT28,DT29,DT30,DT31,DT32,DT33,DT34,DT35,DT36,DT37,DT38,DT39,DT40,DT41,DT42,DT43,DT44,DT45,DT46,DT47,DT48,DT49,DT50,DT51,DT52,DT53,DT54,DT55,DT56)&amp;CONCATENATE(DT57,DT58,DT59,DT60,DT61,DT62,DT63,DT64,DT65,DT66,DT67,DT68, DT69, DT70, DT71, DT72, DT73, DT74, DT75, DT76, DT77, DT78, DT79, DT80, DT81, DT82, DT83, DT84, DT85)&amp;CONCATENATE(DT86, DT87, DT88, DT89, DT90, DT91, DT92, DT93, DT94, DT95, DT96, DT97, DT98, DT99, DT100, DT101, DT102, DT103, DT104, DT105, DT106, DT107, DT108, DT109, DT110, DT111, DT112, DT113, DT114, DT115)&amp;CONCATENATE(DT116,DT117,DT118,DT119,DT120,DT121,DT122,DT123,DT124,DT125,DT126,DT127,DT128,DT129,DT130,DT131,DT132,DT133,DT134,DT135,DT136,DT137,DT138,DT139,DT140,DT141,DT142,DT143)&amp;CONCATENATE(DT144,DT145,DT146,DT147,DT148,DT149,DT150,DT151,DT152,DT153,DT154,DT155,DT156)</f>
        <v/>
      </c>
      <c r="DU26" s="51">
        <f>CONCATENATE(DU27,DU28,DU29,DU30,DU31,DU32,DU33,DU34,DU35,DU36,DU37,DU38,DU39,DU40,DU41,DU42,DU43,DU44,DU45,DU46,DU47,DU48,DU49,DU50,DU51,DU52,DU53,DU54,DU55,DU56)&amp;CONCATENATE(DU57,DU58,DU59,DU60,DU61,DU62,DU63,DU64,DU65,DU66,DU67,DU68, DU69, DU70, DU71, DU72, DU73, DU74, DU75, DU76, DU77, DU78, DU79, DU80, DU81, DU82, DU83, DU84, DU85)&amp;CONCATENATE(DU86, DU87, DU88, DU89, DU90, DU91, DU92, DU93, DU94, DU95, DU96, DU97, DU98, DU99, DU100, DU101, DU102, DU103, DU104, DU105, DU106, DU107, DU108, DU109, DU110, DU111, DU112, DU113, DU114, DU115)&amp;CONCATENATE(DU116,DU117,DU118,DU119,DU120,DU121,DU122,DU123,DU124,DU125,DU126,DU127,DU128,DU129,DU130,DU131,DU132,DU133,DU134,DU135,DU136,DU137,DU138,DU139,DU140,DU141,DU142,DU143)&amp;CONCATENATE(DU144,DU145,DU146,DU147,DU148,DU149,DU150,DU151,DU152,DU153,DU154,DU155,DU156)</f>
        <v/>
      </c>
      <c r="DV26" s="51">
        <f>CONCATENATE(DV27,DV28,DV29,DV30,DV31,DV32,DV33,DV34,DV35,DV36,DV37,DV38,DV39,DV40,DV41,DV42,DV43,DV44,DV45,DV46,DV47,DV48,DV49,DV50,DV51,DV52,DV53,DV54,DV55,DV56)&amp;CONCATENATE(DV57,DV58,DV59,DV60,DV61,DV62,DV63,DV64,DV65,DV66,DV67,DV68, DV69, DV70, DV71, DV72, DV73, DV74, DV75, DV76, DV77, DV78, DV79, DV80, DV81, DV82, DV83, DV84, DV85)&amp;CONCATENATE(DV86, DV87, DV88, DV89, DV90, DV91, DV92, DV93, DV94, DV95, DV96, DV97, DV98, DV99, DV100, DV101, DV102, DV103, DV104, DV105, DV106, DV107, DV108, DV109, DV110, DV111, DV112, DV113, DV114, DV115)&amp;CONCATENATE(DV116,DV117,DV118,DV119,DV120,DV121,DV122,DV123,DV124,DV125,DV126,DV127,DV128,DV129,DV130,DV131,DV132,DV133,DV134,DV135,DV136,DV137,DV138,DV139,DV140,DV141,DV142,DV143)&amp;CONCATENATE(DV144,DV145,DV146,DV147,DV148,DV149,DV150,DV151,DV152,DV153,DV154,DV155,DV156)</f>
        <v/>
      </c>
      <c r="DW26" s="51">
        <f>CONCATENATE(DW27,DW28,DW29,DW30,DW31,DW32,DW33,DW34,DW35,DW36,DW37,DW38,DW39,DW40,DW41,DW42,DW43,DW44,DW45,DW46,DW47,DW48,DW49,DW50,DW51,DW52,DW53,DW54,DW55,DW56)&amp;CONCATENATE(DW57,DW58,DW59,DW60,DW61,DW62,DW63,DW64,DW65,DW66,DW67,DW68, DW69, DW70, DW71, DW72, DW73, DW74, DW75, DW76, DW77, DW78, DW79, DW80, DW81, DW82, DW83, DW84, DW85)&amp;CONCATENATE(DW86, DW87, DW88, DW89, DW90, DW91, DW92, DW93, DW94, DW95, DW96, DW97, DW98, DW99, DW100, DW101, DW102, DW103, DW104, DW105, DW106, DW107, DW108, DW109, DW110, DW111, DW112, DW113, DW114, DW115)&amp;CONCATENATE(DW116,DW117,DW118,DW119,DW120,DW121,DW122,DW123,DW124,DW125,DW126,DW127,DW128,DW129,DW130,DW131,DW132,DW133,DW134,DW135,DW136,DW137,DW138,DW139,DW140,DW141,DW142,DW143)&amp;CONCATENATE(DW144,DW145,DW146,DW147,DW148,DW149,DW150,DW151,DW152,DW153,DW154,DW155,DW156)</f>
        <v/>
      </c>
    </row>
    <row r="27" ht="12.75" customHeight="1">
      <c r="B27" s="52" t="n"/>
      <c r="D27" s="143">
        <f>INDIRECT(ADDRESS(ROW()-22,COLUMN()-2,1,1,"Risk Register"))</f>
        <v/>
      </c>
      <c r="E27" s="143">
        <f>INDIRECT(ADDRESS(ROW()-22,COLUMN()-1,1,1,"Risk Register"))</f>
        <v/>
      </c>
      <c r="G27" s="56">
        <f>INDIRECT(ADDRESS(ROW()-22,COLUMN()+10,1,1,"Risk Register"))</f>
        <v/>
      </c>
      <c r="H27" s="60">
        <f>INDIRECT(ADDRESS(ROW()-22,COLUMN()+8,1,1,"Risk Register"))</f>
        <v/>
      </c>
      <c r="I27" s="54">
        <f>INDIRECT(ADDRESS(ROW()-22,COLUMN()+3,1,1,"Risk Register"))</f>
        <v/>
      </c>
      <c r="J27" s="143">
        <f>INDIRECT(ADDRESS(ROW()-22,COLUMN()+12,1,1,"Risk Register"))</f>
        <v/>
      </c>
      <c r="K27" s="143">
        <f>INDIRECT(ADDRESS(ROW()-22,COLUMN()-2,1,1,"Risk Register"))</f>
        <v/>
      </c>
      <c r="L27" s="176">
        <f>INDIRECT(ADDRESS(ROW()-22,COLUMN()+15,1,1,"Risk Register"))</f>
        <v/>
      </c>
      <c r="M27" s="54">
        <f>INDIRECT(ADDRESS(ROW()-22,COLUMN()+13,1,1,"Risk Register"))</f>
        <v/>
      </c>
      <c r="N27" s="143">
        <f>INDIRECT(ADDRESS(ROW()-22,COLUMN()-9,1,1,"Risk Register"))</f>
        <v/>
      </c>
      <c r="O27" s="143">
        <f>INDIRECT(ADDRESS(ROW()-22,COLUMN()-8,1,1,"Risk Register"))</f>
        <v/>
      </c>
      <c r="P27" s="56">
        <f>INDIRECT(ADDRESS(ROW()-22,COLUMN()+18,1,1,"Risk Register"))</f>
        <v/>
      </c>
      <c r="R27" s="57">
        <f>INDIRECT(ADDRESS(ROW()-22,COLUMN()-5,1,1,"Risk Register"))</f>
        <v/>
      </c>
      <c r="S27" s="58">
        <f>INDIRECT(ADDRESS(ROW()-22,COLUMN()-4,1,1,"Risk Register"))</f>
        <v/>
      </c>
      <c r="T27" s="59">
        <f>IF(AND($H27="threat",$G27&lt;=0.05),"gn",IF(AND($H27="threat",$G27&lt;=0.14),"y",IF(AND($H27="threat", $G27&gt;=0.15),"r",IF(AND($H27="opportunity",$G27&lt;=0.05),"gn",IF(AND($H27="opportunity",$G27&lt;=0.14),"lb",IF(AND($H27="opportunity",$G27&gt;=0.15),"db","z"))))))</f>
        <v/>
      </c>
      <c r="U27" s="58">
        <f>IF(AND($H27="threat",$S27=0.9,$R27=0.05),$D27 &amp; ";","")</f>
        <v/>
      </c>
      <c r="V27" s="58">
        <f>IF(AND($H27="threat",$S27=0.9,$R27=0.1),$D27 &amp; ";","")</f>
        <v/>
      </c>
      <c r="W27" s="58">
        <f>IF(AND($H27="threat",$S27=0.9,$R27=0.2),$D27 &amp; ";","")</f>
        <v/>
      </c>
      <c r="X27" s="58">
        <f>IF(AND($H27="threat",$S27=0.9,$R27=0.4),$D27 &amp; ";","")</f>
        <v/>
      </c>
      <c r="Y27" s="58">
        <f>IF(AND($H27="threat",$S27=0.9,$R27=0.8),$D27 &amp; ";","")</f>
        <v/>
      </c>
      <c r="Z27" s="58">
        <f>IF(AND($H27="threat",$S27=0.7,$R27=0.05),$D27 &amp; ";","")</f>
        <v/>
      </c>
      <c r="AA27" s="58">
        <f>IF(AND($H27="threat",$S27=0.7,$R27=0.1),$D27 &amp; ";","")</f>
        <v/>
      </c>
      <c r="AB27" s="58">
        <f>IF(AND($H27="threat",$S27=0.7,$R27=0.2),$D27 &amp; ";","")</f>
        <v/>
      </c>
      <c r="AC27" s="58">
        <f>IF(AND($H27="threat",$S27=0.7,$R27=0.4),$D27 &amp; ";","")</f>
        <v/>
      </c>
      <c r="AD27" s="58">
        <f>IF(AND($H27="threat",$S27=0.7,$R27=0.8),$D27 &amp; ";","")</f>
        <v/>
      </c>
      <c r="AE27" s="58">
        <f>IF(AND($H27="threat",$S27=0.5,$R27=0.05),$D27 &amp; ";","")</f>
        <v/>
      </c>
      <c r="AF27" s="58">
        <f>IF(AND($H27="threat",$S27=0.5,$R27=0.1),$D27 &amp; ";","")</f>
        <v/>
      </c>
      <c r="AG27" s="58">
        <f>IF(AND($H27="threat",$S27=0.5,$R27=0.2),$D27 &amp; ";","")</f>
        <v/>
      </c>
      <c r="AH27" s="58">
        <f>IF(AND($H27="threat",$S27=0.5,$R27=0.4),$D27 &amp; ";","")</f>
        <v/>
      </c>
      <c r="AI27" s="58">
        <f>IF(AND($H27="threat",$S27=0.5,$R27=0.8),$D27 &amp; ";","")</f>
        <v/>
      </c>
      <c r="AJ27" s="58">
        <f>IF(AND($H27="threat",$S27=0.3,$R27=0.05),$D27 &amp; ";","")</f>
        <v/>
      </c>
      <c r="AK27" s="58">
        <f>IF(AND($H27="threat",$S27=0.3,$R27=0.1),$D27 &amp; ";","")</f>
        <v/>
      </c>
      <c r="AL27" s="58">
        <f>IF(AND($H27="threat",$S27=0.3,$R27=0.2),$D27 &amp; ";","")</f>
        <v/>
      </c>
      <c r="AM27" s="58">
        <f>IF(AND($H27="threat",$S27=0.3,$R27=0.4),$D27 &amp; ";","")</f>
        <v/>
      </c>
      <c r="AN27" s="58">
        <f>IF(AND($H27="threat",$S27=0.3,$R27=0.8),$D27 &amp; ";","")</f>
        <v/>
      </c>
      <c r="AO27" s="58">
        <f>IF(AND($H27="threat",$S27=0.1,$R27=0.05),$D27 &amp; ";","")</f>
        <v/>
      </c>
      <c r="AP27" s="58">
        <f>IF(AND($H27="threat",$S27=0.1,$R27=0.1),$D27 &amp; ";","")</f>
        <v/>
      </c>
      <c r="AQ27" s="58">
        <f>IF(AND($H27="threat",$S27=0.1,$R27=0.2),$D27 &amp; ";","")</f>
        <v/>
      </c>
      <c r="AR27" s="58">
        <f>IF(AND($H27="threat",$S27=0.1,$R27=0.4),$D27 &amp; ";","")</f>
        <v/>
      </c>
      <c r="AS27" s="58">
        <f>IF(AND($H27="threat",$S27=0.1,$R27=0.8),$D27 &amp; ";","")</f>
        <v/>
      </c>
      <c r="AU27" s="58">
        <f>IF(AND($H27="opportunity",$S27=0.9,$R27=0.8),$D27 &amp; ";","")</f>
        <v/>
      </c>
      <c r="AV27" s="58">
        <f>IF(AND($H27="opportunity",$S27=0.9,$R27=0.4),$D27 &amp; ";","")</f>
        <v/>
      </c>
      <c r="AW27" s="58">
        <f>IF(AND($H27="opportunity",$S27=0.9,$R27=0.2),$D27 &amp; ";","")</f>
        <v/>
      </c>
      <c r="AX27" s="58">
        <f>IF(AND($H27="opportunity",$S27=0.9,$R27=0.1),$D27 &amp; ";","")</f>
        <v/>
      </c>
      <c r="AY27" s="58">
        <f>IF(AND($H27="opportunity",$S27=0.9,$R27=0.05),$D27 &amp; ";","")</f>
        <v/>
      </c>
      <c r="AZ27" s="58">
        <f>IF(AND($H27="opportunity",$S27=0.7,$R27=0.8),$D27 &amp; ";","")</f>
        <v/>
      </c>
      <c r="BA27" s="58">
        <f>IF(AND($H27="opportunity",$S27=0.7,$R27=0.4),$D27 &amp; ";","")</f>
        <v/>
      </c>
      <c r="BB27" s="58">
        <f>IF(AND($H27="opportunity",$S27=0.7,$R27=0.2),$D27 &amp; ";","")</f>
        <v/>
      </c>
      <c r="BC27" s="58">
        <f>IF(AND($H27="opportunity",$S27=0.7,$R27=0.1),$D27 &amp; ";","")</f>
        <v/>
      </c>
      <c r="BD27" s="58">
        <f>IF(AND($H27="opportunity",$S27=0.7,$R27=0.05),$D27 &amp; ";","")</f>
        <v/>
      </c>
      <c r="BE27" s="58">
        <f>IF(AND($H27="opportunity",$S27=0.5,$R27=0.8),$D27 &amp; ";","")</f>
        <v/>
      </c>
      <c r="BF27" s="58">
        <f>IF(AND($H27="opportunity",$S27=0.5,$R27=0.4),$D27 &amp; ";","")</f>
        <v/>
      </c>
      <c r="BG27" s="58">
        <f>IF(AND($H27="opportunity",$S27=0.5,$R27=0.2),$D27 &amp; ";","")</f>
        <v/>
      </c>
      <c r="BH27" s="58">
        <f>IF(AND($H27="opportunity",$S27=0.5,$R27=0.1),$D27 &amp; ";","")</f>
        <v/>
      </c>
      <c r="BI27" s="58">
        <f>IF(AND($H27="opportunity",$S27=0.5,$R27=0.05),$D27 &amp; ";","")</f>
        <v/>
      </c>
      <c r="BJ27" s="58">
        <f>IF(AND($H27="opportunity",$S27=0.3,$R27=0.8),$D27 &amp; ";","")</f>
        <v/>
      </c>
      <c r="BK27" s="58">
        <f>IF(AND($H27="opportunity",$S27=0.3,$R27=0.4),$D27 &amp; ";","")</f>
        <v/>
      </c>
      <c r="BL27" s="58">
        <f>IF(AND($H27="opportunity",$S27=0.3,$R27=0.2),$D27 &amp; ";","")</f>
        <v/>
      </c>
      <c r="BM27" s="58">
        <f>IF(AND($H27="opportunity",$S27=0.3,$R27=0.1),$D27 &amp; ";","")</f>
        <v/>
      </c>
      <c r="BN27" s="58">
        <f>IF(AND($H27="opportunity",$S27=0.3,$R27=0.05),$D27 &amp; ";","")</f>
        <v/>
      </c>
      <c r="BO27" s="58">
        <f>IF(AND($H27="opportunity",$S27=0.1,$R27=0.8),$D27 &amp; ";","")</f>
        <v/>
      </c>
      <c r="BP27" s="58">
        <f>IF(AND($H27="opportunity",$S27=0.1,$R27=0.4),$D27 &amp; ";","")</f>
        <v/>
      </c>
      <c r="BQ27" s="58">
        <f>IF(AND($H27="opportunity",$S27=0.1,$R27=0.2),$D27 &amp; ";","")</f>
        <v/>
      </c>
      <c r="BR27" s="58">
        <f>IF(AND($H27="opportunity",$S27=0.1,$R27=0.1),$D27 &amp; ";","")</f>
        <v/>
      </c>
      <c r="BS27" s="58">
        <f>IF(AND($H27="opportunity",$S27=0.1,$R27=0.05),$D27 &amp; ";","")</f>
        <v/>
      </c>
      <c r="BV27" s="57">
        <f>INDIRECT(ADDRESS(ROW()-22,COLUMN()-45,1,1,"Risk Register"))</f>
        <v/>
      </c>
      <c r="BW27" s="58">
        <f>INDIRECT(ADDRESS(ROW()-22,COLUMN()-44,1,1,"Risk Register"))</f>
        <v/>
      </c>
      <c r="BX27" s="59">
        <f>IF(AND($H27="threat",$P27&lt;=0.05),"gn",IF(AND($H27="threat",$P27&lt;=0.14),"y",IF(AND($H27="threat", $P27&gt;=0.15),"r",IF(AND($H27="opportunity",$P27&lt;=0.05),"gn",IF(AND($H27="opportunity",$P27&lt;=0.14),"lb",IF(AND($H27="opportunity",$P27&gt;=0.15),"db","z"))))))</f>
        <v/>
      </c>
      <c r="BY27" s="58">
        <f>IF(AND($H27="threat",$BW27=0.9,$BV27=0.05),$D27 &amp; ";","")</f>
        <v/>
      </c>
      <c r="BZ27" s="58">
        <f>IF(AND($H27="threat",$BW27=0.9,$BV27=0.1),$D27 &amp; ";","")</f>
        <v/>
      </c>
      <c r="CA27" s="58">
        <f>IF(AND($H27="threat",$BW27=0.9,$BV27=0.2),$D27 &amp; ";","")</f>
        <v/>
      </c>
      <c r="CB27" s="58">
        <f>IF(AND($H27="threat",$BW27=0.9,$BV27=0.4),$D27 &amp; ";","")</f>
        <v/>
      </c>
      <c r="CC27" s="58">
        <f>IF(AND($H27="threat",$BW27=0.9,$BV27=0.8),$D27 &amp; ";","")</f>
        <v/>
      </c>
      <c r="CD27" s="58">
        <f>IF(AND($H27="threat",$BW27=0.7,$BV27=0.05),$D27 &amp; ";","")</f>
        <v/>
      </c>
      <c r="CE27" s="58">
        <f>IF(AND($H27="threat",$BW27=0.7,$BV27=0.1),$D27 &amp; ";","")</f>
        <v/>
      </c>
      <c r="CF27" s="58">
        <f>IF(AND($H27="threat",$BW27=0.7,$BV27=0.2),$D27 &amp; ";","")</f>
        <v/>
      </c>
      <c r="CG27" s="58">
        <f>IF(AND($H27="threat",$BW27=0.7,$BV27=0.4),$D27 &amp; ";","")</f>
        <v/>
      </c>
      <c r="CH27" s="58">
        <f>IF(AND($H27="threat",$BW27=0.7,$BV27=0.8),$D27 &amp; ";","")</f>
        <v/>
      </c>
      <c r="CI27" s="58">
        <f>IF(AND($H27="threat",$BW27=0.5,$BV27=0.05),$D27 &amp; ";","")</f>
        <v/>
      </c>
      <c r="CJ27" s="58">
        <f>IF(AND($H27="threat",$BW27=0.5,$BV27=0.1),$D27 &amp; ";","")</f>
        <v/>
      </c>
      <c r="CK27" s="58">
        <f>IF(AND($H27="threat",$BW27=0.5,$BV27=0.2),$D27 &amp; ";","")</f>
        <v/>
      </c>
      <c r="CL27" s="58">
        <f>IF(AND($H27="threat",$BW27=0.5,$BV27=0.4),$D27 &amp; ";","")</f>
        <v/>
      </c>
      <c r="CM27" s="58">
        <f>IF(AND($H27="threat",$BW27=0.5,$BV27=0.8),$D27 &amp; ";","")</f>
        <v/>
      </c>
      <c r="CN27" s="58">
        <f>IF(AND($H27="threat",$BW27=0.3,$BV27=0.05),$D27 &amp; ";","")</f>
        <v/>
      </c>
      <c r="CO27" s="58">
        <f>IF(AND($H27="threat",$BW27=0.3,$BV27=0.1),$D27 &amp; ";","")</f>
        <v/>
      </c>
      <c r="CP27" s="58">
        <f>IF(AND($H27="threat",$BW27=0.3,$BV27=0.2),$D27 &amp; ";","")</f>
        <v/>
      </c>
      <c r="CQ27" s="58">
        <f>IF(AND($H27="threat",$BW27=0.3,$BV27=0.4),$D27 &amp; ";","")</f>
        <v/>
      </c>
      <c r="CR27" s="58">
        <f>IF(AND($H27="threat",$BW27=0.3,$BV27=0.8),$D27 &amp; ";","")</f>
        <v/>
      </c>
      <c r="CS27" s="58">
        <f>IF(AND($H27="threat",$BW27=0.1,$BV27=0.05),$D27 &amp; ";","")</f>
        <v/>
      </c>
      <c r="CT27" s="58">
        <f>IF(AND($H27="threat",$BW27=0.1,$BV27=0.1),$D27 &amp; ";","")</f>
        <v/>
      </c>
      <c r="CU27" s="58">
        <f>IF(AND($H27="threat",$BW27=0.1,$BV27=0.2),$D27 &amp; ";","")</f>
        <v/>
      </c>
      <c r="CV27" s="58">
        <f>IF(AND($H27="threat",$BW27=0.1,$BV27=0.4),$D27 &amp; ";","")</f>
        <v/>
      </c>
      <c r="CW27" s="58">
        <f>IF(AND($H27="threat",$BW27=0.1,$BV27=0.8),$D27 &amp; ";","")</f>
        <v/>
      </c>
      <c r="CY27" s="58">
        <f>IF(AND($H27="opportunity",$BW27=0.9,$BV27=0.8),$D27 &amp; ";","")</f>
        <v/>
      </c>
      <c r="CZ27" s="58">
        <f>IF(AND($H27="opportunity",$BW27=0.9,$BV27=0.4),$D27 &amp; ";","")</f>
        <v/>
      </c>
      <c r="DA27" s="58">
        <f>IF(AND($H27="opportunity",$BW27=0.9,$BV27=0.2),$D27 &amp; ";","")</f>
        <v/>
      </c>
      <c r="DB27" s="58">
        <f>IF(AND($H27="opportunity",$BW27=0.9,$BV27=0.1),$D27 &amp; ";","")</f>
        <v/>
      </c>
      <c r="DC27" s="58">
        <f>IF(AND($H27="opportunity",$BW27=0.9,$BV27=0.05),$D27 &amp; ";","")</f>
        <v/>
      </c>
      <c r="DD27" s="58">
        <f>IF(AND($H27="opportunity",$BW27=0.7,$BV27=0.8),$D27 &amp; ";","")</f>
        <v/>
      </c>
      <c r="DE27" s="58">
        <f>IF(AND($H27="opportunity",$BW27=0.7,$BV27=0.4),$D27 &amp; ";","")</f>
        <v/>
      </c>
      <c r="DF27" s="58">
        <f>IF(AND($H27="opportunity",$BW27=0.7,$BV27=0.2),$D27 &amp; ";","")</f>
        <v/>
      </c>
      <c r="DG27" s="58">
        <f>IF(AND($H27="opportunity",$BW27=0.7,$BV27=0.1),$D27 &amp; ";","")</f>
        <v/>
      </c>
      <c r="DH27" s="58">
        <f>IF(AND($H27="opportunity",$BW27=0.7,$BV27=0.05),$D27 &amp; ";","")</f>
        <v/>
      </c>
      <c r="DI27" s="58">
        <f>IF(AND($H27="opportunity",$BW27=0.5,$BV27=0.8),$D27 &amp; ";","")</f>
        <v/>
      </c>
      <c r="DJ27" s="58">
        <f>IF(AND($H27="opportunity",$BW27=0.5,$BV27=0.4),$D27 &amp; ";","")</f>
        <v/>
      </c>
      <c r="DK27" s="58">
        <f>IF(AND($H27="opportunity",$BW27=0.5,$BV27=0.2),$D27 &amp; ";","")</f>
        <v/>
      </c>
      <c r="DL27" s="58">
        <f>IF(AND($H27="opportunity",$BW27=0.5,$BV27=0.1),$D27 &amp; ";","")</f>
        <v/>
      </c>
      <c r="DM27" s="58">
        <f>IF(AND($H27="opportunity",$BW27=0.5,$BV27=0.05),$D27 &amp; ";","")</f>
        <v/>
      </c>
      <c r="DN27" s="58">
        <f>IF(AND($H27="opportunity",$BW27=0.3,$BV27=0.8),$D27 &amp; ";","")</f>
        <v/>
      </c>
      <c r="DO27" s="58">
        <f>IF(AND($H27="opportunity",$BW27=0.3,$BV27=0.4),$D27 &amp; ";","")</f>
        <v/>
      </c>
      <c r="DP27" s="58">
        <f>IF(AND($H27="opportunity",$BW27=0.3,$BV27=0.2),$D27 &amp; ";","")</f>
        <v/>
      </c>
      <c r="DQ27" s="58">
        <f>IF(AND($H27="opportunity",$BW27=0.3,$BV27=0.1),$D27 &amp; ";","")</f>
        <v/>
      </c>
      <c r="DR27" s="58">
        <f>IF(AND($H27="opportunity",$BW27=0.3,$BV27=0.05),$D27 &amp; ";","")</f>
        <v/>
      </c>
      <c r="DS27" s="58">
        <f>IF(AND($H27="opportunity",$BW27=0.1,$BV27=0.8),$D27 &amp; ";","")</f>
        <v/>
      </c>
      <c r="DT27" s="58">
        <f>IF(AND($H27="opportunity",$BW27=0.1,$BV27=0.4),$D27 &amp; ";","")</f>
        <v/>
      </c>
      <c r="DU27" s="58">
        <f>IF(AND($H27="opportunity",$BW27=0.1,$BV27=0.2),$D27 &amp; ";","")</f>
        <v/>
      </c>
      <c r="DV27" s="58">
        <f>IF(AND($H27="opportunity",$BW27=0.1,$BV27=0.1),$D27 &amp; ";","")</f>
        <v/>
      </c>
      <c r="DW27" s="58">
        <f>IF(AND($H27="opportunity",$BW27=0.1,$BV27=0.05),$D27 &amp; ";","")</f>
        <v/>
      </c>
    </row>
    <row r="28" ht="12.75" customHeight="1">
      <c r="D28" s="143">
        <f>INDIRECT(ADDRESS(ROW()-22,COLUMN()-2,1,1,"Risk Register"))</f>
        <v/>
      </c>
      <c r="E28" s="143">
        <f>INDIRECT(ADDRESS(ROW()-22,COLUMN()-1,1,1,"Risk Register"))</f>
        <v/>
      </c>
      <c r="G28" s="56">
        <f>INDIRECT(ADDRESS(ROW()-22,COLUMN()+10,1,1,"Risk Register"))</f>
        <v/>
      </c>
      <c r="H28" s="60">
        <f>INDIRECT(ADDRESS(ROW()-22,COLUMN()+8,1,1,"Risk Register"))</f>
        <v/>
      </c>
      <c r="I28" s="54">
        <f>INDIRECT(ADDRESS(ROW()-22,COLUMN()+3,1,1,"Risk Register"))</f>
        <v/>
      </c>
      <c r="J28" s="143">
        <f>INDIRECT(ADDRESS(ROW()-22,COLUMN()+12,1,1,"Risk Register"))</f>
        <v/>
      </c>
      <c r="K28" s="143">
        <f>INDIRECT(ADDRESS(ROW()-22,COLUMN()-2,1,1,"Risk Register"))</f>
        <v/>
      </c>
      <c r="L28" s="176">
        <f>INDIRECT(ADDRESS(ROW()-22,COLUMN()+15,1,1,"Risk Register"))</f>
        <v/>
      </c>
      <c r="M28" s="54">
        <f>INDIRECT(ADDRESS(ROW()-22,COLUMN()+13,1,1,"Risk Register"))</f>
        <v/>
      </c>
      <c r="N28" s="143">
        <f>INDIRECT(ADDRESS(ROW()-22,COLUMN()-9,1,1,"Risk Register"))</f>
        <v/>
      </c>
      <c r="O28" s="143">
        <f>INDIRECT(ADDRESS(ROW()-22,COLUMN()-8,1,1,"Risk Register"))</f>
        <v/>
      </c>
      <c r="P28" s="56">
        <f>INDIRECT(ADDRESS(ROW()-22,COLUMN()+18,1,1,"Risk Register"))</f>
        <v/>
      </c>
      <c r="R28" s="57">
        <f>INDIRECT(ADDRESS(ROW()-22,COLUMN()-5,1,1,"Risk Register"))</f>
        <v/>
      </c>
      <c r="S28" s="58">
        <f>INDIRECT(ADDRESS(ROW()-22,COLUMN()-4,1,1,"Risk Register"))</f>
        <v/>
      </c>
      <c r="T28" s="59">
        <f>IF(AND($H28="threat",$G28&lt;=0.05),"gn",IF(AND($H28="threat",$G28&lt;=0.14),"y",IF(AND($H28="threat", $G28&gt;=0.15),"r",IF(AND($H28="opportunity",$G28&lt;=0.05),"gn",IF(AND($H28="opportunity",$G28&lt;=0.14),"lb",IF(AND($H28="opportunity",$G28&gt;=0.15),"db","z"))))))</f>
        <v/>
      </c>
      <c r="U28" s="58">
        <f>IF(AND($H28="threat",$S28=0.9,$R28=0.05),$D28 &amp; ";","")</f>
        <v/>
      </c>
      <c r="V28" s="58">
        <f>IF(AND($H28="threat",$S28=0.9,$R28=0.1),$D28 &amp; ";","")</f>
        <v/>
      </c>
      <c r="W28" s="58">
        <f>IF(AND($H28="threat",$S28=0.9,$R28=0.2),$D28 &amp; ";","")</f>
        <v/>
      </c>
      <c r="X28" s="58">
        <f>IF(AND($H28="threat",$S28=0.9,$R28=0.4),$D28 &amp; ";","")</f>
        <v/>
      </c>
      <c r="Y28" s="58">
        <f>IF(AND($H28="threat",$S28=0.9,$R28=0.8),$D28 &amp; ";","")</f>
        <v/>
      </c>
      <c r="Z28" s="58">
        <f>IF(AND($H28="threat",$S28=0.7,$R28=0.05),$D28 &amp; ";","")</f>
        <v/>
      </c>
      <c r="AA28" s="58">
        <f>IF(AND($H28="threat",$S28=0.7,$R28=0.1),$D28 &amp; ";","")</f>
        <v/>
      </c>
      <c r="AB28" s="58">
        <f>IF(AND($H28="threat",$S28=0.7,$R28=0.2),$D28 &amp; ";","")</f>
        <v/>
      </c>
      <c r="AC28" s="58">
        <f>IF(AND($H28="threat",$S28=0.7,$R28=0.4),$D28 &amp; ";","")</f>
        <v/>
      </c>
      <c r="AD28" s="58">
        <f>IF(AND($H28="threat",$S28=0.7,$R28=0.8),$D28 &amp; ";","")</f>
        <v/>
      </c>
      <c r="AE28" s="58">
        <f>IF(AND($H28="threat",$S28=0.5,$R28=0.05),$D28 &amp; ";","")</f>
        <v/>
      </c>
      <c r="AF28" s="58">
        <f>IF(AND($H28="threat",$S28=0.5,$R28=0.1),$D28 &amp; ";","")</f>
        <v/>
      </c>
      <c r="AG28" s="58">
        <f>IF(AND($H28="threat",$S28=0.5,$R28=0.2),$D28 &amp; ";","")</f>
        <v/>
      </c>
      <c r="AH28" s="58">
        <f>IF(AND($H28="threat",$S28=0.5,$R28=0.4),$D28 &amp; ";","")</f>
        <v/>
      </c>
      <c r="AI28" s="58">
        <f>IF(AND($H28="threat",$S28=0.5,$R28=0.8),$D28 &amp; ";","")</f>
        <v/>
      </c>
      <c r="AJ28" s="58">
        <f>IF(AND($H28="threat",$S28=0.3,$R28=0.05),$D28 &amp; ";","")</f>
        <v/>
      </c>
      <c r="AK28" s="58">
        <f>IF(AND($H28="threat",$S28=0.3,$R28=0.1),$D28 &amp; ";","")</f>
        <v/>
      </c>
      <c r="AL28" s="58">
        <f>IF(AND($H28="threat",$S28=0.3,$R28=0.2),$D28 &amp; ";","")</f>
        <v/>
      </c>
      <c r="AM28" s="58">
        <f>IF(AND($H28="threat",$S28=0.3,$R28=0.4),$D28 &amp; ";","")</f>
        <v/>
      </c>
      <c r="AN28" s="58">
        <f>IF(AND($H28="threat",$S28=0.3,$R28=0.8),$D28 &amp; ";","")</f>
        <v/>
      </c>
      <c r="AO28" s="58">
        <f>IF(AND($H28="threat",$S28=0.1,$R28=0.05),$D28 &amp; ";","")</f>
        <v/>
      </c>
      <c r="AP28" s="58">
        <f>IF(AND($H28="threat",$S28=0.1,$R28=0.1),$D28 &amp; ";","")</f>
        <v/>
      </c>
      <c r="AQ28" s="58">
        <f>IF(AND($H28="threat",$S28=0.1,$R28=0.2),$D28 &amp; ";","")</f>
        <v/>
      </c>
      <c r="AR28" s="58">
        <f>IF(AND($H28="threat",$S28=0.1,$R28=0.4),$D28 &amp; ";","")</f>
        <v/>
      </c>
      <c r="AS28" s="58">
        <f>IF(AND($H28="threat",$S28=0.1,$R28=0.8),$D28 &amp; ";","")</f>
        <v/>
      </c>
      <c r="AT28" s="39" t="n"/>
      <c r="AU28" s="58">
        <f>IF(AND($H28="opportunity",$S28=0.9,$R28=0.8),$D28 &amp; ";","")</f>
        <v/>
      </c>
      <c r="AV28" s="58">
        <f>IF(AND($H28="opportunity",$S28=0.9,$R28=0.4),$D28 &amp; ";","")</f>
        <v/>
      </c>
      <c r="AW28" s="58">
        <f>IF(AND($H28="opportunity",$S28=0.9,$R28=0.2),$D28 &amp; ";","")</f>
        <v/>
      </c>
      <c r="AX28" s="58">
        <f>IF(AND($H28="opportunity",$S28=0.9,$R28=0.1),$D28 &amp; ";","")</f>
        <v/>
      </c>
      <c r="AY28" s="58">
        <f>IF(AND($H28="opportunity",$S28=0.9,$R28=0.05),$D28 &amp; ";","")</f>
        <v/>
      </c>
      <c r="AZ28" s="58">
        <f>IF(AND($H28="opportunity",$S28=0.7,$R28=0.8),$D28 &amp; ";","")</f>
        <v/>
      </c>
      <c r="BA28" s="58">
        <f>IF(AND($H28="opportunity",$S28=0.7,$R28=0.4),$D28 &amp; ";","")</f>
        <v/>
      </c>
      <c r="BB28" s="58">
        <f>IF(AND($H28="opportunity",$S28=0.7,$R28=0.2),$D28 &amp; ";","")</f>
        <v/>
      </c>
      <c r="BC28" s="58">
        <f>IF(AND($H28="opportunity",$S28=0.7,$R28=0.1),$D28 &amp; ";","")</f>
        <v/>
      </c>
      <c r="BD28" s="58">
        <f>IF(AND($H28="opportunity",$S28=0.7,$R28=0.05),$D28 &amp; ";","")</f>
        <v/>
      </c>
      <c r="BE28" s="58">
        <f>IF(AND($H28="opportunity",$S28=0.5,$R28=0.8),$D28 &amp; ";","")</f>
        <v/>
      </c>
      <c r="BF28" s="58">
        <f>IF(AND($H28="opportunity",$S28=0.5,$R28=0.4),$D28 &amp; ";","")</f>
        <v/>
      </c>
      <c r="BG28" s="58">
        <f>IF(AND($H28="opportunity",$S28=0.5,$R28=0.2),$D28 &amp; ";","")</f>
        <v/>
      </c>
      <c r="BH28" s="58">
        <f>IF(AND($H28="opportunity",$S28=0.5,$R28=0.1),$D28 &amp; ";","")</f>
        <v/>
      </c>
      <c r="BI28" s="58">
        <f>IF(AND($H28="opportunity",$S28=0.5,$R28=0.05),$D28 &amp; ";","")</f>
        <v/>
      </c>
      <c r="BJ28" s="58">
        <f>IF(AND($H28="opportunity",$S28=0.3,$R28=0.8),$D28 &amp; ";","")</f>
        <v/>
      </c>
      <c r="BK28" s="58">
        <f>IF(AND($H28="opportunity",$S28=0.3,$R28=0.4),$D28 &amp; ";","")</f>
        <v/>
      </c>
      <c r="BL28" s="58">
        <f>IF(AND($H28="opportunity",$S28=0.3,$R28=0.2),$D28 &amp; ";","")</f>
        <v/>
      </c>
      <c r="BM28" s="58">
        <f>IF(AND($H28="opportunity",$S28=0.3,$R28=0.1),$D28 &amp; ";","")</f>
        <v/>
      </c>
      <c r="BN28" s="58">
        <f>IF(AND($H28="opportunity",$S28=0.3,$R28=0.05),$D28 &amp; ";","")</f>
        <v/>
      </c>
      <c r="BO28" s="58">
        <f>IF(AND($H28="opportunity",$S28=0.1,$R28=0.8),$D28 &amp; ";","")</f>
        <v/>
      </c>
      <c r="BP28" s="58">
        <f>IF(AND($H28="opportunity",$S28=0.1,$R28=0.4),$D28 &amp; ";","")</f>
        <v/>
      </c>
      <c r="BQ28" s="58">
        <f>IF(AND($H28="opportunity",$S28=0.1,$R28=0.2),$D28 &amp; ";","")</f>
        <v/>
      </c>
      <c r="BR28" s="58">
        <f>IF(AND($H28="opportunity",$S28=0.1,$R28=0.1),$D28 &amp; ";","")</f>
        <v/>
      </c>
      <c r="BS28" s="58">
        <f>IF(AND($H28="opportunity",$S28=0.1,$R28=0.05),$D28 &amp; ";","")</f>
        <v/>
      </c>
      <c r="BV28" s="57">
        <f>INDIRECT(ADDRESS(ROW()-22,COLUMN()-45,1,1,"Risk Register"))</f>
        <v/>
      </c>
      <c r="BW28" s="58">
        <f>INDIRECT(ADDRESS(ROW()-22,COLUMN()-44,1,1,"Risk Register"))</f>
        <v/>
      </c>
      <c r="BX28" s="59">
        <f>IF(AND($H28="threat",$P28&lt;=0.05),"gn",IF(AND($H28="threat",$P28&lt;=0.14),"y",IF(AND($H28="threat", $P28&gt;=0.15),"r",IF(AND($H28="opportunity",$P28&lt;=0.05),"gn",IF(AND($H28="opportunity",$P28&lt;=0.14),"lb",IF(AND($H28="opportunity",$P28&gt;=0.15),"db","z"))))))</f>
        <v/>
      </c>
      <c r="BY28" s="58">
        <f>IF(AND($H28="threat",$BW28=0.9,$BV28=0.05),$D28 &amp; ";","")</f>
        <v/>
      </c>
      <c r="BZ28" s="58">
        <f>IF(AND($H28="threat",$BW28=0.9,$BV28=0.1),$D28 &amp; ";","")</f>
        <v/>
      </c>
      <c r="CA28" s="58">
        <f>IF(AND($H28="threat",$BW28=0.9,$BV28=0.2),$D28 &amp; ";","")</f>
        <v/>
      </c>
      <c r="CB28" s="58">
        <f>IF(AND($H28="threat",$BW28=0.9,$BV28=0.4),$D28 &amp; ";","")</f>
        <v/>
      </c>
      <c r="CC28" s="58">
        <f>IF(AND($H28="threat",$BW28=0.9,$BV28=0.8),$D28 &amp; ";","")</f>
        <v/>
      </c>
      <c r="CD28" s="58">
        <f>IF(AND($H28="threat",$BW28=0.7,$BV28=0.05),$D28 &amp; ";","")</f>
        <v/>
      </c>
      <c r="CE28" s="58">
        <f>IF(AND($H28="threat",$BW28=0.7,$BV28=0.1),$D28 &amp; ";","")</f>
        <v/>
      </c>
      <c r="CF28" s="58">
        <f>IF(AND($H28="threat",$BW28=0.7,$BV28=0.2),$D28 &amp; ";","")</f>
        <v/>
      </c>
      <c r="CG28" s="58">
        <f>IF(AND($H28="threat",$BW28=0.7,$BV28=0.4),$D28 &amp; ";","")</f>
        <v/>
      </c>
      <c r="CH28" s="58">
        <f>IF(AND($H28="threat",$BW28=0.7,$BV28=0.8),$D28 &amp; ";","")</f>
        <v/>
      </c>
      <c r="CI28" s="58">
        <f>IF(AND($H28="threat",$BW28=0.5,$BV28=0.05),$D28 &amp; ";","")</f>
        <v/>
      </c>
      <c r="CJ28" s="58">
        <f>IF(AND($H28="threat",$BW28=0.5,$BV28=0.1),$D28 &amp; ";","")</f>
        <v/>
      </c>
      <c r="CK28" s="58">
        <f>IF(AND($H28="threat",$BW28=0.5,$BV28=0.2),$D28 &amp; ";","")</f>
        <v/>
      </c>
      <c r="CL28" s="58">
        <f>IF(AND($H28="threat",$BW28=0.5,$BV28=0.4),$D28 &amp; ";","")</f>
        <v/>
      </c>
      <c r="CM28" s="58">
        <f>IF(AND($H28="threat",$BW28=0.5,$BV28=0.8),$D28 &amp; ";","")</f>
        <v/>
      </c>
      <c r="CN28" s="58">
        <f>IF(AND($H28="threat",$BW28=0.3,$BV28=0.05),$D28 &amp; ";","")</f>
        <v/>
      </c>
      <c r="CO28" s="58">
        <f>IF(AND($H28="threat",$BW28=0.3,$BV28=0.1),$D28 &amp; ";","")</f>
        <v/>
      </c>
      <c r="CP28" s="58">
        <f>IF(AND($H28="threat",$BW28=0.3,$BV28=0.2),$D28 &amp; ";","")</f>
        <v/>
      </c>
      <c r="CQ28" s="58">
        <f>IF(AND($H28="threat",$BW28=0.3,$BV28=0.4),$D28 &amp; ";","")</f>
        <v/>
      </c>
      <c r="CR28" s="58">
        <f>IF(AND($H28="threat",$BW28=0.3,$BV28=0.8),$D28 &amp; ";","")</f>
        <v/>
      </c>
      <c r="CS28" s="58">
        <f>IF(AND($H28="threat",$BW28=0.1,$BV28=0.05),$D28 &amp; ";","")</f>
        <v/>
      </c>
      <c r="CT28" s="58">
        <f>IF(AND($H28="threat",$BW28=0.1,$BV28=0.1),$D28 &amp; ";","")</f>
        <v/>
      </c>
      <c r="CU28" s="58">
        <f>IF(AND($H28="threat",$BW28=0.1,$BV28=0.2),$D28 &amp; ";","")</f>
        <v/>
      </c>
      <c r="CV28" s="58">
        <f>IF(AND($H28="threat",$BW28=0.1,$BV28=0.4),$D28 &amp; ";","")</f>
        <v/>
      </c>
      <c r="CW28" s="58">
        <f>IF(AND($H28="threat",$BW28=0.1,$BV28=0.8),$D28 &amp; ";","")</f>
        <v/>
      </c>
      <c r="CX28" s="39" t="n"/>
      <c r="CY28" s="58">
        <f>IF(AND($H28="opportunity",$BW28=0.9,$BV28=0.8),$D28 &amp; ";","")</f>
        <v/>
      </c>
      <c r="CZ28" s="58">
        <f>IF(AND($H28="opportunity",$BW28=0.9,$BV28=0.4),$D28 &amp; ";","")</f>
        <v/>
      </c>
      <c r="DA28" s="58">
        <f>IF(AND($H28="opportunity",$BW28=0.9,$BV28=0.2),$D28 &amp; ";","")</f>
        <v/>
      </c>
      <c r="DB28" s="58">
        <f>IF(AND($H28="opportunity",$BW28=0.9,$BV28=0.1),$D28 &amp; ";","")</f>
        <v/>
      </c>
      <c r="DC28" s="58">
        <f>IF(AND($H28="opportunity",$BW28=0.9,$BV28=0.05),$D28 &amp; ";","")</f>
        <v/>
      </c>
      <c r="DD28" s="58">
        <f>IF(AND($H28="opportunity",$BW28=0.7,$BV28=0.8),$D28 &amp; ";","")</f>
        <v/>
      </c>
      <c r="DE28" s="58">
        <f>IF(AND($H28="opportunity",$BW28=0.7,$BV28=0.4),$D28 &amp; ";","")</f>
        <v/>
      </c>
      <c r="DF28" s="58">
        <f>IF(AND($H28="opportunity",$BW28=0.7,$BV28=0.2),$D28 &amp; ";","")</f>
        <v/>
      </c>
      <c r="DG28" s="58">
        <f>IF(AND($H28="opportunity",$BW28=0.7,$BV28=0.1),$D28 &amp; ";","")</f>
        <v/>
      </c>
      <c r="DH28" s="58">
        <f>IF(AND($H28="opportunity",$BW28=0.7,$BV28=0.05),$D28 &amp; ";","")</f>
        <v/>
      </c>
      <c r="DI28" s="58">
        <f>IF(AND($H28="opportunity",$BW28=0.5,$BV28=0.8),$D28 &amp; ";","")</f>
        <v/>
      </c>
      <c r="DJ28" s="58">
        <f>IF(AND($H28="opportunity",$BW28=0.5,$BV28=0.4),$D28 &amp; ";","")</f>
        <v/>
      </c>
      <c r="DK28" s="58">
        <f>IF(AND($H28="opportunity",$BW28=0.5,$BV28=0.2),$D28 &amp; ";","")</f>
        <v/>
      </c>
      <c r="DL28" s="58">
        <f>IF(AND($H28="opportunity",$BW28=0.5,$BV28=0.1),$D28 &amp; ";","")</f>
        <v/>
      </c>
      <c r="DM28" s="58">
        <f>IF(AND($H28="opportunity",$BW28=0.5,$BV28=0.05),$D28 &amp; ";","")</f>
        <v/>
      </c>
      <c r="DN28" s="58">
        <f>IF(AND($H28="opportunity",$BW28=0.3,$BV28=0.8),$D28 &amp; ";","")</f>
        <v/>
      </c>
      <c r="DO28" s="58">
        <f>IF(AND($H28="opportunity",$BW28=0.3,$BV28=0.4),$D28 &amp; ";","")</f>
        <v/>
      </c>
      <c r="DP28" s="58">
        <f>IF(AND($H28="opportunity",$BW28=0.3,$BV28=0.2),$D28 &amp; ";","")</f>
        <v/>
      </c>
      <c r="DQ28" s="58">
        <f>IF(AND($H28="opportunity",$BW28=0.3,$BV28=0.1),$D28 &amp; ";","")</f>
        <v/>
      </c>
      <c r="DR28" s="58">
        <f>IF(AND($H28="opportunity",$BW28=0.3,$BV28=0.05),$D28 &amp; ";","")</f>
        <v/>
      </c>
      <c r="DS28" s="58">
        <f>IF(AND($H28="opportunity",$BW28=0.1,$BV28=0.8),$D28 &amp; ";","")</f>
        <v/>
      </c>
      <c r="DT28" s="58">
        <f>IF(AND($H28="opportunity",$BW28=0.1,$BV28=0.4),$D28 &amp; ";","")</f>
        <v/>
      </c>
      <c r="DU28" s="58">
        <f>IF(AND($H28="opportunity",$BW28=0.1,$BV28=0.2),$D28 &amp; ";","")</f>
        <v/>
      </c>
      <c r="DV28" s="58">
        <f>IF(AND($H28="opportunity",$BW28=0.1,$BV28=0.1),$D28 &amp; ";","")</f>
        <v/>
      </c>
      <c r="DW28" s="58">
        <f>IF(AND($H28="opportunity",$BW28=0.1,$BV28=0.05),$D28 &amp; ";","")</f>
        <v/>
      </c>
    </row>
    <row r="29" ht="12.75" customHeight="1">
      <c r="D29" s="143">
        <f>INDIRECT(ADDRESS(ROW()-22,COLUMN()-2,1,1,"Risk Register"))</f>
        <v/>
      </c>
      <c r="E29" s="143">
        <f>INDIRECT(ADDRESS(ROW()-22,COLUMN()-1,1,1,"Risk Register"))</f>
        <v/>
      </c>
      <c r="G29" s="56">
        <f>INDIRECT(ADDRESS(ROW()-22,COLUMN()+10,1,1,"Risk Register"))</f>
        <v/>
      </c>
      <c r="H29" s="60">
        <f>INDIRECT(ADDRESS(ROW()-22,COLUMN()+8,1,1,"Risk Register"))</f>
        <v/>
      </c>
      <c r="I29" s="54">
        <f>INDIRECT(ADDRESS(ROW()-22,COLUMN()+3,1,1,"Risk Register"))</f>
        <v/>
      </c>
      <c r="J29" s="143">
        <f>INDIRECT(ADDRESS(ROW()-22,COLUMN()+12,1,1,"Risk Register"))</f>
        <v/>
      </c>
      <c r="K29" s="143">
        <f>INDIRECT(ADDRESS(ROW()-22,COLUMN()-2,1,1,"Risk Register"))</f>
        <v/>
      </c>
      <c r="L29" s="176">
        <f>INDIRECT(ADDRESS(ROW()-22,COLUMN()+15,1,1,"Risk Register"))</f>
        <v/>
      </c>
      <c r="M29" s="54">
        <f>INDIRECT(ADDRESS(ROW()-22,COLUMN()+13,1,1,"Risk Register"))</f>
        <v/>
      </c>
      <c r="N29" s="143">
        <f>INDIRECT(ADDRESS(ROW()-22,COLUMN()-9,1,1,"Risk Register"))</f>
        <v/>
      </c>
      <c r="O29" s="143">
        <f>INDIRECT(ADDRESS(ROW()-22,COLUMN()-8,1,1,"Risk Register"))</f>
        <v/>
      </c>
      <c r="P29" s="56">
        <f>INDIRECT(ADDRESS(ROW()-22,COLUMN()+18,1,1,"Risk Register"))</f>
        <v/>
      </c>
      <c r="R29" s="57">
        <f>INDIRECT(ADDRESS(ROW()-22,COLUMN()-5,1,1,"Risk Register"))</f>
        <v/>
      </c>
      <c r="S29" s="58">
        <f>INDIRECT(ADDRESS(ROW()-22,COLUMN()-4,1,1,"Risk Register"))</f>
        <v/>
      </c>
      <c r="T29" s="59">
        <f>IF(AND($H29="threat",$G29&lt;=0.05),"gn",IF(AND($H29="threat",$G29&lt;=0.14),"y",IF(AND($H29="threat", $G29&gt;=0.15),"r",IF(AND($H29="opportunity",$G29&lt;=0.05),"gn",IF(AND($H29="opportunity",$G29&lt;=0.14),"lb",IF(AND($H29="opportunity",$G29&gt;=0.15),"db","z"))))))</f>
        <v/>
      </c>
      <c r="U29" s="58">
        <f>IF(AND($H29="threat",$S29=0.9,$R29=0.05),$D29 &amp; ";","")</f>
        <v/>
      </c>
      <c r="V29" s="58">
        <f>IF(AND($H29="threat",$S29=0.9,$R29=0.1),$D29 &amp; ";","")</f>
        <v/>
      </c>
      <c r="W29" s="58">
        <f>IF(AND($H29="threat",$S29=0.9,$R29=0.2),$D29 &amp; ";","")</f>
        <v/>
      </c>
      <c r="X29" s="58">
        <f>IF(AND($H29="threat",$S29=0.9,$R29=0.4),$D29 &amp; ";","")</f>
        <v/>
      </c>
      <c r="Y29" s="58">
        <f>IF(AND($H29="threat",$S29=0.9,$R29=0.8),$D29 &amp; ";","")</f>
        <v/>
      </c>
      <c r="Z29" s="58">
        <f>IF(AND($H29="threat",$S29=0.7,$R29=0.05),$D29 &amp; ";","")</f>
        <v/>
      </c>
      <c r="AA29" s="58">
        <f>IF(AND($H29="threat",$S29=0.7,$R29=0.1),$D29 &amp; ";","")</f>
        <v/>
      </c>
      <c r="AB29" s="58">
        <f>IF(AND($H29="threat",$S29=0.7,$R29=0.2),$D29 &amp; ";","")</f>
        <v/>
      </c>
      <c r="AC29" s="58">
        <f>IF(AND($H29="threat",$S29=0.7,$R29=0.4),$D29 &amp; ";","")</f>
        <v/>
      </c>
      <c r="AD29" s="58">
        <f>IF(AND($H29="threat",$S29=0.7,$R29=0.8),$D29 &amp; ";","")</f>
        <v/>
      </c>
      <c r="AE29" s="58">
        <f>IF(AND($H29="threat",$S29=0.5,$R29=0.05),$D29 &amp; ";","")</f>
        <v/>
      </c>
      <c r="AF29" s="58">
        <f>IF(AND($H29="threat",$S29=0.5,$R29=0.1),$D29 &amp; ";","")</f>
        <v/>
      </c>
      <c r="AG29" s="58">
        <f>IF(AND($H29="threat",$S29=0.5,$R29=0.2),$D29 &amp; ";","")</f>
        <v/>
      </c>
      <c r="AH29" s="58">
        <f>IF(AND($H29="threat",$S29=0.5,$R29=0.4),$D29 &amp; ";","")</f>
        <v/>
      </c>
      <c r="AI29" s="58">
        <f>IF(AND($H29="threat",$S29=0.5,$R29=0.8),$D29 &amp; ";","")</f>
        <v/>
      </c>
      <c r="AJ29" s="58">
        <f>IF(AND($H29="threat",$S29=0.3,$R29=0.05),$D29 &amp; ";","")</f>
        <v/>
      </c>
      <c r="AK29" s="58">
        <f>IF(AND($H29="threat",$S29=0.3,$R29=0.1),$D29 &amp; ";","")</f>
        <v/>
      </c>
      <c r="AL29" s="58">
        <f>IF(AND($H29="threat",$S29=0.3,$R29=0.2),$D29 &amp; ";","")</f>
        <v/>
      </c>
      <c r="AM29" s="58">
        <f>IF(AND($H29="threat",$S29=0.3,$R29=0.4),$D29 &amp; ";","")</f>
        <v/>
      </c>
      <c r="AN29" s="58">
        <f>IF(AND($H29="threat",$S29=0.3,$R29=0.8),$D29 &amp; ";","")</f>
        <v/>
      </c>
      <c r="AO29" s="58">
        <f>IF(AND($H29="threat",$S29=0.1,$R29=0.05),$D29 &amp; ";","")</f>
        <v/>
      </c>
      <c r="AP29" s="58">
        <f>IF(AND($H29="threat",$S29=0.1,$R29=0.1),$D29 &amp; ";","")</f>
        <v/>
      </c>
      <c r="AQ29" s="58">
        <f>IF(AND($H29="threat",$S29=0.1,$R29=0.2),$D29 &amp; ";","")</f>
        <v/>
      </c>
      <c r="AR29" s="58">
        <f>IF(AND($H29="threat",$S29=0.1,$R29=0.4),$D29 &amp; ";","")</f>
        <v/>
      </c>
      <c r="AS29" s="58">
        <f>IF(AND($H29="threat",$S29=0.1,$R29=0.8),$D29 &amp; ";","")</f>
        <v/>
      </c>
      <c r="AT29" s="39" t="n"/>
      <c r="AU29" s="58">
        <f>IF(AND($H29="opportunity",$S29=0.9,$R29=0.8),$D29 &amp; ";","")</f>
        <v/>
      </c>
      <c r="AV29" s="58">
        <f>IF(AND($H29="opportunity",$S29=0.9,$R29=0.4),$D29 &amp; ";","")</f>
        <v/>
      </c>
      <c r="AW29" s="58">
        <f>IF(AND($H29="opportunity",$S29=0.9,$R29=0.2),$D29 &amp; ";","")</f>
        <v/>
      </c>
      <c r="AX29" s="58">
        <f>IF(AND($H29="opportunity",$S29=0.9,$R29=0.1),$D29 &amp; ";","")</f>
        <v/>
      </c>
      <c r="AY29" s="58">
        <f>IF(AND($H29="opportunity",$S29=0.9,$R29=0.05),$D29 &amp; ";","")</f>
        <v/>
      </c>
      <c r="AZ29" s="58">
        <f>IF(AND($H29="opportunity",$S29=0.7,$R29=0.8),$D29 &amp; ";","")</f>
        <v/>
      </c>
      <c r="BA29" s="58">
        <f>IF(AND($H29="opportunity",$S29=0.7,$R29=0.4),$D29 &amp; ";","")</f>
        <v/>
      </c>
      <c r="BB29" s="58">
        <f>IF(AND($H29="opportunity",$S29=0.7,$R29=0.2),$D29 &amp; ";","")</f>
        <v/>
      </c>
      <c r="BC29" s="58">
        <f>IF(AND($H29="opportunity",$S29=0.7,$R29=0.1),$D29 &amp; ";","")</f>
        <v/>
      </c>
      <c r="BD29" s="58">
        <f>IF(AND($H29="opportunity",$S29=0.7,$R29=0.05),$D29 &amp; ";","")</f>
        <v/>
      </c>
      <c r="BE29" s="58">
        <f>IF(AND($H29="opportunity",$S29=0.5,$R29=0.8),$D29 &amp; ";","")</f>
        <v/>
      </c>
      <c r="BF29" s="58">
        <f>IF(AND($H29="opportunity",$S29=0.5,$R29=0.4),$D29 &amp; ";","")</f>
        <v/>
      </c>
      <c r="BG29" s="58">
        <f>IF(AND($H29="opportunity",$S29=0.5,$R29=0.2),$D29 &amp; ";","")</f>
        <v/>
      </c>
      <c r="BH29" s="58">
        <f>IF(AND($H29="opportunity",$S29=0.5,$R29=0.1),$D29 &amp; ";","")</f>
        <v/>
      </c>
      <c r="BI29" s="58">
        <f>IF(AND($H29="opportunity",$S29=0.5,$R29=0.05),$D29 &amp; ";","")</f>
        <v/>
      </c>
      <c r="BJ29" s="58">
        <f>IF(AND($H29="opportunity",$S29=0.3,$R29=0.8),$D29 &amp; ";","")</f>
        <v/>
      </c>
      <c r="BK29" s="58">
        <f>IF(AND($H29="opportunity",$S29=0.3,$R29=0.4),$D29 &amp; ";","")</f>
        <v/>
      </c>
      <c r="BL29" s="58">
        <f>IF(AND($H29="opportunity",$S29=0.3,$R29=0.2),$D29 &amp; ";","")</f>
        <v/>
      </c>
      <c r="BM29" s="58">
        <f>IF(AND($H29="opportunity",$S29=0.3,$R29=0.1),$D29 &amp; ";","")</f>
        <v/>
      </c>
      <c r="BN29" s="58">
        <f>IF(AND($H29="opportunity",$S29=0.3,$R29=0.05),$D29 &amp; ";","")</f>
        <v/>
      </c>
      <c r="BO29" s="58">
        <f>IF(AND($H29="opportunity",$S29=0.1,$R29=0.8),$D29 &amp; ";","")</f>
        <v/>
      </c>
      <c r="BP29" s="58">
        <f>IF(AND($H29="opportunity",$S29=0.1,$R29=0.4),$D29 &amp; ";","")</f>
        <v/>
      </c>
      <c r="BQ29" s="58">
        <f>IF(AND($H29="opportunity",$S29=0.1,$R29=0.2),$D29 &amp; ";","")</f>
        <v/>
      </c>
      <c r="BR29" s="58">
        <f>IF(AND($H29="opportunity",$S29=0.1,$R29=0.1),$D29 &amp; ";","")</f>
        <v/>
      </c>
      <c r="BS29" s="58">
        <f>IF(AND($H29="opportunity",$S29=0.1,$R29=0.05),$D29 &amp; ";","")</f>
        <v/>
      </c>
      <c r="BV29" s="57">
        <f>INDIRECT(ADDRESS(ROW()-22,COLUMN()-45,1,1,"Risk Register"))</f>
        <v/>
      </c>
      <c r="BW29" s="58">
        <f>INDIRECT(ADDRESS(ROW()-22,COLUMN()-44,1,1,"Risk Register"))</f>
        <v/>
      </c>
      <c r="BX29" s="59">
        <f>IF(AND($H29="threat",$P29&lt;=0.05),"gn",IF(AND($H29="threat",$P29&lt;=0.14),"y",IF(AND($H29="threat", $P29&gt;=0.15),"r",IF(AND($H29="opportunity",$P29&lt;=0.05),"gn",IF(AND($H29="opportunity",$P29&lt;=0.14),"lb",IF(AND($H29="opportunity",$P29&gt;=0.15),"db","z"))))))</f>
        <v/>
      </c>
      <c r="BY29" s="58">
        <f>IF(AND($H29="threat",$BW29=0.9,$BV29=0.05),$D29 &amp; ";","")</f>
        <v/>
      </c>
      <c r="BZ29" s="58">
        <f>IF(AND($H29="threat",$BW29=0.9,$BV29=0.1),$D29 &amp; ";","")</f>
        <v/>
      </c>
      <c r="CA29" s="58">
        <f>IF(AND($H29="threat",$BW29=0.9,$BV29=0.2),$D29 &amp; ";","")</f>
        <v/>
      </c>
      <c r="CB29" s="58">
        <f>IF(AND($H29="threat",$BW29=0.9,$BV29=0.4),$D29 &amp; ";","")</f>
        <v/>
      </c>
      <c r="CC29" s="58">
        <f>IF(AND($H29="threat",$BW29=0.9,$BV29=0.8),$D29 &amp; ";","")</f>
        <v/>
      </c>
      <c r="CD29" s="58">
        <f>IF(AND($H29="threat",$BW29=0.7,$BV29=0.05),$D29 &amp; ";","")</f>
        <v/>
      </c>
      <c r="CE29" s="58">
        <f>IF(AND($H29="threat",$BW29=0.7,$BV29=0.1),$D29 &amp; ";","")</f>
        <v/>
      </c>
      <c r="CF29" s="58">
        <f>IF(AND($H29="threat",$BW29=0.7,$BV29=0.2),$D29 &amp; ";","")</f>
        <v/>
      </c>
      <c r="CG29" s="58">
        <f>IF(AND($H29="threat",$BW29=0.7,$BV29=0.4),$D29 &amp; ";","")</f>
        <v/>
      </c>
      <c r="CH29" s="58">
        <f>IF(AND($H29="threat",$BW29=0.7,$BV29=0.8),$D29 &amp; ";","")</f>
        <v/>
      </c>
      <c r="CI29" s="58">
        <f>IF(AND($H29="threat",$BW29=0.5,$BV29=0.05),$D29 &amp; ";","")</f>
        <v/>
      </c>
      <c r="CJ29" s="58">
        <f>IF(AND($H29="threat",$BW29=0.5,$BV29=0.1),$D29 &amp; ";","")</f>
        <v/>
      </c>
      <c r="CK29" s="58">
        <f>IF(AND($H29="threat",$BW29=0.5,$BV29=0.2),$D29 &amp; ";","")</f>
        <v/>
      </c>
      <c r="CL29" s="58">
        <f>IF(AND($H29="threat",$BW29=0.5,$BV29=0.4),$D29 &amp; ";","")</f>
        <v/>
      </c>
      <c r="CM29" s="58">
        <f>IF(AND($H29="threat",$BW29=0.5,$BV29=0.8),$D29 &amp; ";","")</f>
        <v/>
      </c>
      <c r="CN29" s="58">
        <f>IF(AND($H29="threat",$BW29=0.3,$BV29=0.05),$D29 &amp; ";","")</f>
        <v/>
      </c>
      <c r="CO29" s="58">
        <f>IF(AND($H29="threat",$BW29=0.3,$BV29=0.1),$D29 &amp; ";","")</f>
        <v/>
      </c>
      <c r="CP29" s="58">
        <f>IF(AND($H29="threat",$BW29=0.3,$BV29=0.2),$D29 &amp; ";","")</f>
        <v/>
      </c>
      <c r="CQ29" s="58">
        <f>IF(AND($H29="threat",$BW29=0.3,$BV29=0.4),$D29 &amp; ";","")</f>
        <v/>
      </c>
      <c r="CR29" s="58">
        <f>IF(AND($H29="threat",$BW29=0.3,$BV29=0.8),$D29 &amp; ";","")</f>
        <v/>
      </c>
      <c r="CS29" s="58">
        <f>IF(AND($H29="threat",$BW29=0.1,$BV29=0.05),$D29 &amp; ";","")</f>
        <v/>
      </c>
      <c r="CT29" s="58">
        <f>IF(AND($H29="threat",$BW29=0.1,$BV29=0.1),$D29 &amp; ";","")</f>
        <v/>
      </c>
      <c r="CU29" s="58">
        <f>IF(AND($H29="threat",$BW29=0.1,$BV29=0.2),$D29 &amp; ";","")</f>
        <v/>
      </c>
      <c r="CV29" s="58">
        <f>IF(AND($H29="threat",$BW29=0.1,$BV29=0.4),$D29 &amp; ";","")</f>
        <v/>
      </c>
      <c r="CW29" s="58">
        <f>IF(AND($H29="threat",$BW29=0.1,$BV29=0.8),$D29 &amp; ";","")</f>
        <v/>
      </c>
      <c r="CX29" s="39" t="n"/>
      <c r="CY29" s="58">
        <f>IF(AND($H29="opportunity",$BW29=0.9,$BV29=0.8),$D29 &amp; ";","")</f>
        <v/>
      </c>
      <c r="CZ29" s="58">
        <f>IF(AND($H29="opportunity",$BW29=0.9,$BV29=0.4),$D29 &amp; ";","")</f>
        <v/>
      </c>
      <c r="DA29" s="58">
        <f>IF(AND($H29="opportunity",$BW29=0.9,$BV29=0.2),$D29 &amp; ";","")</f>
        <v/>
      </c>
      <c r="DB29" s="58">
        <f>IF(AND($H29="opportunity",$BW29=0.9,$BV29=0.1),$D29 &amp; ";","")</f>
        <v/>
      </c>
      <c r="DC29" s="58">
        <f>IF(AND($H29="opportunity",$BW29=0.9,$BV29=0.05),$D29 &amp; ";","")</f>
        <v/>
      </c>
      <c r="DD29" s="58">
        <f>IF(AND($H29="opportunity",$BW29=0.7,$BV29=0.8),$D29 &amp; ";","")</f>
        <v/>
      </c>
      <c r="DE29" s="58">
        <f>IF(AND($H29="opportunity",$BW29=0.7,$BV29=0.4),$D29 &amp; ";","")</f>
        <v/>
      </c>
      <c r="DF29" s="58">
        <f>IF(AND($H29="opportunity",$BW29=0.7,$BV29=0.2),$D29 &amp; ";","")</f>
        <v/>
      </c>
      <c r="DG29" s="58">
        <f>IF(AND($H29="opportunity",$BW29=0.7,$BV29=0.1),$D29 &amp; ";","")</f>
        <v/>
      </c>
      <c r="DH29" s="58">
        <f>IF(AND($H29="opportunity",$BW29=0.7,$BV29=0.05),$D29 &amp; ";","")</f>
        <v/>
      </c>
      <c r="DI29" s="58">
        <f>IF(AND($H29="opportunity",$BW29=0.5,$BV29=0.8),$D29 &amp; ";","")</f>
        <v/>
      </c>
      <c r="DJ29" s="58">
        <f>IF(AND($H29="opportunity",$BW29=0.5,$BV29=0.4),$D29 &amp; ";","")</f>
        <v/>
      </c>
      <c r="DK29" s="58">
        <f>IF(AND($H29="opportunity",$BW29=0.5,$BV29=0.2),$D29 &amp; ";","")</f>
        <v/>
      </c>
      <c r="DL29" s="58">
        <f>IF(AND($H29="opportunity",$BW29=0.5,$BV29=0.1),$D29 &amp; ";","")</f>
        <v/>
      </c>
      <c r="DM29" s="58">
        <f>IF(AND($H29="opportunity",$BW29=0.5,$BV29=0.05),$D29 &amp; ";","")</f>
        <v/>
      </c>
      <c r="DN29" s="58">
        <f>IF(AND($H29="opportunity",$BW29=0.3,$BV29=0.8),$D29 &amp; ";","")</f>
        <v/>
      </c>
      <c r="DO29" s="58">
        <f>IF(AND($H29="opportunity",$BW29=0.3,$BV29=0.4),$D29 &amp; ";","")</f>
        <v/>
      </c>
      <c r="DP29" s="58">
        <f>IF(AND($H29="opportunity",$BW29=0.3,$BV29=0.2),$D29 &amp; ";","")</f>
        <v/>
      </c>
      <c r="DQ29" s="58">
        <f>IF(AND($H29="opportunity",$BW29=0.3,$BV29=0.1),$D29 &amp; ";","")</f>
        <v/>
      </c>
      <c r="DR29" s="58">
        <f>IF(AND($H29="opportunity",$BW29=0.3,$BV29=0.05),$D29 &amp; ";","")</f>
        <v/>
      </c>
      <c r="DS29" s="58">
        <f>IF(AND($H29="opportunity",$BW29=0.1,$BV29=0.8),$D29 &amp; ";","")</f>
        <v/>
      </c>
      <c r="DT29" s="58">
        <f>IF(AND($H29="opportunity",$BW29=0.1,$BV29=0.4),$D29 &amp; ";","")</f>
        <v/>
      </c>
      <c r="DU29" s="58">
        <f>IF(AND($H29="opportunity",$BW29=0.1,$BV29=0.2),$D29 &amp; ";","")</f>
        <v/>
      </c>
      <c r="DV29" s="58">
        <f>IF(AND($H29="opportunity",$BW29=0.1,$BV29=0.1),$D29 &amp; ";","")</f>
        <v/>
      </c>
      <c r="DW29" s="58">
        <f>IF(AND($H29="opportunity",$BW29=0.1,$BV29=0.05),$D29 &amp; ";","")</f>
        <v/>
      </c>
    </row>
    <row r="30" ht="12.75" customHeight="1">
      <c r="D30" s="143">
        <f>INDIRECT(ADDRESS(ROW()-22,COLUMN()-2,1,1,"Risk Register"))</f>
        <v/>
      </c>
      <c r="E30" s="143">
        <f>INDIRECT(ADDRESS(ROW()-22,COLUMN()-1,1,1,"Risk Register"))</f>
        <v/>
      </c>
      <c r="G30" s="56">
        <f>INDIRECT(ADDRESS(ROW()-22,COLUMN()+10,1,1,"Risk Register"))</f>
        <v/>
      </c>
      <c r="H30" s="60">
        <f>INDIRECT(ADDRESS(ROW()-22,COLUMN()+8,1,1,"Risk Register"))</f>
        <v/>
      </c>
      <c r="I30" s="54">
        <f>INDIRECT(ADDRESS(ROW()-22,COLUMN()+3,1,1,"Risk Register"))</f>
        <v/>
      </c>
      <c r="J30" s="143">
        <f>INDIRECT(ADDRESS(ROW()-22,COLUMN()+12,1,1,"Risk Register"))</f>
        <v/>
      </c>
      <c r="K30" s="143">
        <f>INDIRECT(ADDRESS(ROW()-22,COLUMN()-2,1,1,"Risk Register"))</f>
        <v/>
      </c>
      <c r="L30" s="176">
        <f>INDIRECT(ADDRESS(ROW()-22,COLUMN()+15,1,1,"Risk Register"))</f>
        <v/>
      </c>
      <c r="M30" s="54">
        <f>INDIRECT(ADDRESS(ROW()-22,COLUMN()+13,1,1,"Risk Register"))</f>
        <v/>
      </c>
      <c r="N30" s="143">
        <f>INDIRECT(ADDRESS(ROW()-22,COLUMN()-9,1,1,"Risk Register"))</f>
        <v/>
      </c>
      <c r="O30" s="143">
        <f>INDIRECT(ADDRESS(ROW()-22,COLUMN()-8,1,1,"Risk Register"))</f>
        <v/>
      </c>
      <c r="P30" s="56">
        <f>INDIRECT(ADDRESS(ROW()-22,COLUMN()+18,1,1,"Risk Register"))</f>
        <v/>
      </c>
      <c r="R30" s="57">
        <f>INDIRECT(ADDRESS(ROW()-22,COLUMN()-5,1,1,"Risk Register"))</f>
        <v/>
      </c>
      <c r="S30" s="58">
        <f>INDIRECT(ADDRESS(ROW()-22,COLUMN()-4,1,1,"Risk Register"))</f>
        <v/>
      </c>
      <c r="T30" s="59">
        <f>IF(AND($H30="threat",$G30&lt;=0.05),"gn",IF(AND($H30="threat",$G30&lt;=0.14),"y",IF(AND($H30="threat", $G30&gt;=0.15),"r",IF(AND($H30="opportunity",$G30&lt;=0.05),"gn",IF(AND($H30="opportunity",$G30&lt;=0.14),"lb",IF(AND($H30="opportunity",$G30&gt;=0.15),"db","z"))))))</f>
        <v/>
      </c>
      <c r="U30" s="58">
        <f>IF(AND($H30="threat",$S30=0.9,$R30=0.05),$D30 &amp; ";","")</f>
        <v/>
      </c>
      <c r="V30" s="58">
        <f>IF(AND($H30="threat",$S30=0.9,$R30=0.1),$D30 &amp; ";","")</f>
        <v/>
      </c>
      <c r="W30" s="58">
        <f>IF(AND($H30="threat",$S30=0.9,$R30=0.2),$D30 &amp; ";","")</f>
        <v/>
      </c>
      <c r="X30" s="58">
        <f>IF(AND($H30="threat",$S30=0.9,$R30=0.4),$D30 &amp; ";","")</f>
        <v/>
      </c>
      <c r="Y30" s="58">
        <f>IF(AND($H30="threat",$S30=0.9,$R30=0.8),$D30 &amp; ";","")</f>
        <v/>
      </c>
      <c r="Z30" s="58">
        <f>IF(AND($H30="threat",$S30=0.7,$R30=0.05),$D30 &amp; ";","")</f>
        <v/>
      </c>
      <c r="AA30" s="58">
        <f>IF(AND($H30="threat",$S30=0.7,$R30=0.1),$D30 &amp; ";","")</f>
        <v/>
      </c>
      <c r="AB30" s="58">
        <f>IF(AND($H30="threat",$S30=0.7,$R30=0.2),$D30 &amp; ";","")</f>
        <v/>
      </c>
      <c r="AC30" s="58">
        <f>IF(AND($H30="threat",$S30=0.7,$R30=0.4),$D30 &amp; ";","")</f>
        <v/>
      </c>
      <c r="AD30" s="58">
        <f>IF(AND($H30="threat",$S30=0.7,$R30=0.8),$D30 &amp; ";","")</f>
        <v/>
      </c>
      <c r="AE30" s="58">
        <f>IF(AND($H30="threat",$S30=0.5,$R30=0.05),$D30 &amp; ";","")</f>
        <v/>
      </c>
      <c r="AF30" s="58">
        <f>IF(AND($H30="threat",$S30=0.5,$R30=0.1),$D30 &amp; ";","")</f>
        <v/>
      </c>
      <c r="AG30" s="58">
        <f>IF(AND($H30="threat",$S30=0.5,$R30=0.2),$D30 &amp; ";","")</f>
        <v/>
      </c>
      <c r="AH30" s="58">
        <f>IF(AND($H30="threat",$S30=0.5,$R30=0.4),$D30 &amp; ";","")</f>
        <v/>
      </c>
      <c r="AI30" s="58">
        <f>IF(AND($H30="threat",$S30=0.5,$R30=0.8),$D30 &amp; ";","")</f>
        <v/>
      </c>
      <c r="AJ30" s="58">
        <f>IF(AND($H30="threat",$S30=0.3,$R30=0.05),$D30 &amp; ";","")</f>
        <v/>
      </c>
      <c r="AK30" s="58">
        <f>IF(AND($H30="threat",$S30=0.3,$R30=0.1),$D30 &amp; ";","")</f>
        <v/>
      </c>
      <c r="AL30" s="58">
        <f>IF(AND($H30="threat",$S30=0.3,$R30=0.2),$D30 &amp; ";","")</f>
        <v/>
      </c>
      <c r="AM30" s="58">
        <f>IF(AND($H30="threat",$S30=0.3,$R30=0.4),$D30 &amp; ";","")</f>
        <v/>
      </c>
      <c r="AN30" s="58">
        <f>IF(AND($H30="threat",$S30=0.3,$R30=0.8),$D30 &amp; ";","")</f>
        <v/>
      </c>
      <c r="AO30" s="58">
        <f>IF(AND($H30="threat",$S30=0.1,$R30=0.05),$D30 &amp; ";","")</f>
        <v/>
      </c>
      <c r="AP30" s="58">
        <f>IF(AND($H30="threat",$S30=0.1,$R30=0.1),$D30 &amp; ";","")</f>
        <v/>
      </c>
      <c r="AQ30" s="58">
        <f>IF(AND($H30="threat",$S30=0.1,$R30=0.2),$D30 &amp; ";","")</f>
        <v/>
      </c>
      <c r="AR30" s="58">
        <f>IF(AND($H30="threat",$S30=0.1,$R30=0.4),$D30 &amp; ";","")</f>
        <v/>
      </c>
      <c r="AS30" s="58">
        <f>IF(AND($H30="threat",$S30=0.1,$R30=0.8),$D30 &amp; ";","")</f>
        <v/>
      </c>
      <c r="AT30" s="39" t="n"/>
      <c r="AU30" s="58">
        <f>IF(AND($H30="opportunity",$S30=0.9,$R30=0.8),$D30 &amp; ";","")</f>
        <v/>
      </c>
      <c r="AV30" s="58">
        <f>IF(AND($H30="opportunity",$S30=0.9,$R30=0.4),$D30 &amp; ";","")</f>
        <v/>
      </c>
      <c r="AW30" s="58">
        <f>IF(AND($H30="opportunity",$S30=0.9,$R30=0.2),$D30 &amp; ";","")</f>
        <v/>
      </c>
      <c r="AX30" s="58">
        <f>IF(AND($H30="opportunity",$S30=0.9,$R30=0.1),$D30 &amp; ";","")</f>
        <v/>
      </c>
      <c r="AY30" s="58">
        <f>IF(AND($H30="opportunity",$S30=0.9,$R30=0.05),$D30 &amp; ";","")</f>
        <v/>
      </c>
      <c r="AZ30" s="58">
        <f>IF(AND($H30="opportunity",$S30=0.7,$R30=0.8),$D30 &amp; ";","")</f>
        <v/>
      </c>
      <c r="BA30" s="58">
        <f>IF(AND($H30="opportunity",$S30=0.7,$R30=0.4),$D30 &amp; ";","")</f>
        <v/>
      </c>
      <c r="BB30" s="58">
        <f>IF(AND($H30="opportunity",$S30=0.7,$R30=0.2),$D30 &amp; ";","")</f>
        <v/>
      </c>
      <c r="BC30" s="58">
        <f>IF(AND($H30="opportunity",$S30=0.7,$R30=0.1),$D30 &amp; ";","")</f>
        <v/>
      </c>
      <c r="BD30" s="58">
        <f>IF(AND($H30="opportunity",$S30=0.7,$R30=0.05),$D30 &amp; ";","")</f>
        <v/>
      </c>
      <c r="BE30" s="58">
        <f>IF(AND($H30="opportunity",$S30=0.5,$R30=0.8),$D30 &amp; ";","")</f>
        <v/>
      </c>
      <c r="BF30" s="58">
        <f>IF(AND($H30="opportunity",$S30=0.5,$R30=0.4),$D30 &amp; ";","")</f>
        <v/>
      </c>
      <c r="BG30" s="58">
        <f>IF(AND($H30="opportunity",$S30=0.5,$R30=0.2),$D30 &amp; ";","")</f>
        <v/>
      </c>
      <c r="BH30" s="58">
        <f>IF(AND($H30="opportunity",$S30=0.5,$R30=0.1),$D30 &amp; ";","")</f>
        <v/>
      </c>
      <c r="BI30" s="58">
        <f>IF(AND($H30="opportunity",$S30=0.5,$R30=0.05),$D30 &amp; ";","")</f>
        <v/>
      </c>
      <c r="BJ30" s="58">
        <f>IF(AND($H30="opportunity",$S30=0.3,$R30=0.8),$D30 &amp; ";","")</f>
        <v/>
      </c>
      <c r="BK30" s="58">
        <f>IF(AND($H30="opportunity",$S30=0.3,$R30=0.4),$D30 &amp; ";","")</f>
        <v/>
      </c>
      <c r="BL30" s="58">
        <f>IF(AND($H30="opportunity",$S30=0.3,$R30=0.2),$D30 &amp; ";","")</f>
        <v/>
      </c>
      <c r="BM30" s="58">
        <f>IF(AND($H30="opportunity",$S30=0.3,$R30=0.1),$D30 &amp; ";","")</f>
        <v/>
      </c>
      <c r="BN30" s="58">
        <f>IF(AND($H30="opportunity",$S30=0.3,$R30=0.05),$D30 &amp; ";","")</f>
        <v/>
      </c>
      <c r="BO30" s="58">
        <f>IF(AND($H30="opportunity",$S30=0.1,$R30=0.8),$D30 &amp; ";","")</f>
        <v/>
      </c>
      <c r="BP30" s="58">
        <f>IF(AND($H30="opportunity",$S30=0.1,$R30=0.4),$D30 &amp; ";","")</f>
        <v/>
      </c>
      <c r="BQ30" s="58">
        <f>IF(AND($H30="opportunity",$S30=0.1,$R30=0.2),$D30 &amp; ";","")</f>
        <v/>
      </c>
      <c r="BR30" s="58">
        <f>IF(AND($H30="opportunity",$S30=0.1,$R30=0.1),$D30 &amp; ";","")</f>
        <v/>
      </c>
      <c r="BS30" s="58">
        <f>IF(AND($H30="opportunity",$S30=0.1,$R30=0.05),$D30 &amp; ";","")</f>
        <v/>
      </c>
      <c r="BV30" s="57">
        <f>INDIRECT(ADDRESS(ROW()-22,COLUMN()-45,1,1,"Risk Register"))</f>
        <v/>
      </c>
      <c r="BW30" s="58">
        <f>INDIRECT(ADDRESS(ROW()-22,COLUMN()-44,1,1,"Risk Register"))</f>
        <v/>
      </c>
      <c r="BX30" s="59">
        <f>IF(AND($H30="threat",$P30&lt;=0.05),"gn",IF(AND($H30="threat",$P30&lt;=0.14),"y",IF(AND($H30="threat", $P30&gt;=0.15),"r",IF(AND($H30="opportunity",$P30&lt;=0.05),"gn",IF(AND($H30="opportunity",$P30&lt;=0.14),"lb",IF(AND($H30="opportunity",$P30&gt;=0.15),"db","z"))))))</f>
        <v/>
      </c>
      <c r="BY30" s="58">
        <f>IF(AND($H30="threat",$BW30=0.9,$BV30=0.05),$D30 &amp; ";","")</f>
        <v/>
      </c>
      <c r="BZ30" s="58">
        <f>IF(AND($H30="threat",$BW30=0.9,$BV30=0.1),$D30 &amp; ";","")</f>
        <v/>
      </c>
      <c r="CA30" s="58">
        <f>IF(AND($H30="threat",$BW30=0.9,$BV30=0.2),$D30 &amp; ";","")</f>
        <v/>
      </c>
      <c r="CB30" s="58">
        <f>IF(AND($H30="threat",$BW30=0.9,$BV30=0.4),$D30 &amp; ";","")</f>
        <v/>
      </c>
      <c r="CC30" s="58">
        <f>IF(AND($H30="threat",$BW30=0.9,$BV30=0.8),$D30 &amp; ";","")</f>
        <v/>
      </c>
      <c r="CD30" s="58">
        <f>IF(AND($H30="threat",$BW30=0.7,$BV30=0.05),$D30 &amp; ";","")</f>
        <v/>
      </c>
      <c r="CE30" s="58">
        <f>IF(AND($H30="threat",$BW30=0.7,$BV30=0.1),$D30 &amp; ";","")</f>
        <v/>
      </c>
      <c r="CF30" s="58">
        <f>IF(AND($H30="threat",$BW30=0.7,$BV30=0.2),$D30 &amp; ";","")</f>
        <v/>
      </c>
      <c r="CG30" s="58">
        <f>IF(AND($H30="threat",$BW30=0.7,$BV30=0.4),$D30 &amp; ";","")</f>
        <v/>
      </c>
      <c r="CH30" s="58">
        <f>IF(AND($H30="threat",$BW30=0.7,$BV30=0.8),$D30 &amp; ";","")</f>
        <v/>
      </c>
      <c r="CI30" s="58">
        <f>IF(AND($H30="threat",$BW30=0.5,$BV30=0.05),$D30 &amp; ";","")</f>
        <v/>
      </c>
      <c r="CJ30" s="58">
        <f>IF(AND($H30="threat",$BW30=0.5,$BV30=0.1),$D30 &amp; ";","")</f>
        <v/>
      </c>
      <c r="CK30" s="58">
        <f>IF(AND($H30="threat",$BW30=0.5,$BV30=0.2),$D30 &amp; ";","")</f>
        <v/>
      </c>
      <c r="CL30" s="58">
        <f>IF(AND($H30="threat",$BW30=0.5,$BV30=0.4),$D30 &amp; ";","")</f>
        <v/>
      </c>
      <c r="CM30" s="58">
        <f>IF(AND($H30="threat",$BW30=0.5,$BV30=0.8),$D30 &amp; ";","")</f>
        <v/>
      </c>
      <c r="CN30" s="58">
        <f>IF(AND($H30="threat",$BW30=0.3,$BV30=0.05),$D30 &amp; ";","")</f>
        <v/>
      </c>
      <c r="CO30" s="58">
        <f>IF(AND($H30="threat",$BW30=0.3,$BV30=0.1),$D30 &amp; ";","")</f>
        <v/>
      </c>
      <c r="CP30" s="58">
        <f>IF(AND($H30="threat",$BW30=0.3,$BV30=0.2),$D30 &amp; ";","")</f>
        <v/>
      </c>
      <c r="CQ30" s="58">
        <f>IF(AND($H30="threat",$BW30=0.3,$BV30=0.4),$D30 &amp; ";","")</f>
        <v/>
      </c>
      <c r="CR30" s="58">
        <f>IF(AND($H30="threat",$BW30=0.3,$BV30=0.8),$D30 &amp; ";","")</f>
        <v/>
      </c>
      <c r="CS30" s="58">
        <f>IF(AND($H30="threat",$BW30=0.1,$BV30=0.05),$D30 &amp; ";","")</f>
        <v/>
      </c>
      <c r="CT30" s="58">
        <f>IF(AND($H30="threat",$BW30=0.1,$BV30=0.1),$D30 &amp; ";","")</f>
        <v/>
      </c>
      <c r="CU30" s="58">
        <f>IF(AND($H30="threat",$BW30=0.1,$BV30=0.2),$D30 &amp; ";","")</f>
        <v/>
      </c>
      <c r="CV30" s="58">
        <f>IF(AND($H30="threat",$BW30=0.1,$BV30=0.4),$D30 &amp; ";","")</f>
        <v/>
      </c>
      <c r="CW30" s="58">
        <f>IF(AND($H30="threat",$BW30=0.1,$BV30=0.8),$D30 &amp; ";","")</f>
        <v/>
      </c>
      <c r="CX30" s="39" t="n"/>
      <c r="CY30" s="58">
        <f>IF(AND($H30="opportunity",$BW30=0.9,$BV30=0.8),$D30 &amp; ";","")</f>
        <v/>
      </c>
      <c r="CZ30" s="58">
        <f>IF(AND($H30="opportunity",$BW30=0.9,$BV30=0.4),$D30 &amp; ";","")</f>
        <v/>
      </c>
      <c r="DA30" s="58">
        <f>IF(AND($H30="opportunity",$BW30=0.9,$BV30=0.2),$D30 &amp; ";","")</f>
        <v/>
      </c>
      <c r="DB30" s="58">
        <f>IF(AND($H30="opportunity",$BW30=0.9,$BV30=0.1),$D30 &amp; ";","")</f>
        <v/>
      </c>
      <c r="DC30" s="58">
        <f>IF(AND($H30="opportunity",$BW30=0.9,$BV30=0.05),$D30 &amp; ";","")</f>
        <v/>
      </c>
      <c r="DD30" s="58">
        <f>IF(AND($H30="opportunity",$BW30=0.7,$BV30=0.8),$D30 &amp; ";","")</f>
        <v/>
      </c>
      <c r="DE30" s="58">
        <f>IF(AND($H30="opportunity",$BW30=0.7,$BV30=0.4),$D30 &amp; ";","")</f>
        <v/>
      </c>
      <c r="DF30" s="58">
        <f>IF(AND($H30="opportunity",$BW30=0.7,$BV30=0.2),$D30 &amp; ";","")</f>
        <v/>
      </c>
      <c r="DG30" s="58">
        <f>IF(AND($H30="opportunity",$BW30=0.7,$BV30=0.1),$D30 &amp; ";","")</f>
        <v/>
      </c>
      <c r="DH30" s="58">
        <f>IF(AND($H30="opportunity",$BW30=0.7,$BV30=0.05),$D30 &amp; ";","")</f>
        <v/>
      </c>
      <c r="DI30" s="58">
        <f>IF(AND($H30="opportunity",$BW30=0.5,$BV30=0.8),$D30 &amp; ";","")</f>
        <v/>
      </c>
      <c r="DJ30" s="58">
        <f>IF(AND($H30="opportunity",$BW30=0.5,$BV30=0.4),$D30 &amp; ";","")</f>
        <v/>
      </c>
      <c r="DK30" s="58">
        <f>IF(AND($H30="opportunity",$BW30=0.5,$BV30=0.2),$D30 &amp; ";","")</f>
        <v/>
      </c>
      <c r="DL30" s="58">
        <f>IF(AND($H30="opportunity",$BW30=0.5,$BV30=0.1),$D30 &amp; ";","")</f>
        <v/>
      </c>
      <c r="DM30" s="58">
        <f>IF(AND($H30="opportunity",$BW30=0.5,$BV30=0.05),$D30 &amp; ";","")</f>
        <v/>
      </c>
      <c r="DN30" s="58">
        <f>IF(AND($H30="opportunity",$BW30=0.3,$BV30=0.8),$D30 &amp; ";","")</f>
        <v/>
      </c>
      <c r="DO30" s="58">
        <f>IF(AND($H30="opportunity",$BW30=0.3,$BV30=0.4),$D30 &amp; ";","")</f>
        <v/>
      </c>
      <c r="DP30" s="58">
        <f>IF(AND($H30="opportunity",$BW30=0.3,$BV30=0.2),$D30 &amp; ";","")</f>
        <v/>
      </c>
      <c r="DQ30" s="58">
        <f>IF(AND($H30="opportunity",$BW30=0.3,$BV30=0.1),$D30 &amp; ";","")</f>
        <v/>
      </c>
      <c r="DR30" s="58">
        <f>IF(AND($H30="opportunity",$BW30=0.3,$BV30=0.05),$D30 &amp; ";","")</f>
        <v/>
      </c>
      <c r="DS30" s="58">
        <f>IF(AND($H30="opportunity",$BW30=0.1,$BV30=0.8),$D30 &amp; ";","")</f>
        <v/>
      </c>
      <c r="DT30" s="58">
        <f>IF(AND($H30="opportunity",$BW30=0.1,$BV30=0.4),$D30 &amp; ";","")</f>
        <v/>
      </c>
      <c r="DU30" s="58">
        <f>IF(AND($H30="opportunity",$BW30=0.1,$BV30=0.2),$D30 &amp; ";","")</f>
        <v/>
      </c>
      <c r="DV30" s="58">
        <f>IF(AND($H30="opportunity",$BW30=0.1,$BV30=0.1),$D30 &amp; ";","")</f>
        <v/>
      </c>
      <c r="DW30" s="58">
        <f>IF(AND($H30="opportunity",$BW30=0.1,$BV30=0.05),$D30 &amp; ";","")</f>
        <v/>
      </c>
    </row>
    <row r="31" ht="12.75" customHeight="1">
      <c r="D31" s="143">
        <f>INDIRECT(ADDRESS(ROW()-22,COLUMN()-2,1,1,"Risk Register"))</f>
        <v/>
      </c>
      <c r="E31" s="143">
        <f>INDIRECT(ADDRESS(ROW()-22,COLUMN()-1,1,1,"Risk Register"))</f>
        <v/>
      </c>
      <c r="G31" s="56">
        <f>INDIRECT(ADDRESS(ROW()-22,COLUMN()+10,1,1,"Risk Register"))</f>
        <v/>
      </c>
      <c r="H31" s="60">
        <f>INDIRECT(ADDRESS(ROW()-22,COLUMN()+8,1,1,"Risk Register"))</f>
        <v/>
      </c>
      <c r="I31" s="54">
        <f>INDIRECT(ADDRESS(ROW()-22,COLUMN()+3,1,1,"Risk Register"))</f>
        <v/>
      </c>
      <c r="J31" s="143">
        <f>INDIRECT(ADDRESS(ROW()-22,COLUMN()+12,1,1,"Risk Register"))</f>
        <v/>
      </c>
      <c r="K31" s="143">
        <f>INDIRECT(ADDRESS(ROW()-22,COLUMN()-2,1,1,"Risk Register"))</f>
        <v/>
      </c>
      <c r="L31" s="176">
        <f>INDIRECT(ADDRESS(ROW()-22,COLUMN()+15,1,1,"Risk Register"))</f>
        <v/>
      </c>
      <c r="M31" s="54">
        <f>INDIRECT(ADDRESS(ROW()-22,COLUMN()+13,1,1,"Risk Register"))</f>
        <v/>
      </c>
      <c r="N31" s="143">
        <f>INDIRECT(ADDRESS(ROW()-22,COLUMN()-9,1,1,"Risk Register"))</f>
        <v/>
      </c>
      <c r="O31" s="143">
        <f>INDIRECT(ADDRESS(ROW()-22,COLUMN()-8,1,1,"Risk Register"))</f>
        <v/>
      </c>
      <c r="P31" s="56">
        <f>INDIRECT(ADDRESS(ROW()-22,COLUMN()+18,1,1,"Risk Register"))</f>
        <v/>
      </c>
      <c r="R31" s="57">
        <f>INDIRECT(ADDRESS(ROW()-22,COLUMN()-5,1,1,"Risk Register"))</f>
        <v/>
      </c>
      <c r="S31" s="58">
        <f>INDIRECT(ADDRESS(ROW()-22,COLUMN()-4,1,1,"Risk Register"))</f>
        <v/>
      </c>
      <c r="T31" s="59">
        <f>IF(AND($H31="threat",$G31&lt;=0.05),"gn",IF(AND($H31="threat",$G31&lt;=0.14),"y",IF(AND($H31="threat", $G31&gt;=0.15),"r",IF(AND($H31="opportunity",$G31&lt;=0.05),"gn",IF(AND($H31="opportunity",$G31&lt;=0.14),"lb",IF(AND($H31="opportunity",$G31&gt;=0.15),"db","z"))))))</f>
        <v/>
      </c>
      <c r="U31" s="58">
        <f>IF(AND($H31="threat",$S31=0.9,$R31=0.05),$D31 &amp; ";","")</f>
        <v/>
      </c>
      <c r="V31" s="58">
        <f>IF(AND($H31="threat",$S31=0.9,$R31=0.1),$D31 &amp; ";","")</f>
        <v/>
      </c>
      <c r="W31" s="58">
        <f>IF(AND($H31="threat",$S31=0.9,$R31=0.2),$D31 &amp; ";","")</f>
        <v/>
      </c>
      <c r="X31" s="58">
        <f>IF(AND($H31="threat",$S31=0.9,$R31=0.4),$D31 &amp; ";","")</f>
        <v/>
      </c>
      <c r="Y31" s="58">
        <f>IF(AND($H31="threat",$S31=0.9,$R31=0.8),$D31 &amp; ";","")</f>
        <v/>
      </c>
      <c r="Z31" s="58">
        <f>IF(AND($H31="threat",$S31=0.7,$R31=0.05),$D31 &amp; ";","")</f>
        <v/>
      </c>
      <c r="AA31" s="58">
        <f>IF(AND($H31="threat",$S31=0.7,$R31=0.1),$D31 &amp; ";","")</f>
        <v/>
      </c>
      <c r="AB31" s="58">
        <f>IF(AND($H31="threat",$S31=0.7,$R31=0.2),$D31 &amp; ";","")</f>
        <v/>
      </c>
      <c r="AC31" s="58">
        <f>IF(AND($H31="threat",$S31=0.7,$R31=0.4),$D31 &amp; ";","")</f>
        <v/>
      </c>
      <c r="AD31" s="58">
        <f>IF(AND($H31="threat",$S31=0.7,$R31=0.8),$D31 &amp; ";","")</f>
        <v/>
      </c>
      <c r="AE31" s="58">
        <f>IF(AND($H31="threat",$S31=0.5,$R31=0.05),$D31 &amp; ";","")</f>
        <v/>
      </c>
      <c r="AF31" s="58">
        <f>IF(AND($H31="threat",$S31=0.5,$R31=0.1),$D31 &amp; ";","")</f>
        <v/>
      </c>
      <c r="AG31" s="58">
        <f>IF(AND($H31="threat",$S31=0.5,$R31=0.2),$D31 &amp; ";","")</f>
        <v/>
      </c>
      <c r="AH31" s="58">
        <f>IF(AND($H31="threat",$S31=0.5,$R31=0.4),$D31 &amp; ";","")</f>
        <v/>
      </c>
      <c r="AI31" s="58">
        <f>IF(AND($H31="threat",$S31=0.5,$R31=0.8),$D31 &amp; ";","")</f>
        <v/>
      </c>
      <c r="AJ31" s="58">
        <f>IF(AND($H31="threat",$S31=0.3,$R31=0.05),$D31 &amp; ";","")</f>
        <v/>
      </c>
      <c r="AK31" s="58">
        <f>IF(AND($H31="threat",$S31=0.3,$R31=0.1),$D31 &amp; ";","")</f>
        <v/>
      </c>
      <c r="AL31" s="58">
        <f>IF(AND($H31="threat",$S31=0.3,$R31=0.2),$D31 &amp; ";","")</f>
        <v/>
      </c>
      <c r="AM31" s="58">
        <f>IF(AND($H31="threat",$S31=0.3,$R31=0.4),$D31 &amp; ";","")</f>
        <v/>
      </c>
      <c r="AN31" s="58">
        <f>IF(AND($H31="threat",$S31=0.3,$R31=0.8),$D31 &amp; ";","")</f>
        <v/>
      </c>
      <c r="AO31" s="58">
        <f>IF(AND($H31="threat",$S31=0.1,$R31=0.05),$D31 &amp; ";","")</f>
        <v/>
      </c>
      <c r="AP31" s="58">
        <f>IF(AND($H31="threat",$S31=0.1,$R31=0.1),$D31 &amp; ";","")</f>
        <v/>
      </c>
      <c r="AQ31" s="58">
        <f>IF(AND($H31="threat",$S31=0.1,$R31=0.2),$D31 &amp; ";","")</f>
        <v/>
      </c>
      <c r="AR31" s="58">
        <f>IF(AND($H31="threat",$S31=0.1,$R31=0.4),$D31 &amp; ";","")</f>
        <v/>
      </c>
      <c r="AS31" s="58">
        <f>IF(AND($H31="threat",$S31=0.1,$R31=0.8),$D31 &amp; ";","")</f>
        <v/>
      </c>
      <c r="AT31" s="39" t="n"/>
      <c r="AU31" s="58">
        <f>IF(AND($H31="opportunity",$S31=0.9,$R31=0.8),$D31 &amp; ";","")</f>
        <v/>
      </c>
      <c r="AV31" s="58">
        <f>IF(AND($H31="opportunity",$S31=0.9,$R31=0.4),$D31 &amp; ";","")</f>
        <v/>
      </c>
      <c r="AW31" s="58">
        <f>IF(AND($H31="opportunity",$S31=0.9,$R31=0.2),$D31 &amp; ";","")</f>
        <v/>
      </c>
      <c r="AX31" s="58">
        <f>IF(AND($H31="opportunity",$S31=0.9,$R31=0.1),$D31 &amp; ";","")</f>
        <v/>
      </c>
      <c r="AY31" s="58">
        <f>IF(AND($H31="opportunity",$S31=0.9,$R31=0.05),$D31 &amp; ";","")</f>
        <v/>
      </c>
      <c r="AZ31" s="58">
        <f>IF(AND($H31="opportunity",$S31=0.7,$R31=0.8),$D31 &amp; ";","")</f>
        <v/>
      </c>
      <c r="BA31" s="58">
        <f>IF(AND($H31="opportunity",$S31=0.7,$R31=0.4),$D31 &amp; ";","")</f>
        <v/>
      </c>
      <c r="BB31" s="58">
        <f>IF(AND($H31="opportunity",$S31=0.7,$R31=0.2),$D31 &amp; ";","")</f>
        <v/>
      </c>
      <c r="BC31" s="58">
        <f>IF(AND($H31="opportunity",$S31=0.7,$R31=0.1),$D31 &amp; ";","")</f>
        <v/>
      </c>
      <c r="BD31" s="58">
        <f>IF(AND($H31="opportunity",$S31=0.7,$R31=0.05),$D31 &amp; ";","")</f>
        <v/>
      </c>
      <c r="BE31" s="58">
        <f>IF(AND($H31="opportunity",$S31=0.5,$R31=0.8),$D31 &amp; ";","")</f>
        <v/>
      </c>
      <c r="BF31" s="58">
        <f>IF(AND($H31="opportunity",$S31=0.5,$R31=0.4),$D31 &amp; ";","")</f>
        <v/>
      </c>
      <c r="BG31" s="58">
        <f>IF(AND($H31="opportunity",$S31=0.5,$R31=0.2),$D31 &amp; ";","")</f>
        <v/>
      </c>
      <c r="BH31" s="58">
        <f>IF(AND($H31="opportunity",$S31=0.5,$R31=0.1),$D31 &amp; ";","")</f>
        <v/>
      </c>
      <c r="BI31" s="58">
        <f>IF(AND($H31="opportunity",$S31=0.5,$R31=0.05),$D31 &amp; ";","")</f>
        <v/>
      </c>
      <c r="BJ31" s="58">
        <f>IF(AND($H31="opportunity",$S31=0.3,$R31=0.8),$D31 &amp; ";","")</f>
        <v/>
      </c>
      <c r="BK31" s="58">
        <f>IF(AND($H31="opportunity",$S31=0.3,$R31=0.4),$D31 &amp; ";","")</f>
        <v/>
      </c>
      <c r="BL31" s="58">
        <f>IF(AND($H31="opportunity",$S31=0.3,$R31=0.2),$D31 &amp; ";","")</f>
        <v/>
      </c>
      <c r="BM31" s="58">
        <f>IF(AND($H31="opportunity",$S31=0.3,$R31=0.1),$D31 &amp; ";","")</f>
        <v/>
      </c>
      <c r="BN31" s="58">
        <f>IF(AND($H31="opportunity",$S31=0.3,$R31=0.05),$D31 &amp; ";","")</f>
        <v/>
      </c>
      <c r="BO31" s="58">
        <f>IF(AND($H31="opportunity",$S31=0.1,$R31=0.8),$D31 &amp; ";","")</f>
        <v/>
      </c>
      <c r="BP31" s="58">
        <f>IF(AND($H31="opportunity",$S31=0.1,$R31=0.4),$D31 &amp; ";","")</f>
        <v/>
      </c>
      <c r="BQ31" s="58">
        <f>IF(AND($H31="opportunity",$S31=0.1,$R31=0.2),$D31 &amp; ";","")</f>
        <v/>
      </c>
      <c r="BR31" s="58">
        <f>IF(AND($H31="opportunity",$S31=0.1,$R31=0.1),$D31 &amp; ";","")</f>
        <v/>
      </c>
      <c r="BS31" s="58">
        <f>IF(AND($H31="opportunity",$S31=0.1,$R31=0.05),$D31 &amp; ";","")</f>
        <v/>
      </c>
      <c r="BV31" s="57">
        <f>INDIRECT(ADDRESS(ROW()-22,COLUMN()-45,1,1,"Risk Register"))</f>
        <v/>
      </c>
      <c r="BW31" s="58">
        <f>INDIRECT(ADDRESS(ROW()-22,COLUMN()-44,1,1,"Risk Register"))</f>
        <v/>
      </c>
      <c r="BX31" s="59">
        <f>IF(AND($H31="threat",$P31&lt;=0.05),"gn",IF(AND($H31="threat",$P31&lt;=0.14),"y",IF(AND($H31="threat", $P31&gt;=0.15),"r",IF(AND($H31="opportunity",$P31&lt;=0.05),"gn",IF(AND($H31="opportunity",$P31&lt;=0.14),"lb",IF(AND($H31="opportunity",$P31&gt;=0.15),"db","z"))))))</f>
        <v/>
      </c>
      <c r="BY31" s="58">
        <f>IF(AND($H31="threat",$BW31=0.9,$BV31=0.05),$D31 &amp; ";","")</f>
        <v/>
      </c>
      <c r="BZ31" s="58">
        <f>IF(AND($H31="threat",$BW31=0.9,$BV31=0.1),$D31 &amp; ";","")</f>
        <v/>
      </c>
      <c r="CA31" s="58">
        <f>IF(AND($H31="threat",$BW31=0.9,$BV31=0.2),$D31 &amp; ";","")</f>
        <v/>
      </c>
      <c r="CB31" s="58">
        <f>IF(AND($H31="threat",$BW31=0.9,$BV31=0.4),$D31 &amp; ";","")</f>
        <v/>
      </c>
      <c r="CC31" s="58">
        <f>IF(AND($H31="threat",$BW31=0.9,$BV31=0.8),$D31 &amp; ";","")</f>
        <v/>
      </c>
      <c r="CD31" s="58">
        <f>IF(AND($H31="threat",$BW31=0.7,$BV31=0.05),$D31 &amp; ";","")</f>
        <v/>
      </c>
      <c r="CE31" s="58">
        <f>IF(AND($H31="threat",$BW31=0.7,$BV31=0.1),$D31 &amp; ";","")</f>
        <v/>
      </c>
      <c r="CF31" s="58">
        <f>IF(AND($H31="threat",$BW31=0.7,$BV31=0.2),$D31 &amp; ";","")</f>
        <v/>
      </c>
      <c r="CG31" s="58">
        <f>IF(AND($H31="threat",$BW31=0.7,$BV31=0.4),$D31 &amp; ";","")</f>
        <v/>
      </c>
      <c r="CH31" s="58">
        <f>IF(AND($H31="threat",$BW31=0.7,$BV31=0.8),$D31 &amp; ";","")</f>
        <v/>
      </c>
      <c r="CI31" s="58">
        <f>IF(AND($H31="threat",$BW31=0.5,$BV31=0.05),$D31 &amp; ";","")</f>
        <v/>
      </c>
      <c r="CJ31" s="58">
        <f>IF(AND($H31="threat",$BW31=0.5,$BV31=0.1),$D31 &amp; ";","")</f>
        <v/>
      </c>
      <c r="CK31" s="58">
        <f>IF(AND($H31="threat",$BW31=0.5,$BV31=0.2),$D31 &amp; ";","")</f>
        <v/>
      </c>
      <c r="CL31" s="58">
        <f>IF(AND($H31="threat",$BW31=0.5,$BV31=0.4),$D31 &amp; ";","")</f>
        <v/>
      </c>
      <c r="CM31" s="58">
        <f>IF(AND($H31="threat",$BW31=0.5,$BV31=0.8),$D31 &amp; ";","")</f>
        <v/>
      </c>
      <c r="CN31" s="58">
        <f>IF(AND($H31="threat",$BW31=0.3,$BV31=0.05),$D31 &amp; ";","")</f>
        <v/>
      </c>
      <c r="CO31" s="58">
        <f>IF(AND($H31="threat",$BW31=0.3,$BV31=0.1),$D31 &amp; ";","")</f>
        <v/>
      </c>
      <c r="CP31" s="58">
        <f>IF(AND($H31="threat",$BW31=0.3,$BV31=0.2),$D31 &amp; ";","")</f>
        <v/>
      </c>
      <c r="CQ31" s="58">
        <f>IF(AND($H31="threat",$BW31=0.3,$BV31=0.4),$D31 &amp; ";","")</f>
        <v/>
      </c>
      <c r="CR31" s="58">
        <f>IF(AND($H31="threat",$BW31=0.3,$BV31=0.8),$D31 &amp; ";","")</f>
        <v/>
      </c>
      <c r="CS31" s="58">
        <f>IF(AND($H31="threat",$BW31=0.1,$BV31=0.05),$D31 &amp; ";","")</f>
        <v/>
      </c>
      <c r="CT31" s="58">
        <f>IF(AND($H31="threat",$BW31=0.1,$BV31=0.1),$D31 &amp; ";","")</f>
        <v/>
      </c>
      <c r="CU31" s="58">
        <f>IF(AND($H31="threat",$BW31=0.1,$BV31=0.2),$D31 &amp; ";","")</f>
        <v/>
      </c>
      <c r="CV31" s="58">
        <f>IF(AND($H31="threat",$BW31=0.1,$BV31=0.4),$D31 &amp; ";","")</f>
        <v/>
      </c>
      <c r="CW31" s="58">
        <f>IF(AND($H31="threat",$BW31=0.1,$BV31=0.8),$D31 &amp; ";","")</f>
        <v/>
      </c>
      <c r="CX31" s="39" t="n"/>
      <c r="CY31" s="58">
        <f>IF(AND($H31="opportunity",$BW31=0.9,$BV31=0.8),$D31 &amp; ";","")</f>
        <v/>
      </c>
      <c r="CZ31" s="58">
        <f>IF(AND($H31="opportunity",$BW31=0.9,$BV31=0.4),$D31 &amp; ";","")</f>
        <v/>
      </c>
      <c r="DA31" s="58">
        <f>IF(AND($H31="opportunity",$BW31=0.9,$BV31=0.2),$D31 &amp; ";","")</f>
        <v/>
      </c>
      <c r="DB31" s="58">
        <f>IF(AND($H31="opportunity",$BW31=0.9,$BV31=0.1),$D31 &amp; ";","")</f>
        <v/>
      </c>
      <c r="DC31" s="58">
        <f>IF(AND($H31="opportunity",$BW31=0.9,$BV31=0.05),$D31 &amp; ";","")</f>
        <v/>
      </c>
      <c r="DD31" s="58">
        <f>IF(AND($H31="opportunity",$BW31=0.7,$BV31=0.8),$D31 &amp; ";","")</f>
        <v/>
      </c>
      <c r="DE31" s="58">
        <f>IF(AND($H31="opportunity",$BW31=0.7,$BV31=0.4),$D31 &amp; ";","")</f>
        <v/>
      </c>
      <c r="DF31" s="58">
        <f>IF(AND($H31="opportunity",$BW31=0.7,$BV31=0.2),$D31 &amp; ";","")</f>
        <v/>
      </c>
      <c r="DG31" s="58">
        <f>IF(AND($H31="opportunity",$BW31=0.7,$BV31=0.1),$D31 &amp; ";","")</f>
        <v/>
      </c>
      <c r="DH31" s="58">
        <f>IF(AND($H31="opportunity",$BW31=0.7,$BV31=0.05),$D31 &amp; ";","")</f>
        <v/>
      </c>
      <c r="DI31" s="58">
        <f>IF(AND($H31="opportunity",$BW31=0.5,$BV31=0.8),$D31 &amp; ";","")</f>
        <v/>
      </c>
      <c r="DJ31" s="58">
        <f>IF(AND($H31="opportunity",$BW31=0.5,$BV31=0.4),$D31 &amp; ";","")</f>
        <v/>
      </c>
      <c r="DK31" s="58">
        <f>IF(AND($H31="opportunity",$BW31=0.5,$BV31=0.2),$D31 &amp; ";","")</f>
        <v/>
      </c>
      <c r="DL31" s="58">
        <f>IF(AND($H31="opportunity",$BW31=0.5,$BV31=0.1),$D31 &amp; ";","")</f>
        <v/>
      </c>
      <c r="DM31" s="58">
        <f>IF(AND($H31="opportunity",$BW31=0.5,$BV31=0.05),$D31 &amp; ";","")</f>
        <v/>
      </c>
      <c r="DN31" s="58">
        <f>IF(AND($H31="opportunity",$BW31=0.3,$BV31=0.8),$D31 &amp; ";","")</f>
        <v/>
      </c>
      <c r="DO31" s="58">
        <f>IF(AND($H31="opportunity",$BW31=0.3,$BV31=0.4),$D31 &amp; ";","")</f>
        <v/>
      </c>
      <c r="DP31" s="58">
        <f>IF(AND($H31="opportunity",$BW31=0.3,$BV31=0.2),$D31 &amp; ";","")</f>
        <v/>
      </c>
      <c r="DQ31" s="58">
        <f>IF(AND($H31="opportunity",$BW31=0.3,$BV31=0.1),$D31 &amp; ";","")</f>
        <v/>
      </c>
      <c r="DR31" s="58">
        <f>IF(AND($H31="opportunity",$BW31=0.3,$BV31=0.05),$D31 &amp; ";","")</f>
        <v/>
      </c>
      <c r="DS31" s="58">
        <f>IF(AND($H31="opportunity",$BW31=0.1,$BV31=0.8),$D31 &amp; ";","")</f>
        <v/>
      </c>
      <c r="DT31" s="58">
        <f>IF(AND($H31="opportunity",$BW31=0.1,$BV31=0.4),$D31 &amp; ";","")</f>
        <v/>
      </c>
      <c r="DU31" s="58">
        <f>IF(AND($H31="opportunity",$BW31=0.1,$BV31=0.2),$D31 &amp; ";","")</f>
        <v/>
      </c>
      <c r="DV31" s="58">
        <f>IF(AND($H31="opportunity",$BW31=0.1,$BV31=0.1),$D31 &amp; ";","")</f>
        <v/>
      </c>
      <c r="DW31" s="58">
        <f>IF(AND($H31="opportunity",$BW31=0.1,$BV31=0.05),$D31 &amp; ";","")</f>
        <v/>
      </c>
    </row>
    <row r="32" ht="12.75" customHeight="1">
      <c r="D32" s="143">
        <f>INDIRECT(ADDRESS(ROW()-22,COLUMN()-2,1,1,"Risk Register"))</f>
        <v/>
      </c>
      <c r="E32" s="143">
        <f>INDIRECT(ADDRESS(ROW()-22,COLUMN()-1,1,1,"Risk Register"))</f>
        <v/>
      </c>
      <c r="G32" s="56">
        <f>INDIRECT(ADDRESS(ROW()-22,COLUMN()+10,1,1,"Risk Register"))</f>
        <v/>
      </c>
      <c r="H32" s="60">
        <f>INDIRECT(ADDRESS(ROW()-22,COLUMN()+8,1,1,"Risk Register"))</f>
        <v/>
      </c>
      <c r="I32" s="54">
        <f>INDIRECT(ADDRESS(ROW()-22,COLUMN()+3,1,1,"Risk Register"))</f>
        <v/>
      </c>
      <c r="J32" s="143">
        <f>INDIRECT(ADDRESS(ROW()-22,COLUMN()+12,1,1,"Risk Register"))</f>
        <v/>
      </c>
      <c r="K32" s="143">
        <f>INDIRECT(ADDRESS(ROW()-22,COLUMN()-2,1,1,"Risk Register"))</f>
        <v/>
      </c>
      <c r="L32" s="176">
        <f>INDIRECT(ADDRESS(ROW()-22,COLUMN()+15,1,1,"Risk Register"))</f>
        <v/>
      </c>
      <c r="M32" s="54">
        <f>INDIRECT(ADDRESS(ROW()-22,COLUMN()+13,1,1,"Risk Register"))</f>
        <v/>
      </c>
      <c r="N32" s="143">
        <f>INDIRECT(ADDRESS(ROW()-22,COLUMN()-9,1,1,"Risk Register"))</f>
        <v/>
      </c>
      <c r="O32" s="143">
        <f>INDIRECT(ADDRESS(ROW()-22,COLUMN()-8,1,1,"Risk Register"))</f>
        <v/>
      </c>
      <c r="P32" s="56">
        <f>INDIRECT(ADDRESS(ROW()-22,COLUMN()+18,1,1,"Risk Register"))</f>
        <v/>
      </c>
      <c r="R32" s="57">
        <f>INDIRECT(ADDRESS(ROW()-22,COLUMN()-5,1,1,"Risk Register"))</f>
        <v/>
      </c>
      <c r="S32" s="58">
        <f>INDIRECT(ADDRESS(ROW()-22,COLUMN()-4,1,1,"Risk Register"))</f>
        <v/>
      </c>
      <c r="T32" s="59">
        <f>IF(AND($H32="threat",$G32&lt;=0.05),"gn",IF(AND($H32="threat",$G32&lt;=0.14),"y",IF(AND($H32="threat", $G32&gt;=0.15),"r",IF(AND($H32="opportunity",$G32&lt;=0.05),"gn",IF(AND($H32="opportunity",$G32&lt;=0.14),"lb",IF(AND($H32="opportunity",$G32&gt;=0.15),"db","z"))))))</f>
        <v/>
      </c>
      <c r="U32" s="58">
        <f>IF(AND($H32="threat",$S32=0.9,$R32=0.05),$D32 &amp; ";","")</f>
        <v/>
      </c>
      <c r="V32" s="58">
        <f>IF(AND($H32="threat",$S32=0.9,$R32=0.1),$D32 &amp; ";","")</f>
        <v/>
      </c>
      <c r="W32" s="58">
        <f>IF(AND($H32="threat",$S32=0.9,$R32=0.2),$D32 &amp; ";","")</f>
        <v/>
      </c>
      <c r="X32" s="58">
        <f>IF(AND($H32="threat",$S32=0.9,$R32=0.4),$D32 &amp; ";","")</f>
        <v/>
      </c>
      <c r="Y32" s="58">
        <f>IF(AND($H32="threat",$S32=0.9,$R32=0.8),$D32 &amp; ";","")</f>
        <v/>
      </c>
      <c r="Z32" s="58">
        <f>IF(AND($H32="threat",$S32=0.7,$R32=0.05),$D32 &amp; ";","")</f>
        <v/>
      </c>
      <c r="AA32" s="58">
        <f>IF(AND($H32="threat",$S32=0.7,$R32=0.1),$D32 &amp; ";","")</f>
        <v/>
      </c>
      <c r="AB32" s="58">
        <f>IF(AND($H32="threat",$S32=0.7,$R32=0.2),$D32 &amp; ";","")</f>
        <v/>
      </c>
      <c r="AC32" s="58">
        <f>IF(AND($H32="threat",$S32=0.7,$R32=0.4),$D32 &amp; ";","")</f>
        <v/>
      </c>
      <c r="AD32" s="58">
        <f>IF(AND($H32="threat",$S32=0.7,$R32=0.8),$D32 &amp; ";","")</f>
        <v/>
      </c>
      <c r="AE32" s="58">
        <f>IF(AND($H32="threat",$S32=0.5,$R32=0.05),$D32 &amp; ";","")</f>
        <v/>
      </c>
      <c r="AF32" s="58">
        <f>IF(AND($H32="threat",$S32=0.5,$R32=0.1),$D32 &amp; ";","")</f>
        <v/>
      </c>
      <c r="AG32" s="58">
        <f>IF(AND($H32="threat",$S32=0.5,$R32=0.2),$D32 &amp; ";","")</f>
        <v/>
      </c>
      <c r="AH32" s="58">
        <f>IF(AND($H32="threat",$S32=0.5,$R32=0.4),$D32 &amp; ";","")</f>
        <v/>
      </c>
      <c r="AI32" s="58">
        <f>IF(AND($H32="threat",$S32=0.5,$R32=0.8),$D32 &amp; ";","")</f>
        <v/>
      </c>
      <c r="AJ32" s="58">
        <f>IF(AND($H32="threat",$S32=0.3,$R32=0.05),$D32 &amp; ";","")</f>
        <v/>
      </c>
      <c r="AK32" s="58">
        <f>IF(AND($H32="threat",$S32=0.3,$R32=0.1),$D32 &amp; ";","")</f>
        <v/>
      </c>
      <c r="AL32" s="58">
        <f>IF(AND($H32="threat",$S32=0.3,$R32=0.2),$D32 &amp; ";","")</f>
        <v/>
      </c>
      <c r="AM32" s="58">
        <f>IF(AND($H32="threat",$S32=0.3,$R32=0.4),$D32 &amp; ";","")</f>
        <v/>
      </c>
      <c r="AN32" s="58">
        <f>IF(AND($H32="threat",$S32=0.3,$R32=0.8),$D32 &amp; ";","")</f>
        <v/>
      </c>
      <c r="AO32" s="58">
        <f>IF(AND($H32="threat",$S32=0.1,$R32=0.05),$D32 &amp; ";","")</f>
        <v/>
      </c>
      <c r="AP32" s="58">
        <f>IF(AND($H32="threat",$S32=0.1,$R32=0.1),$D32 &amp; ";","")</f>
        <v/>
      </c>
      <c r="AQ32" s="58">
        <f>IF(AND($H32="threat",$S32=0.1,$R32=0.2),$D32 &amp; ";","")</f>
        <v/>
      </c>
      <c r="AR32" s="58">
        <f>IF(AND($H32="threat",$S32=0.1,$R32=0.4),$D32 &amp; ";","")</f>
        <v/>
      </c>
      <c r="AS32" s="58">
        <f>IF(AND($H32="threat",$S32=0.1,$R32=0.8),$D32 &amp; ";","")</f>
        <v/>
      </c>
      <c r="AT32" s="39" t="n"/>
      <c r="AU32" s="58">
        <f>IF(AND($H32="opportunity",$S32=0.9,$R32=0.8),$D32 &amp; ";","")</f>
        <v/>
      </c>
      <c r="AV32" s="58">
        <f>IF(AND($H32="opportunity",$S32=0.9,$R32=0.4),$D32 &amp; ";","")</f>
        <v/>
      </c>
      <c r="AW32" s="58">
        <f>IF(AND($H32="opportunity",$S32=0.9,$R32=0.2),$D32 &amp; ";","")</f>
        <v/>
      </c>
      <c r="AX32" s="58">
        <f>IF(AND($H32="opportunity",$S32=0.9,$R32=0.1),$D32 &amp; ";","")</f>
        <v/>
      </c>
      <c r="AY32" s="58">
        <f>IF(AND($H32="opportunity",$S32=0.9,$R32=0.05),$D32 &amp; ";","")</f>
        <v/>
      </c>
      <c r="AZ32" s="58">
        <f>IF(AND($H32="opportunity",$S32=0.7,$R32=0.8),$D32 &amp; ";","")</f>
        <v/>
      </c>
      <c r="BA32" s="58">
        <f>IF(AND($H32="opportunity",$S32=0.7,$R32=0.4),$D32 &amp; ";","")</f>
        <v/>
      </c>
      <c r="BB32" s="58">
        <f>IF(AND($H32="opportunity",$S32=0.7,$R32=0.2),$D32 &amp; ";","")</f>
        <v/>
      </c>
      <c r="BC32" s="58">
        <f>IF(AND($H32="opportunity",$S32=0.7,$R32=0.1),$D32 &amp; ";","")</f>
        <v/>
      </c>
      <c r="BD32" s="58">
        <f>IF(AND($H32="opportunity",$S32=0.7,$R32=0.05),$D32 &amp; ";","")</f>
        <v/>
      </c>
      <c r="BE32" s="58">
        <f>IF(AND($H32="opportunity",$S32=0.5,$R32=0.8),$D32 &amp; ";","")</f>
        <v/>
      </c>
      <c r="BF32" s="58">
        <f>IF(AND($H32="opportunity",$S32=0.5,$R32=0.4),$D32 &amp; ";","")</f>
        <v/>
      </c>
      <c r="BG32" s="58">
        <f>IF(AND($H32="opportunity",$S32=0.5,$R32=0.2),$D32 &amp; ";","")</f>
        <v/>
      </c>
      <c r="BH32" s="58">
        <f>IF(AND($H32="opportunity",$S32=0.5,$R32=0.1),$D32 &amp; ";","")</f>
        <v/>
      </c>
      <c r="BI32" s="58">
        <f>IF(AND($H32="opportunity",$S32=0.5,$R32=0.05),$D32 &amp; ";","")</f>
        <v/>
      </c>
      <c r="BJ32" s="58">
        <f>IF(AND($H32="opportunity",$S32=0.3,$R32=0.8),$D32 &amp; ";","")</f>
        <v/>
      </c>
      <c r="BK32" s="58">
        <f>IF(AND($H32="opportunity",$S32=0.3,$R32=0.4),$D32 &amp; ";","")</f>
        <v/>
      </c>
      <c r="BL32" s="58">
        <f>IF(AND($H32="opportunity",$S32=0.3,$R32=0.2),$D32 &amp; ";","")</f>
        <v/>
      </c>
      <c r="BM32" s="58">
        <f>IF(AND($H32="opportunity",$S32=0.3,$R32=0.1),$D32 &amp; ";","")</f>
        <v/>
      </c>
      <c r="BN32" s="58">
        <f>IF(AND($H32="opportunity",$S32=0.3,$R32=0.05),$D32 &amp; ";","")</f>
        <v/>
      </c>
      <c r="BO32" s="58">
        <f>IF(AND($H32="opportunity",$S32=0.1,$R32=0.8),$D32 &amp; ";","")</f>
        <v/>
      </c>
      <c r="BP32" s="58">
        <f>IF(AND($H32="opportunity",$S32=0.1,$R32=0.4),$D32 &amp; ";","")</f>
        <v/>
      </c>
      <c r="BQ32" s="58">
        <f>IF(AND($H32="opportunity",$S32=0.1,$R32=0.2),$D32 &amp; ";","")</f>
        <v/>
      </c>
      <c r="BR32" s="58">
        <f>IF(AND($H32="opportunity",$S32=0.1,$R32=0.1),$D32 &amp; ";","")</f>
        <v/>
      </c>
      <c r="BS32" s="58">
        <f>IF(AND($H32="opportunity",$S32=0.1,$R32=0.05),$D32 &amp; ";","")</f>
        <v/>
      </c>
      <c r="BV32" s="57">
        <f>INDIRECT(ADDRESS(ROW()-22,COLUMN()-45,1,1,"Risk Register"))</f>
        <v/>
      </c>
      <c r="BW32" s="58">
        <f>INDIRECT(ADDRESS(ROW()-22,COLUMN()-44,1,1,"Risk Register"))</f>
        <v/>
      </c>
      <c r="BX32" s="59">
        <f>IF(AND($H32="threat",$P32&lt;=0.05),"gn",IF(AND($H32="threat",$P32&lt;=0.14),"y",IF(AND($H32="threat", $P32&gt;=0.15),"r",IF(AND($H32="opportunity",$P32&lt;=0.05),"gn",IF(AND($H32="opportunity",$P32&lt;=0.14),"lb",IF(AND($H32="opportunity",$P32&gt;=0.15),"db","z"))))))</f>
        <v/>
      </c>
      <c r="BY32" s="58">
        <f>IF(AND($H32="threat",$BW32=0.9,$BV32=0.05),$D32 &amp; ";","")</f>
        <v/>
      </c>
      <c r="BZ32" s="58">
        <f>IF(AND($H32="threat",$BW32=0.9,$BV32=0.1),$D32 &amp; ";","")</f>
        <v/>
      </c>
      <c r="CA32" s="58">
        <f>IF(AND($H32="threat",$BW32=0.9,$BV32=0.2),$D32 &amp; ";","")</f>
        <v/>
      </c>
      <c r="CB32" s="58">
        <f>IF(AND($H32="threat",$BW32=0.9,$BV32=0.4),$D32 &amp; ";","")</f>
        <v/>
      </c>
      <c r="CC32" s="58">
        <f>IF(AND($H32="threat",$BW32=0.9,$BV32=0.8),$D32 &amp; ";","")</f>
        <v/>
      </c>
      <c r="CD32" s="58">
        <f>IF(AND($H32="threat",$BW32=0.7,$BV32=0.05),$D32 &amp; ";","")</f>
        <v/>
      </c>
      <c r="CE32" s="58">
        <f>IF(AND($H32="threat",$BW32=0.7,$BV32=0.1),$D32 &amp; ";","")</f>
        <v/>
      </c>
      <c r="CF32" s="58">
        <f>IF(AND($H32="threat",$BW32=0.7,$BV32=0.2),$D32 &amp; ";","")</f>
        <v/>
      </c>
      <c r="CG32" s="58">
        <f>IF(AND($H32="threat",$BW32=0.7,$BV32=0.4),$D32 &amp; ";","")</f>
        <v/>
      </c>
      <c r="CH32" s="58">
        <f>IF(AND($H32="threat",$BW32=0.7,$BV32=0.8),$D32 &amp; ";","")</f>
        <v/>
      </c>
      <c r="CI32" s="58">
        <f>IF(AND($H32="threat",$BW32=0.5,$BV32=0.05),$D32 &amp; ";","")</f>
        <v/>
      </c>
      <c r="CJ32" s="58">
        <f>IF(AND($H32="threat",$BW32=0.5,$BV32=0.1),$D32 &amp; ";","")</f>
        <v/>
      </c>
      <c r="CK32" s="58">
        <f>IF(AND($H32="threat",$BW32=0.5,$BV32=0.2),$D32 &amp; ";","")</f>
        <v/>
      </c>
      <c r="CL32" s="58">
        <f>IF(AND($H32="threat",$BW32=0.5,$BV32=0.4),$D32 &amp; ";","")</f>
        <v/>
      </c>
      <c r="CM32" s="58">
        <f>IF(AND($H32="threat",$BW32=0.5,$BV32=0.8),$D32 &amp; ";","")</f>
        <v/>
      </c>
      <c r="CN32" s="58">
        <f>IF(AND($H32="threat",$BW32=0.3,$BV32=0.05),$D32 &amp; ";","")</f>
        <v/>
      </c>
      <c r="CO32" s="58">
        <f>IF(AND($H32="threat",$BW32=0.3,$BV32=0.1),$D32 &amp; ";","")</f>
        <v/>
      </c>
      <c r="CP32" s="58">
        <f>IF(AND($H32="threat",$BW32=0.3,$BV32=0.2),$D32 &amp; ";","")</f>
        <v/>
      </c>
      <c r="CQ32" s="58">
        <f>IF(AND($H32="threat",$BW32=0.3,$BV32=0.4),$D32 &amp; ";","")</f>
        <v/>
      </c>
      <c r="CR32" s="58">
        <f>IF(AND($H32="threat",$BW32=0.3,$BV32=0.8),$D32 &amp; ";","")</f>
        <v/>
      </c>
      <c r="CS32" s="58">
        <f>IF(AND($H32="threat",$BW32=0.1,$BV32=0.05),$D32 &amp; ";","")</f>
        <v/>
      </c>
      <c r="CT32" s="58">
        <f>IF(AND($H32="threat",$BW32=0.1,$BV32=0.1),$D32 &amp; ";","")</f>
        <v/>
      </c>
      <c r="CU32" s="58">
        <f>IF(AND($H32="threat",$BW32=0.1,$BV32=0.2),$D32 &amp; ";","")</f>
        <v/>
      </c>
      <c r="CV32" s="58">
        <f>IF(AND($H32="threat",$BW32=0.1,$BV32=0.4),$D32 &amp; ";","")</f>
        <v/>
      </c>
      <c r="CW32" s="58">
        <f>IF(AND($H32="threat",$BW32=0.1,$BV32=0.8),$D32 &amp; ";","")</f>
        <v/>
      </c>
      <c r="CX32" s="39" t="n"/>
      <c r="CY32" s="58">
        <f>IF(AND($H32="opportunity",$BW32=0.9,$BV32=0.8),$D32 &amp; ";","")</f>
        <v/>
      </c>
      <c r="CZ32" s="58">
        <f>IF(AND($H32="opportunity",$BW32=0.9,$BV32=0.4),$D32 &amp; ";","")</f>
        <v/>
      </c>
      <c r="DA32" s="58">
        <f>IF(AND($H32="opportunity",$BW32=0.9,$BV32=0.2),$D32 &amp; ";","")</f>
        <v/>
      </c>
      <c r="DB32" s="58">
        <f>IF(AND($H32="opportunity",$BW32=0.9,$BV32=0.1),$D32 &amp; ";","")</f>
        <v/>
      </c>
      <c r="DC32" s="58">
        <f>IF(AND($H32="opportunity",$BW32=0.9,$BV32=0.05),$D32 &amp; ";","")</f>
        <v/>
      </c>
      <c r="DD32" s="58">
        <f>IF(AND($H32="opportunity",$BW32=0.7,$BV32=0.8),$D32 &amp; ";","")</f>
        <v/>
      </c>
      <c r="DE32" s="58">
        <f>IF(AND($H32="opportunity",$BW32=0.7,$BV32=0.4),$D32 &amp; ";","")</f>
        <v/>
      </c>
      <c r="DF32" s="58">
        <f>IF(AND($H32="opportunity",$BW32=0.7,$BV32=0.2),$D32 &amp; ";","")</f>
        <v/>
      </c>
      <c r="DG32" s="58">
        <f>IF(AND($H32="opportunity",$BW32=0.7,$BV32=0.1),$D32 &amp; ";","")</f>
        <v/>
      </c>
      <c r="DH32" s="58">
        <f>IF(AND($H32="opportunity",$BW32=0.7,$BV32=0.05),$D32 &amp; ";","")</f>
        <v/>
      </c>
      <c r="DI32" s="58">
        <f>IF(AND($H32="opportunity",$BW32=0.5,$BV32=0.8),$D32 &amp; ";","")</f>
        <v/>
      </c>
      <c r="DJ32" s="58">
        <f>IF(AND($H32="opportunity",$BW32=0.5,$BV32=0.4),$D32 &amp; ";","")</f>
        <v/>
      </c>
      <c r="DK32" s="58">
        <f>IF(AND($H32="opportunity",$BW32=0.5,$BV32=0.2),$D32 &amp; ";","")</f>
        <v/>
      </c>
      <c r="DL32" s="58">
        <f>IF(AND($H32="opportunity",$BW32=0.5,$BV32=0.1),$D32 &amp; ";","")</f>
        <v/>
      </c>
      <c r="DM32" s="58">
        <f>IF(AND($H32="opportunity",$BW32=0.5,$BV32=0.05),$D32 &amp; ";","")</f>
        <v/>
      </c>
      <c r="DN32" s="58">
        <f>IF(AND($H32="opportunity",$BW32=0.3,$BV32=0.8),$D32 &amp; ";","")</f>
        <v/>
      </c>
      <c r="DO32" s="58">
        <f>IF(AND($H32="opportunity",$BW32=0.3,$BV32=0.4),$D32 &amp; ";","")</f>
        <v/>
      </c>
      <c r="DP32" s="58">
        <f>IF(AND($H32="opportunity",$BW32=0.3,$BV32=0.2),$D32 &amp; ";","")</f>
        <v/>
      </c>
      <c r="DQ32" s="58">
        <f>IF(AND($H32="opportunity",$BW32=0.3,$BV32=0.1),$D32 &amp; ";","")</f>
        <v/>
      </c>
      <c r="DR32" s="58">
        <f>IF(AND($H32="opportunity",$BW32=0.3,$BV32=0.05),$D32 &amp; ";","")</f>
        <v/>
      </c>
      <c r="DS32" s="58">
        <f>IF(AND($H32="opportunity",$BW32=0.1,$BV32=0.8),$D32 &amp; ";","")</f>
        <v/>
      </c>
      <c r="DT32" s="58">
        <f>IF(AND($H32="opportunity",$BW32=0.1,$BV32=0.4),$D32 &amp; ";","")</f>
        <v/>
      </c>
      <c r="DU32" s="58">
        <f>IF(AND($H32="opportunity",$BW32=0.1,$BV32=0.2),$D32 &amp; ";","")</f>
        <v/>
      </c>
      <c r="DV32" s="58">
        <f>IF(AND($H32="opportunity",$BW32=0.1,$BV32=0.1),$D32 &amp; ";","")</f>
        <v/>
      </c>
      <c r="DW32" s="58">
        <f>IF(AND($H32="opportunity",$BW32=0.1,$BV32=0.05),$D32 &amp; ";","")</f>
        <v/>
      </c>
    </row>
    <row r="33" ht="12.75" customHeight="1">
      <c r="D33" s="143">
        <f>INDIRECT(ADDRESS(ROW()-22,COLUMN()-2,1,1,"Risk Register"))</f>
        <v/>
      </c>
      <c r="E33" s="143">
        <f>INDIRECT(ADDRESS(ROW()-22,COLUMN()-1,1,1,"Risk Register"))</f>
        <v/>
      </c>
      <c r="G33" s="56">
        <f>INDIRECT(ADDRESS(ROW()-22,COLUMN()+10,1,1,"Risk Register"))</f>
        <v/>
      </c>
      <c r="H33" s="60">
        <f>INDIRECT(ADDRESS(ROW()-22,COLUMN()+8,1,1,"Risk Register"))</f>
        <v/>
      </c>
      <c r="I33" s="54">
        <f>INDIRECT(ADDRESS(ROW()-22,COLUMN()+3,1,1,"Risk Register"))</f>
        <v/>
      </c>
      <c r="J33" s="143">
        <f>INDIRECT(ADDRESS(ROW()-22,COLUMN()+12,1,1,"Risk Register"))</f>
        <v/>
      </c>
      <c r="K33" s="143">
        <f>INDIRECT(ADDRESS(ROW()-22,COLUMN()-2,1,1,"Risk Register"))</f>
        <v/>
      </c>
      <c r="L33" s="176">
        <f>INDIRECT(ADDRESS(ROW()-22,COLUMN()+15,1,1,"Risk Register"))</f>
        <v/>
      </c>
      <c r="M33" s="54">
        <f>INDIRECT(ADDRESS(ROW()-22,COLUMN()+13,1,1,"Risk Register"))</f>
        <v/>
      </c>
      <c r="N33" s="143">
        <f>INDIRECT(ADDRESS(ROW()-22,COLUMN()-9,1,1,"Risk Register"))</f>
        <v/>
      </c>
      <c r="O33" s="143">
        <f>INDIRECT(ADDRESS(ROW()-22,COLUMN()-8,1,1,"Risk Register"))</f>
        <v/>
      </c>
      <c r="P33" s="56">
        <f>INDIRECT(ADDRESS(ROW()-22,COLUMN()+18,1,1,"Risk Register"))</f>
        <v/>
      </c>
      <c r="R33" s="57">
        <f>INDIRECT(ADDRESS(ROW()-22,COLUMN()-5,1,1,"Risk Register"))</f>
        <v/>
      </c>
      <c r="S33" s="58">
        <f>INDIRECT(ADDRESS(ROW()-22,COLUMN()-4,1,1,"Risk Register"))</f>
        <v/>
      </c>
      <c r="T33" s="59">
        <f>IF(AND($H33="threat",$G33&lt;=0.05),"gn",IF(AND($H33="threat",$G33&lt;=0.14),"y",IF(AND($H33="threat", $G33&gt;=0.15),"r",IF(AND($H33="opportunity",$G33&lt;=0.05),"gn",IF(AND($H33="opportunity",$G33&lt;=0.14),"lb",IF(AND($H33="opportunity",$G33&gt;=0.15),"db","z"))))))</f>
        <v/>
      </c>
      <c r="U33" s="58">
        <f>IF(AND($H33="threat",$S33=0.9,$R33=0.05),$D33 &amp; ";","")</f>
        <v/>
      </c>
      <c r="V33" s="58">
        <f>IF(AND($H33="threat",$S33=0.9,$R33=0.1),$D33 &amp; ";","")</f>
        <v/>
      </c>
      <c r="W33" s="58">
        <f>IF(AND($H33="threat",$S33=0.9,$R33=0.2),$D33 &amp; ";","")</f>
        <v/>
      </c>
      <c r="X33" s="58">
        <f>IF(AND($H33="threat",$S33=0.9,$R33=0.4),$D33 &amp; ";","")</f>
        <v/>
      </c>
      <c r="Y33" s="58">
        <f>IF(AND($H33="threat",$S33=0.9,$R33=0.8),$D33 &amp; ";","")</f>
        <v/>
      </c>
      <c r="Z33" s="58">
        <f>IF(AND($H33="threat",$S33=0.7,$R33=0.05),$D33 &amp; ";","")</f>
        <v/>
      </c>
      <c r="AA33" s="58">
        <f>IF(AND($H33="threat",$S33=0.7,$R33=0.1),$D33 &amp; ";","")</f>
        <v/>
      </c>
      <c r="AB33" s="58">
        <f>IF(AND($H33="threat",$S33=0.7,$R33=0.2),$D33 &amp; ";","")</f>
        <v/>
      </c>
      <c r="AC33" s="58">
        <f>IF(AND($H33="threat",$S33=0.7,$R33=0.4),$D33 &amp; ";","")</f>
        <v/>
      </c>
      <c r="AD33" s="58">
        <f>IF(AND($H33="threat",$S33=0.7,$R33=0.8),$D33 &amp; ";","")</f>
        <v/>
      </c>
      <c r="AE33" s="58">
        <f>IF(AND($H33="threat",$S33=0.5,$R33=0.05),$D33 &amp; ";","")</f>
        <v/>
      </c>
      <c r="AF33" s="58">
        <f>IF(AND($H33="threat",$S33=0.5,$R33=0.1),$D33 &amp; ";","")</f>
        <v/>
      </c>
      <c r="AG33" s="58">
        <f>IF(AND($H33="threat",$S33=0.5,$R33=0.2),$D33 &amp; ";","")</f>
        <v/>
      </c>
      <c r="AH33" s="58">
        <f>IF(AND($H33="threat",$S33=0.5,$R33=0.4),$D33 &amp; ";","")</f>
        <v/>
      </c>
      <c r="AI33" s="58">
        <f>IF(AND($H33="threat",$S33=0.5,$R33=0.8),$D33 &amp; ";","")</f>
        <v/>
      </c>
      <c r="AJ33" s="58">
        <f>IF(AND($H33="threat",$S33=0.3,$R33=0.05),$D33 &amp; ";","")</f>
        <v/>
      </c>
      <c r="AK33" s="58">
        <f>IF(AND($H33="threat",$S33=0.3,$R33=0.1),$D33 &amp; ";","")</f>
        <v/>
      </c>
      <c r="AL33" s="58">
        <f>IF(AND($H33="threat",$S33=0.3,$R33=0.2),$D33 &amp; ";","")</f>
        <v/>
      </c>
      <c r="AM33" s="58">
        <f>IF(AND($H33="threat",$S33=0.3,$R33=0.4),$D33 &amp; ";","")</f>
        <v/>
      </c>
      <c r="AN33" s="58">
        <f>IF(AND($H33="threat",$S33=0.3,$R33=0.8),$D33 &amp; ";","")</f>
        <v/>
      </c>
      <c r="AO33" s="58">
        <f>IF(AND($H33="threat",$S33=0.1,$R33=0.05),$D33 &amp; ";","")</f>
        <v/>
      </c>
      <c r="AP33" s="58">
        <f>IF(AND($H33="threat",$S33=0.1,$R33=0.1),$D33 &amp; ";","")</f>
        <v/>
      </c>
      <c r="AQ33" s="58">
        <f>IF(AND($H33="threat",$S33=0.1,$R33=0.2),$D33 &amp; ";","")</f>
        <v/>
      </c>
      <c r="AR33" s="58">
        <f>IF(AND($H33="threat",$S33=0.1,$R33=0.4),$D33 &amp; ";","")</f>
        <v/>
      </c>
      <c r="AS33" s="58">
        <f>IF(AND($H33="threat",$S33=0.1,$R33=0.8),$D33 &amp; ";","")</f>
        <v/>
      </c>
      <c r="AT33" s="39" t="n"/>
      <c r="AU33" s="58">
        <f>IF(AND($H33="opportunity",$S33=0.9,$R33=0.8),$D33 &amp; ";","")</f>
        <v/>
      </c>
      <c r="AV33" s="58">
        <f>IF(AND($H33="opportunity",$S33=0.9,$R33=0.4),$D33 &amp; ";","")</f>
        <v/>
      </c>
      <c r="AW33" s="58">
        <f>IF(AND($H33="opportunity",$S33=0.9,$R33=0.2),$D33 &amp; ";","")</f>
        <v/>
      </c>
      <c r="AX33" s="58">
        <f>IF(AND($H33="opportunity",$S33=0.9,$R33=0.1),$D33 &amp; ";","")</f>
        <v/>
      </c>
      <c r="AY33" s="58">
        <f>IF(AND($H33="opportunity",$S33=0.9,$R33=0.05),$D33 &amp; ";","")</f>
        <v/>
      </c>
      <c r="AZ33" s="58">
        <f>IF(AND($H33="opportunity",$S33=0.7,$R33=0.8),$D33 &amp; ";","")</f>
        <v/>
      </c>
      <c r="BA33" s="58">
        <f>IF(AND($H33="opportunity",$S33=0.7,$R33=0.4),$D33 &amp; ";","")</f>
        <v/>
      </c>
      <c r="BB33" s="58">
        <f>IF(AND($H33="opportunity",$S33=0.7,$R33=0.2),$D33 &amp; ";","")</f>
        <v/>
      </c>
      <c r="BC33" s="58">
        <f>IF(AND($H33="opportunity",$S33=0.7,$R33=0.1),$D33 &amp; ";","")</f>
        <v/>
      </c>
      <c r="BD33" s="58">
        <f>IF(AND($H33="opportunity",$S33=0.7,$R33=0.05),$D33 &amp; ";","")</f>
        <v/>
      </c>
      <c r="BE33" s="58">
        <f>IF(AND($H33="opportunity",$S33=0.5,$R33=0.8),$D33 &amp; ";","")</f>
        <v/>
      </c>
      <c r="BF33" s="58">
        <f>IF(AND($H33="opportunity",$S33=0.5,$R33=0.4),$D33 &amp; ";","")</f>
        <v/>
      </c>
      <c r="BG33" s="58">
        <f>IF(AND($H33="opportunity",$S33=0.5,$R33=0.2),$D33 &amp; ";","")</f>
        <v/>
      </c>
      <c r="BH33" s="58">
        <f>IF(AND($H33="opportunity",$S33=0.5,$R33=0.1),$D33 &amp; ";","")</f>
        <v/>
      </c>
      <c r="BI33" s="58">
        <f>IF(AND($H33="opportunity",$S33=0.5,$R33=0.05),$D33 &amp; ";","")</f>
        <v/>
      </c>
      <c r="BJ33" s="58">
        <f>IF(AND($H33="opportunity",$S33=0.3,$R33=0.8),$D33 &amp; ";","")</f>
        <v/>
      </c>
      <c r="BK33" s="58">
        <f>IF(AND($H33="opportunity",$S33=0.3,$R33=0.4),$D33 &amp; ";","")</f>
        <v/>
      </c>
      <c r="BL33" s="58">
        <f>IF(AND($H33="opportunity",$S33=0.3,$R33=0.2),$D33 &amp; ";","")</f>
        <v/>
      </c>
      <c r="BM33" s="58">
        <f>IF(AND($H33="opportunity",$S33=0.3,$R33=0.1),$D33 &amp; ";","")</f>
        <v/>
      </c>
      <c r="BN33" s="58">
        <f>IF(AND($H33="opportunity",$S33=0.3,$R33=0.05),$D33 &amp; ";","")</f>
        <v/>
      </c>
      <c r="BO33" s="58">
        <f>IF(AND($H33="opportunity",$S33=0.1,$R33=0.8),$D33 &amp; ";","")</f>
        <v/>
      </c>
      <c r="BP33" s="58">
        <f>IF(AND($H33="opportunity",$S33=0.1,$R33=0.4),$D33 &amp; ";","")</f>
        <v/>
      </c>
      <c r="BQ33" s="58">
        <f>IF(AND($H33="opportunity",$S33=0.1,$R33=0.2),$D33 &amp; ";","")</f>
        <v/>
      </c>
      <c r="BR33" s="58">
        <f>IF(AND($H33="opportunity",$S33=0.1,$R33=0.1),$D33 &amp; ";","")</f>
        <v/>
      </c>
      <c r="BS33" s="58">
        <f>IF(AND($H33="opportunity",$S33=0.1,$R33=0.05),$D33 &amp; ";","")</f>
        <v/>
      </c>
      <c r="BV33" s="57">
        <f>INDIRECT(ADDRESS(ROW()-22,COLUMN()-45,1,1,"Risk Register"))</f>
        <v/>
      </c>
      <c r="BW33" s="58">
        <f>INDIRECT(ADDRESS(ROW()-22,COLUMN()-44,1,1,"Risk Register"))</f>
        <v/>
      </c>
      <c r="BX33" s="59">
        <f>IF(AND($H33="threat",$P33&lt;=0.05),"gn",IF(AND($H33="threat",$P33&lt;=0.14),"y",IF(AND($H33="threat", $P33&gt;=0.15),"r",IF(AND($H33="opportunity",$P33&lt;=0.05),"gn",IF(AND($H33="opportunity",$P33&lt;=0.14),"lb",IF(AND($H33="opportunity",$P33&gt;=0.15),"db","z"))))))</f>
        <v/>
      </c>
      <c r="BY33" s="58">
        <f>IF(AND($H33="threat",$BW33=0.9,$BV33=0.05),$D33 &amp; ";","")</f>
        <v/>
      </c>
      <c r="BZ33" s="58">
        <f>IF(AND($H33="threat",$BW33=0.9,$BV33=0.1),$D33 &amp; ";","")</f>
        <v/>
      </c>
      <c r="CA33" s="58">
        <f>IF(AND($H33="threat",$BW33=0.9,$BV33=0.2),$D33 &amp; ";","")</f>
        <v/>
      </c>
      <c r="CB33" s="58">
        <f>IF(AND($H33="threat",$BW33=0.9,$BV33=0.4),$D33 &amp; ";","")</f>
        <v/>
      </c>
      <c r="CC33" s="58">
        <f>IF(AND($H33="threat",$BW33=0.9,$BV33=0.8),$D33 &amp; ";","")</f>
        <v/>
      </c>
      <c r="CD33" s="58">
        <f>IF(AND($H33="threat",$BW33=0.7,$BV33=0.05),$D33 &amp; ";","")</f>
        <v/>
      </c>
      <c r="CE33" s="58">
        <f>IF(AND($H33="threat",$BW33=0.7,$BV33=0.1),$D33 &amp; ";","")</f>
        <v/>
      </c>
      <c r="CF33" s="58">
        <f>IF(AND($H33="threat",$BW33=0.7,$BV33=0.2),$D33 &amp; ";","")</f>
        <v/>
      </c>
      <c r="CG33" s="58">
        <f>IF(AND($H33="threat",$BW33=0.7,$BV33=0.4),$D33 &amp; ";","")</f>
        <v/>
      </c>
      <c r="CH33" s="58">
        <f>IF(AND($H33="threat",$BW33=0.7,$BV33=0.8),$D33 &amp; ";","")</f>
        <v/>
      </c>
      <c r="CI33" s="58">
        <f>IF(AND($H33="threat",$BW33=0.5,$BV33=0.05),$D33 &amp; ";","")</f>
        <v/>
      </c>
      <c r="CJ33" s="58">
        <f>IF(AND($H33="threat",$BW33=0.5,$BV33=0.1),$D33 &amp; ";","")</f>
        <v/>
      </c>
      <c r="CK33" s="58">
        <f>IF(AND($H33="threat",$BW33=0.5,$BV33=0.2),$D33 &amp; ";","")</f>
        <v/>
      </c>
      <c r="CL33" s="58">
        <f>IF(AND($H33="threat",$BW33=0.5,$BV33=0.4),$D33 &amp; ";","")</f>
        <v/>
      </c>
      <c r="CM33" s="58">
        <f>IF(AND($H33="threat",$BW33=0.5,$BV33=0.8),$D33 &amp; ";","")</f>
        <v/>
      </c>
      <c r="CN33" s="58">
        <f>IF(AND($H33="threat",$BW33=0.3,$BV33=0.05),$D33 &amp; ";","")</f>
        <v/>
      </c>
      <c r="CO33" s="58">
        <f>IF(AND($H33="threat",$BW33=0.3,$BV33=0.1),$D33 &amp; ";","")</f>
        <v/>
      </c>
      <c r="CP33" s="58">
        <f>IF(AND($H33="threat",$BW33=0.3,$BV33=0.2),$D33 &amp; ";","")</f>
        <v/>
      </c>
      <c r="CQ33" s="58">
        <f>IF(AND($H33="threat",$BW33=0.3,$BV33=0.4),$D33 &amp; ";","")</f>
        <v/>
      </c>
      <c r="CR33" s="58">
        <f>IF(AND($H33="threat",$BW33=0.3,$BV33=0.8),$D33 &amp; ";","")</f>
        <v/>
      </c>
      <c r="CS33" s="58">
        <f>IF(AND($H33="threat",$BW33=0.1,$BV33=0.05),$D33 &amp; ";","")</f>
        <v/>
      </c>
      <c r="CT33" s="58">
        <f>IF(AND($H33="threat",$BW33=0.1,$BV33=0.1),$D33 &amp; ";","")</f>
        <v/>
      </c>
      <c r="CU33" s="58">
        <f>IF(AND($H33="threat",$BW33=0.1,$BV33=0.2),$D33 &amp; ";","")</f>
        <v/>
      </c>
      <c r="CV33" s="58">
        <f>IF(AND($H33="threat",$BW33=0.1,$BV33=0.4),$D33 &amp; ";","")</f>
        <v/>
      </c>
      <c r="CW33" s="58">
        <f>IF(AND($H33="threat",$BW33=0.1,$BV33=0.8),$D33 &amp; ";","")</f>
        <v/>
      </c>
      <c r="CX33" s="39" t="n"/>
      <c r="CY33" s="58">
        <f>IF(AND($H33="opportunity",$BW33=0.9,$BV33=0.8),$D33 &amp; ";","")</f>
        <v/>
      </c>
      <c r="CZ33" s="58">
        <f>IF(AND($H33="opportunity",$BW33=0.9,$BV33=0.4),$D33 &amp; ";","")</f>
        <v/>
      </c>
      <c r="DA33" s="58">
        <f>IF(AND($H33="opportunity",$BW33=0.9,$BV33=0.2),$D33 &amp; ";","")</f>
        <v/>
      </c>
      <c r="DB33" s="58">
        <f>IF(AND($H33="opportunity",$BW33=0.9,$BV33=0.1),$D33 &amp; ";","")</f>
        <v/>
      </c>
      <c r="DC33" s="58">
        <f>IF(AND($H33="opportunity",$BW33=0.9,$BV33=0.05),$D33 &amp; ";","")</f>
        <v/>
      </c>
      <c r="DD33" s="58">
        <f>IF(AND($H33="opportunity",$BW33=0.7,$BV33=0.8),$D33 &amp; ";","")</f>
        <v/>
      </c>
      <c r="DE33" s="58">
        <f>IF(AND($H33="opportunity",$BW33=0.7,$BV33=0.4),$D33 &amp; ";","")</f>
        <v/>
      </c>
      <c r="DF33" s="58">
        <f>IF(AND($H33="opportunity",$BW33=0.7,$BV33=0.2),$D33 &amp; ";","")</f>
        <v/>
      </c>
      <c r="DG33" s="58">
        <f>IF(AND($H33="opportunity",$BW33=0.7,$BV33=0.1),$D33 &amp; ";","")</f>
        <v/>
      </c>
      <c r="DH33" s="58">
        <f>IF(AND($H33="opportunity",$BW33=0.7,$BV33=0.05),$D33 &amp; ";","")</f>
        <v/>
      </c>
      <c r="DI33" s="58">
        <f>IF(AND($H33="opportunity",$BW33=0.5,$BV33=0.8),$D33 &amp; ";","")</f>
        <v/>
      </c>
      <c r="DJ33" s="58">
        <f>IF(AND($H33="opportunity",$BW33=0.5,$BV33=0.4),$D33 &amp; ";","")</f>
        <v/>
      </c>
      <c r="DK33" s="58">
        <f>IF(AND($H33="opportunity",$BW33=0.5,$BV33=0.2),$D33 &amp; ";","")</f>
        <v/>
      </c>
      <c r="DL33" s="58">
        <f>IF(AND($H33="opportunity",$BW33=0.5,$BV33=0.1),$D33 &amp; ";","")</f>
        <v/>
      </c>
      <c r="DM33" s="58">
        <f>IF(AND($H33="opportunity",$BW33=0.5,$BV33=0.05),$D33 &amp; ";","")</f>
        <v/>
      </c>
      <c r="DN33" s="58">
        <f>IF(AND($H33="opportunity",$BW33=0.3,$BV33=0.8),$D33 &amp; ";","")</f>
        <v/>
      </c>
      <c r="DO33" s="58">
        <f>IF(AND($H33="opportunity",$BW33=0.3,$BV33=0.4),$D33 &amp; ";","")</f>
        <v/>
      </c>
      <c r="DP33" s="58">
        <f>IF(AND($H33="opportunity",$BW33=0.3,$BV33=0.2),$D33 &amp; ";","")</f>
        <v/>
      </c>
      <c r="DQ33" s="58">
        <f>IF(AND($H33="opportunity",$BW33=0.3,$BV33=0.1),$D33 &amp; ";","")</f>
        <v/>
      </c>
      <c r="DR33" s="58">
        <f>IF(AND($H33="opportunity",$BW33=0.3,$BV33=0.05),$D33 &amp; ";","")</f>
        <v/>
      </c>
      <c r="DS33" s="58">
        <f>IF(AND($H33="opportunity",$BW33=0.1,$BV33=0.8),$D33 &amp; ";","")</f>
        <v/>
      </c>
      <c r="DT33" s="58">
        <f>IF(AND($H33="opportunity",$BW33=0.1,$BV33=0.4),$D33 &amp; ";","")</f>
        <v/>
      </c>
      <c r="DU33" s="58">
        <f>IF(AND($H33="opportunity",$BW33=0.1,$BV33=0.2),$D33 &amp; ";","")</f>
        <v/>
      </c>
      <c r="DV33" s="58">
        <f>IF(AND($H33="opportunity",$BW33=0.1,$BV33=0.1),$D33 &amp; ";","")</f>
        <v/>
      </c>
      <c r="DW33" s="58">
        <f>IF(AND($H33="opportunity",$BW33=0.1,$BV33=0.05),$D33 &amp; ";","")</f>
        <v/>
      </c>
    </row>
    <row r="34" ht="31.2" customHeight="1">
      <c r="D34" s="143">
        <f>INDIRECT(ADDRESS(ROW()-22,COLUMN()-2,1,1,"Risk Register"))</f>
        <v/>
      </c>
      <c r="E34" s="143">
        <f>INDIRECT(ADDRESS(ROW()-22,COLUMN()-1,1,1,"Risk Register"))</f>
        <v/>
      </c>
      <c r="G34" s="56">
        <f>INDIRECT(ADDRESS(ROW()-22,COLUMN()+10,1,1,"Risk Register"))</f>
        <v/>
      </c>
      <c r="H34" s="60">
        <f>INDIRECT(ADDRESS(ROW()-22,COLUMN()+8,1,1,"Risk Register"))</f>
        <v/>
      </c>
      <c r="I34" s="54">
        <f>INDIRECT(ADDRESS(ROW()-22,COLUMN()+3,1,1,"Risk Register"))</f>
        <v/>
      </c>
      <c r="J34" s="143">
        <f>INDIRECT(ADDRESS(ROW()-22,COLUMN()+12,1,1,"Risk Register"))</f>
        <v/>
      </c>
      <c r="K34" s="143">
        <f>INDIRECT(ADDRESS(ROW()-22,COLUMN()-2,1,1,"Risk Register"))</f>
        <v/>
      </c>
      <c r="L34" s="176">
        <f>INDIRECT(ADDRESS(ROW()-22,COLUMN()+15,1,1,"Risk Register"))</f>
        <v/>
      </c>
      <c r="M34" s="54">
        <f>INDIRECT(ADDRESS(ROW()-22,COLUMN()+13,1,1,"Risk Register"))</f>
        <v/>
      </c>
      <c r="N34" s="143">
        <f>INDIRECT(ADDRESS(ROW()-22,COLUMN()-9,1,1,"Risk Register"))</f>
        <v/>
      </c>
      <c r="O34" s="143">
        <f>INDIRECT(ADDRESS(ROW()-22,COLUMN()-8,1,1,"Risk Register"))</f>
        <v/>
      </c>
      <c r="P34" s="56">
        <f>INDIRECT(ADDRESS(ROW()-22,COLUMN()+18,1,1,"Risk Register"))</f>
        <v/>
      </c>
      <c r="R34" s="57">
        <f>INDIRECT(ADDRESS(ROW()-22,COLUMN()-5,1,1,"Risk Register"))</f>
        <v/>
      </c>
      <c r="S34" s="58">
        <f>INDIRECT(ADDRESS(ROW()-22,COLUMN()-4,1,1,"Risk Register"))</f>
        <v/>
      </c>
      <c r="T34" s="59">
        <f>IF(AND($H34="threat",$G34&lt;=0.05),"gn",IF(AND($H34="threat",$G34&lt;=0.14),"y",IF(AND($H34="threat", $G34&gt;=0.15),"r",IF(AND($H34="opportunity",$G34&lt;=0.05),"gn",IF(AND($H34="opportunity",$G34&lt;=0.14),"lb",IF(AND($H34="opportunity",$G34&gt;=0.15),"db","z"))))))</f>
        <v/>
      </c>
      <c r="U34" s="58">
        <f>IF(AND($H34="threat",$S34=0.9,$R34=0.05),$D34 &amp; ";","")</f>
        <v/>
      </c>
      <c r="V34" s="58">
        <f>IF(AND($H34="threat",$S34=0.9,$R34=0.1),$D34 &amp; ";","")</f>
        <v/>
      </c>
      <c r="W34" s="58">
        <f>IF(AND($H34="threat",$S34=0.9,$R34=0.2),$D34 &amp; ";","")</f>
        <v/>
      </c>
      <c r="X34" s="58">
        <f>IF(AND($H34="threat",$S34=0.9,$R34=0.4),$D34 &amp; ";","")</f>
        <v/>
      </c>
      <c r="Y34" s="58">
        <f>IF(AND($H34="threat",$S34=0.9,$R34=0.8),$D34 &amp; ";","")</f>
        <v/>
      </c>
      <c r="Z34" s="58">
        <f>IF(AND($H34="threat",$S34=0.7,$R34=0.05),$D34 &amp; ";","")</f>
        <v/>
      </c>
      <c r="AA34" s="58">
        <f>IF(AND($H34="threat",$S34=0.7,$R34=0.1),$D34 &amp; ";","")</f>
        <v/>
      </c>
      <c r="AB34" s="58">
        <f>IF(AND($H34="threat",$S34=0.7,$R34=0.2),$D34 &amp; ";","")</f>
        <v/>
      </c>
      <c r="AC34" s="58">
        <f>IF(AND($H34="threat",$S34=0.7,$R34=0.4),$D34 &amp; ";","")</f>
        <v/>
      </c>
      <c r="AD34" s="58">
        <f>IF(AND($H34="threat",$S34=0.7,$R34=0.8),$D34 &amp; ";","")</f>
        <v/>
      </c>
      <c r="AE34" s="58">
        <f>IF(AND($H34="threat",$S34=0.5,$R34=0.05),$D34 &amp; ";","")</f>
        <v/>
      </c>
      <c r="AF34" s="58">
        <f>IF(AND($H34="threat",$S34=0.5,$R34=0.1),$D34 &amp; ";","")</f>
        <v/>
      </c>
      <c r="AG34" s="58">
        <f>IF(AND($H34="threat",$S34=0.5,$R34=0.2),$D34 &amp; ";","")</f>
        <v/>
      </c>
      <c r="AH34" s="58">
        <f>IF(AND($H34="threat",$S34=0.5,$R34=0.4),$D34 &amp; ";","")</f>
        <v/>
      </c>
      <c r="AI34" s="58">
        <f>IF(AND($H34="threat",$S34=0.5,$R34=0.8),$D34 &amp; ";","")</f>
        <v/>
      </c>
      <c r="AJ34" s="58">
        <f>IF(AND($H34="threat",$S34=0.3,$R34=0.05),$D34 &amp; ";","")</f>
        <v/>
      </c>
      <c r="AK34" s="58">
        <f>IF(AND($H34="threat",$S34=0.3,$R34=0.1),$D34 &amp; ";","")</f>
        <v/>
      </c>
      <c r="AL34" s="58">
        <f>IF(AND($H34="threat",$S34=0.3,$R34=0.2),$D34 &amp; ";","")</f>
        <v/>
      </c>
      <c r="AM34" s="58">
        <f>IF(AND($H34="threat",$S34=0.3,$R34=0.4),$D34 &amp; ";","")</f>
        <v/>
      </c>
      <c r="AN34" s="58">
        <f>IF(AND($H34="threat",$S34=0.3,$R34=0.8),$D34 &amp; ";","")</f>
        <v/>
      </c>
      <c r="AO34" s="58">
        <f>IF(AND($H34="threat",$S34=0.1,$R34=0.05),$D34 &amp; ";","")</f>
        <v/>
      </c>
      <c r="AP34" s="58">
        <f>IF(AND($H34="threat",$S34=0.1,$R34=0.1),$D34 &amp; ";","")</f>
        <v/>
      </c>
      <c r="AQ34" s="58">
        <f>IF(AND($H34="threat",$S34=0.1,$R34=0.2),$D34 &amp; ";","")</f>
        <v/>
      </c>
      <c r="AR34" s="58">
        <f>IF(AND($H34="threat",$S34=0.1,$R34=0.4),$D34 &amp; ";","")</f>
        <v/>
      </c>
      <c r="AS34" s="58">
        <f>IF(AND($H34="threat",$S34=0.1,$R34=0.8),$D34 &amp; ";","")</f>
        <v/>
      </c>
      <c r="AT34" s="39" t="n"/>
      <c r="AU34" s="58">
        <f>IF(AND($H34="opportunity",$S34=0.9,$R34=0.8),$D34 &amp; ";","")</f>
        <v/>
      </c>
      <c r="AV34" s="58">
        <f>IF(AND($H34="opportunity",$S34=0.9,$R34=0.4),$D34 &amp; ";","")</f>
        <v/>
      </c>
      <c r="AW34" s="58">
        <f>IF(AND($H34="opportunity",$S34=0.9,$R34=0.2),$D34 &amp; ";","")</f>
        <v/>
      </c>
      <c r="AX34" s="58">
        <f>IF(AND($H34="opportunity",$S34=0.9,$R34=0.1),$D34 &amp; ";","")</f>
        <v/>
      </c>
      <c r="AY34" s="58">
        <f>IF(AND($H34="opportunity",$S34=0.9,$R34=0.05),$D34 &amp; ";","")</f>
        <v/>
      </c>
      <c r="AZ34" s="58">
        <f>IF(AND($H34="opportunity",$S34=0.7,$R34=0.8),$D34 &amp; ";","")</f>
        <v/>
      </c>
      <c r="BA34" s="58">
        <f>IF(AND($H34="opportunity",$S34=0.7,$R34=0.4),$D34 &amp; ";","")</f>
        <v/>
      </c>
      <c r="BB34" s="58">
        <f>IF(AND($H34="opportunity",$S34=0.7,$R34=0.2),$D34 &amp; ";","")</f>
        <v/>
      </c>
      <c r="BC34" s="58">
        <f>IF(AND($H34="opportunity",$S34=0.7,$R34=0.1),$D34 &amp; ";","")</f>
        <v/>
      </c>
      <c r="BD34" s="58">
        <f>IF(AND($H34="opportunity",$S34=0.7,$R34=0.05),$D34 &amp; ";","")</f>
        <v/>
      </c>
      <c r="BE34" s="58">
        <f>IF(AND($H34="opportunity",$S34=0.5,$R34=0.8),$D34 &amp; ";","")</f>
        <v/>
      </c>
      <c r="BF34" s="58">
        <f>IF(AND($H34="opportunity",$S34=0.5,$R34=0.4),$D34 &amp; ";","")</f>
        <v/>
      </c>
      <c r="BG34" s="58">
        <f>IF(AND($H34="opportunity",$S34=0.5,$R34=0.2),$D34 &amp; ";","")</f>
        <v/>
      </c>
      <c r="BH34" s="58">
        <f>IF(AND($H34="opportunity",$S34=0.5,$R34=0.1),$D34 &amp; ";","")</f>
        <v/>
      </c>
      <c r="BI34" s="58">
        <f>IF(AND($H34="opportunity",$S34=0.5,$R34=0.05),$D34 &amp; ";","")</f>
        <v/>
      </c>
      <c r="BJ34" s="58">
        <f>IF(AND($H34="opportunity",$S34=0.3,$R34=0.8),$D34 &amp; ";","")</f>
        <v/>
      </c>
      <c r="BK34" s="58">
        <f>IF(AND($H34="opportunity",$S34=0.3,$R34=0.4),$D34 &amp; ";","")</f>
        <v/>
      </c>
      <c r="BL34" s="58">
        <f>IF(AND($H34="opportunity",$S34=0.3,$R34=0.2),$D34 &amp; ";","")</f>
        <v/>
      </c>
      <c r="BM34" s="58">
        <f>IF(AND($H34="opportunity",$S34=0.3,$R34=0.1),$D34 &amp; ";","")</f>
        <v/>
      </c>
      <c r="BN34" s="58">
        <f>IF(AND($H34="opportunity",$S34=0.3,$R34=0.05),$D34 &amp; ";","")</f>
        <v/>
      </c>
      <c r="BO34" s="58">
        <f>IF(AND($H34="opportunity",$S34=0.1,$R34=0.8),$D34 &amp; ";","")</f>
        <v/>
      </c>
      <c r="BP34" s="58">
        <f>IF(AND($H34="opportunity",$S34=0.1,$R34=0.4),$D34 &amp; ";","")</f>
        <v/>
      </c>
      <c r="BQ34" s="58">
        <f>IF(AND($H34="opportunity",$S34=0.1,$R34=0.2),$D34 &amp; ";","")</f>
        <v/>
      </c>
      <c r="BR34" s="58">
        <f>IF(AND($H34="opportunity",$S34=0.1,$R34=0.1),$D34 &amp; ";","")</f>
        <v/>
      </c>
      <c r="BS34" s="58">
        <f>IF(AND($H34="opportunity",$S34=0.1,$R34=0.05),$D34 &amp; ";","")</f>
        <v/>
      </c>
      <c r="BV34" s="57">
        <f>INDIRECT(ADDRESS(ROW()-22,COLUMN()-45,1,1,"Risk Register"))</f>
        <v/>
      </c>
      <c r="BW34" s="58">
        <f>INDIRECT(ADDRESS(ROW()-22,COLUMN()-44,1,1,"Risk Register"))</f>
        <v/>
      </c>
      <c r="BX34" s="59">
        <f>IF(AND($H34="threat",$P34&lt;=0.05),"gn",IF(AND($H34="threat",$P34&lt;=0.14),"y",IF(AND($H34="threat", $P34&gt;=0.15),"r",IF(AND($H34="opportunity",$P34&lt;=0.05),"gn",IF(AND($H34="opportunity",$P34&lt;=0.14),"lb",IF(AND($H34="opportunity",$P34&gt;=0.15),"db","z"))))))</f>
        <v/>
      </c>
      <c r="BY34" s="58">
        <f>IF(AND($H34="threat",$BW34=0.9,$BV34=0.05),$D34 &amp; ";","")</f>
        <v/>
      </c>
      <c r="BZ34" s="58">
        <f>IF(AND($H34="threat",$BW34=0.9,$BV34=0.1),$D34 &amp; ";","")</f>
        <v/>
      </c>
      <c r="CA34" s="58">
        <f>IF(AND($H34="threat",$BW34=0.9,$BV34=0.2),$D34 &amp; ";","")</f>
        <v/>
      </c>
      <c r="CB34" s="58">
        <f>IF(AND($H34="threat",$BW34=0.9,$BV34=0.4),$D34 &amp; ";","")</f>
        <v/>
      </c>
      <c r="CC34" s="58">
        <f>IF(AND($H34="threat",$BW34=0.9,$BV34=0.8),$D34 &amp; ";","")</f>
        <v/>
      </c>
      <c r="CD34" s="58">
        <f>IF(AND($H34="threat",$BW34=0.7,$BV34=0.05),$D34 &amp; ";","")</f>
        <v/>
      </c>
      <c r="CE34" s="58">
        <f>IF(AND($H34="threat",$BW34=0.7,$BV34=0.1),$D34 &amp; ";","")</f>
        <v/>
      </c>
      <c r="CF34" s="58">
        <f>IF(AND($H34="threat",$BW34=0.7,$BV34=0.2),$D34 &amp; ";","")</f>
        <v/>
      </c>
      <c r="CG34" s="58">
        <f>IF(AND($H34="threat",$BW34=0.7,$BV34=0.4),$D34 &amp; ";","")</f>
        <v/>
      </c>
      <c r="CH34" s="58">
        <f>IF(AND($H34="threat",$BW34=0.7,$BV34=0.8),$D34 &amp; ";","")</f>
        <v/>
      </c>
      <c r="CI34" s="58">
        <f>IF(AND($H34="threat",$BW34=0.5,$BV34=0.05),$D34 &amp; ";","")</f>
        <v/>
      </c>
      <c r="CJ34" s="58">
        <f>IF(AND($H34="threat",$BW34=0.5,$BV34=0.1),$D34 &amp; ";","")</f>
        <v/>
      </c>
      <c r="CK34" s="58">
        <f>IF(AND($H34="threat",$BW34=0.5,$BV34=0.2),$D34 &amp; ";","")</f>
        <v/>
      </c>
      <c r="CL34" s="58">
        <f>IF(AND($H34="threat",$BW34=0.5,$BV34=0.4),$D34 &amp; ";","")</f>
        <v/>
      </c>
      <c r="CM34" s="58">
        <f>IF(AND($H34="threat",$BW34=0.5,$BV34=0.8),$D34 &amp; ";","")</f>
        <v/>
      </c>
      <c r="CN34" s="58">
        <f>IF(AND($H34="threat",$BW34=0.3,$BV34=0.05),$D34 &amp; ";","")</f>
        <v/>
      </c>
      <c r="CO34" s="58">
        <f>IF(AND($H34="threat",$BW34=0.3,$BV34=0.1),$D34 &amp; ";","")</f>
        <v/>
      </c>
      <c r="CP34" s="58">
        <f>IF(AND($H34="threat",$BW34=0.3,$BV34=0.2),$D34 &amp; ";","")</f>
        <v/>
      </c>
      <c r="CQ34" s="58">
        <f>IF(AND($H34="threat",$BW34=0.3,$BV34=0.4),$D34 &amp; ";","")</f>
        <v/>
      </c>
      <c r="CR34" s="58">
        <f>IF(AND($H34="threat",$BW34=0.3,$BV34=0.8),$D34 &amp; ";","")</f>
        <v/>
      </c>
      <c r="CS34" s="58">
        <f>IF(AND($H34="threat",$BW34=0.1,$BV34=0.05),$D34 &amp; ";","")</f>
        <v/>
      </c>
      <c r="CT34" s="58">
        <f>IF(AND($H34="threat",$BW34=0.1,$BV34=0.1),$D34 &amp; ";","")</f>
        <v/>
      </c>
      <c r="CU34" s="58">
        <f>IF(AND($H34="threat",$BW34=0.1,$BV34=0.2),$D34 &amp; ";","")</f>
        <v/>
      </c>
      <c r="CV34" s="58">
        <f>IF(AND($H34="threat",$BW34=0.1,$BV34=0.4),$D34 &amp; ";","")</f>
        <v/>
      </c>
      <c r="CW34" s="58">
        <f>IF(AND($H34="threat",$BW34=0.1,$BV34=0.8),$D34 &amp; ";","")</f>
        <v/>
      </c>
      <c r="CX34" s="39" t="n"/>
      <c r="CY34" s="58">
        <f>IF(AND($H34="opportunity",$BW34=0.9,$BV34=0.8),$D34 &amp; ";","")</f>
        <v/>
      </c>
      <c r="CZ34" s="58">
        <f>IF(AND($H34="opportunity",$BW34=0.9,$BV34=0.4),$D34 &amp; ";","")</f>
        <v/>
      </c>
      <c r="DA34" s="58">
        <f>IF(AND($H34="opportunity",$BW34=0.9,$BV34=0.2),$D34 &amp; ";","")</f>
        <v/>
      </c>
      <c r="DB34" s="58">
        <f>IF(AND($H34="opportunity",$BW34=0.9,$BV34=0.1),$D34 &amp; ";","")</f>
        <v/>
      </c>
      <c r="DC34" s="58">
        <f>IF(AND($H34="opportunity",$BW34=0.9,$BV34=0.05),$D34 &amp; ";","")</f>
        <v/>
      </c>
      <c r="DD34" s="58">
        <f>IF(AND($H34="opportunity",$BW34=0.7,$BV34=0.8),$D34 &amp; ";","")</f>
        <v/>
      </c>
      <c r="DE34" s="58">
        <f>IF(AND($H34="opportunity",$BW34=0.7,$BV34=0.4),$D34 &amp; ";","")</f>
        <v/>
      </c>
      <c r="DF34" s="58">
        <f>IF(AND($H34="opportunity",$BW34=0.7,$BV34=0.2),$D34 &amp; ";","")</f>
        <v/>
      </c>
      <c r="DG34" s="58">
        <f>IF(AND($H34="opportunity",$BW34=0.7,$BV34=0.1),$D34 &amp; ";","")</f>
        <v/>
      </c>
      <c r="DH34" s="58">
        <f>IF(AND($H34="opportunity",$BW34=0.7,$BV34=0.05),$D34 &amp; ";","")</f>
        <v/>
      </c>
      <c r="DI34" s="58">
        <f>IF(AND($H34="opportunity",$BW34=0.5,$BV34=0.8),$D34 &amp; ";","")</f>
        <v/>
      </c>
      <c r="DJ34" s="58">
        <f>IF(AND($H34="opportunity",$BW34=0.5,$BV34=0.4),$D34 &amp; ";","")</f>
        <v/>
      </c>
      <c r="DK34" s="58">
        <f>IF(AND($H34="opportunity",$BW34=0.5,$BV34=0.2),$D34 &amp; ";","")</f>
        <v/>
      </c>
      <c r="DL34" s="58">
        <f>IF(AND($H34="opportunity",$BW34=0.5,$BV34=0.1),$D34 &amp; ";","")</f>
        <v/>
      </c>
      <c r="DM34" s="58">
        <f>IF(AND($H34="opportunity",$BW34=0.5,$BV34=0.05),$D34 &amp; ";","")</f>
        <v/>
      </c>
      <c r="DN34" s="58">
        <f>IF(AND($H34="opportunity",$BW34=0.3,$BV34=0.8),$D34 &amp; ";","")</f>
        <v/>
      </c>
      <c r="DO34" s="58">
        <f>IF(AND($H34="opportunity",$BW34=0.3,$BV34=0.4),$D34 &amp; ";","")</f>
        <v/>
      </c>
      <c r="DP34" s="58">
        <f>IF(AND($H34="opportunity",$BW34=0.3,$BV34=0.2),$D34 &amp; ";","")</f>
        <v/>
      </c>
      <c r="DQ34" s="58">
        <f>IF(AND($H34="opportunity",$BW34=0.3,$BV34=0.1),$D34 &amp; ";","")</f>
        <v/>
      </c>
      <c r="DR34" s="58">
        <f>IF(AND($H34="opportunity",$BW34=0.3,$BV34=0.05),$D34 &amp; ";","")</f>
        <v/>
      </c>
      <c r="DS34" s="58">
        <f>IF(AND($H34="opportunity",$BW34=0.1,$BV34=0.8),$D34 &amp; ";","")</f>
        <v/>
      </c>
      <c r="DT34" s="58">
        <f>IF(AND($H34="opportunity",$BW34=0.1,$BV34=0.4),$D34 &amp; ";","")</f>
        <v/>
      </c>
      <c r="DU34" s="58">
        <f>IF(AND($H34="opportunity",$BW34=0.1,$BV34=0.2),$D34 &amp; ";","")</f>
        <v/>
      </c>
      <c r="DV34" s="58">
        <f>IF(AND($H34="opportunity",$BW34=0.1,$BV34=0.1),$D34 &amp; ";","")</f>
        <v/>
      </c>
      <c r="DW34" s="58">
        <f>IF(AND($H34="opportunity",$BW34=0.1,$BV34=0.05),$D34 &amp; ";","")</f>
        <v/>
      </c>
    </row>
    <row r="35">
      <c r="D35" s="60">
        <f>INDIRECT(ADDRESS(ROW()-22,COLUMN()-2,1,1,"Risk Register"))</f>
        <v/>
      </c>
      <c r="E35" s="143">
        <f>INDIRECT(ADDRESS(ROW()-22,COLUMN()-1,1,1,"Risk Register"))</f>
        <v/>
      </c>
      <c r="G35" s="56">
        <f>INDIRECT(ADDRESS(ROW()-22,COLUMN()+10,1,1,"Risk Register"))</f>
        <v/>
      </c>
      <c r="H35" s="60">
        <f>INDIRECT(ADDRESS(ROW()-22,COLUMN()+8,1,1,"Risk Register"))</f>
        <v/>
      </c>
      <c r="I35" s="54">
        <f>INDIRECT(ADDRESS(ROW()-22,COLUMN()+3,1,1,"Risk Register"))</f>
        <v/>
      </c>
      <c r="J35" s="143">
        <f>INDIRECT(ADDRESS(ROW()-22,COLUMN()+12,1,1,"Risk Register"))</f>
        <v/>
      </c>
      <c r="K35" s="143">
        <f>INDIRECT(ADDRESS(ROW()-22,COLUMN()-2,1,1,"Risk Register"))</f>
        <v/>
      </c>
      <c r="L35" s="176">
        <f>INDIRECT(ADDRESS(ROW()-22,COLUMN()+15,1,1,"Risk Register"))</f>
        <v/>
      </c>
      <c r="M35" s="54">
        <f>INDIRECT(ADDRESS(ROW()-22,COLUMN()+13,1,1,"Risk Register"))</f>
        <v/>
      </c>
      <c r="N35" s="143">
        <f>INDIRECT(ADDRESS(ROW()-22,COLUMN()-9,1,1,"Risk Register"))</f>
        <v/>
      </c>
      <c r="O35" s="143">
        <f>INDIRECT(ADDRESS(ROW()-22,COLUMN()-8,1,1,"Risk Register"))</f>
        <v/>
      </c>
      <c r="P35" s="56">
        <f>INDIRECT(ADDRESS(ROW()-22,COLUMN()+18,1,1,"Risk Register"))</f>
        <v/>
      </c>
      <c r="R35" s="57">
        <f>INDIRECT(ADDRESS(ROW()-22,COLUMN()-5,1,1,"Risk Register"))</f>
        <v/>
      </c>
      <c r="S35" s="58">
        <f>INDIRECT(ADDRESS(ROW()-22,COLUMN()-4,1,1,"Risk Register"))</f>
        <v/>
      </c>
      <c r="T35" s="59">
        <f>IF(AND($H35="threat",$G35&lt;=0.05),"gn",IF(AND($H35="threat",$G35&lt;=0.14),"y",IF(AND($H35="threat", $G35&gt;=0.15),"r",IF(AND($H35="opportunity",$G35&lt;=0.05),"gn",IF(AND($H35="opportunity",$G35&lt;=0.14),"lb",IF(AND($H35="opportunity",$G35&gt;=0.15),"db","z"))))))</f>
        <v/>
      </c>
      <c r="U35" s="58">
        <f>IF(AND($H35="threat",$S35=0.9,$R35=0.05),$D35 &amp; ";","")</f>
        <v/>
      </c>
      <c r="V35" s="58">
        <f>IF(AND($H35="threat",$S35=0.9,$R35=0.1),$D35 &amp; ";","")</f>
        <v/>
      </c>
      <c r="W35" s="58">
        <f>IF(AND($H35="threat",$S35=0.9,$R35=0.2),$D35 &amp; ";","")</f>
        <v/>
      </c>
      <c r="X35" s="58">
        <f>IF(AND($H35="threat",$S35=0.9,$R35=0.4),$D35 &amp; ";","")</f>
        <v/>
      </c>
      <c r="Y35" s="58">
        <f>IF(AND($H35="threat",$S35=0.9,$R35=0.8),$D35 &amp; ";","")</f>
        <v/>
      </c>
      <c r="Z35" s="58">
        <f>IF(AND($H35="threat",$S35=0.7,$R35=0.05),$D35 &amp; ";","")</f>
        <v/>
      </c>
      <c r="AA35" s="58">
        <f>IF(AND($H35="threat",$S35=0.7,$R35=0.1),$D35 &amp; ";","")</f>
        <v/>
      </c>
      <c r="AB35" s="58">
        <f>IF(AND($H35="threat",$S35=0.7,$R35=0.2),$D35 &amp; ";","")</f>
        <v/>
      </c>
      <c r="AC35" s="58">
        <f>IF(AND($H35="threat",$S35=0.7,$R35=0.4),$D35 &amp; ";","")</f>
        <v/>
      </c>
      <c r="AD35" s="58">
        <f>IF(AND($H35="threat",$S35=0.7,$R35=0.8),$D35 &amp; ";","")</f>
        <v/>
      </c>
      <c r="AE35" s="58">
        <f>IF(AND($H35="threat",$S35=0.5,$R35=0.05),$D35 &amp; ";","")</f>
        <v/>
      </c>
      <c r="AF35" s="58">
        <f>IF(AND($H35="threat",$S35=0.5,$R35=0.1),$D35 &amp; ";","")</f>
        <v/>
      </c>
      <c r="AG35" s="58">
        <f>IF(AND($H35="threat",$S35=0.5,$R35=0.2),$D35 &amp; ";","")</f>
        <v/>
      </c>
      <c r="AH35" s="58">
        <f>IF(AND($H35="threat",$S35=0.5,$R35=0.4),$D35 &amp; ";","")</f>
        <v/>
      </c>
      <c r="AI35" s="58">
        <f>IF(AND($H35="threat",$S35=0.5,$R35=0.8),$D35 &amp; ";","")</f>
        <v/>
      </c>
      <c r="AJ35" s="58">
        <f>IF(AND($H35="threat",$S35=0.3,$R35=0.05),$D35 &amp; ";","")</f>
        <v/>
      </c>
      <c r="AK35" s="58">
        <f>IF(AND($H35="threat",$S35=0.3,$R35=0.1),$D35 &amp; ";","")</f>
        <v/>
      </c>
      <c r="AL35" s="58">
        <f>IF(AND($H35="threat",$S35=0.3,$R35=0.2),$D35 &amp; ";","")</f>
        <v/>
      </c>
      <c r="AM35" s="58">
        <f>IF(AND($H35="threat",$S35=0.3,$R35=0.4),$D35 &amp; ";","")</f>
        <v/>
      </c>
      <c r="AN35" s="58">
        <f>IF(AND($H35="threat",$S35=0.3,$R35=0.8),$D35 &amp; ";","")</f>
        <v/>
      </c>
      <c r="AO35" s="58">
        <f>IF(AND($H35="threat",$S35=0.1,$R35=0.05),$D35 &amp; ";","")</f>
        <v/>
      </c>
      <c r="AP35" s="58">
        <f>IF(AND($H35="threat",$S35=0.1,$R35=0.1),$D35 &amp; ";","")</f>
        <v/>
      </c>
      <c r="AQ35" s="58">
        <f>IF(AND($H35="threat",$S35=0.1,$R35=0.2),$D35 &amp; ";","")</f>
        <v/>
      </c>
      <c r="AR35" s="58">
        <f>IF(AND($H35="threat",$S35=0.1,$R35=0.4),$D35 &amp; ";","")</f>
        <v/>
      </c>
      <c r="AS35" s="58">
        <f>IF(AND($H35="threat",$S35=0.1,$R35=0.8),$D35 &amp; ";","")</f>
        <v/>
      </c>
      <c r="AT35" s="39" t="n"/>
      <c r="AU35" s="58">
        <f>IF(AND($H35="opportunity",$S35=0.9,$R35=0.8),$D35 &amp; ";","")</f>
        <v/>
      </c>
      <c r="AV35" s="58">
        <f>IF(AND($H35="opportunity",$S35=0.9,$R35=0.4),$D35 &amp; ";","")</f>
        <v/>
      </c>
      <c r="AW35" s="58">
        <f>IF(AND($H35="opportunity",$S35=0.9,$R35=0.2),$D35 &amp; ";","")</f>
        <v/>
      </c>
      <c r="AX35" s="58">
        <f>IF(AND($H35="opportunity",$S35=0.9,$R35=0.1),$D35 &amp; ";","")</f>
        <v/>
      </c>
      <c r="AY35" s="58">
        <f>IF(AND($H35="opportunity",$S35=0.9,$R35=0.05),$D35 &amp; ";","")</f>
        <v/>
      </c>
      <c r="AZ35" s="58">
        <f>IF(AND($H35="opportunity",$S35=0.7,$R35=0.8),$D35 &amp; ";","")</f>
        <v/>
      </c>
      <c r="BA35" s="58">
        <f>IF(AND($H35="opportunity",$S35=0.7,$R35=0.4),$D35 &amp; ";","")</f>
        <v/>
      </c>
      <c r="BB35" s="58">
        <f>IF(AND($H35="opportunity",$S35=0.7,$R35=0.2),$D35 &amp; ";","")</f>
        <v/>
      </c>
      <c r="BC35" s="58">
        <f>IF(AND($H35="opportunity",$S35=0.7,$R35=0.1),$D35 &amp; ";","")</f>
        <v/>
      </c>
      <c r="BD35" s="58">
        <f>IF(AND($H35="opportunity",$S35=0.7,$R35=0.05),$D35 &amp; ";","")</f>
        <v/>
      </c>
      <c r="BE35" s="58">
        <f>IF(AND($H35="opportunity",$S35=0.5,$R35=0.8),$D35 &amp; ";","")</f>
        <v/>
      </c>
      <c r="BF35" s="58">
        <f>IF(AND($H35="opportunity",$S35=0.5,$R35=0.4),$D35 &amp; ";","")</f>
        <v/>
      </c>
      <c r="BG35" s="58">
        <f>IF(AND($H35="opportunity",$S35=0.5,$R35=0.2),$D35 &amp; ";","")</f>
        <v/>
      </c>
      <c r="BH35" s="58">
        <f>IF(AND($H35="opportunity",$S35=0.5,$R35=0.1),$D35 &amp; ";","")</f>
        <v/>
      </c>
      <c r="BI35" s="58">
        <f>IF(AND($H35="opportunity",$S35=0.5,$R35=0.05),$D35 &amp; ";","")</f>
        <v/>
      </c>
      <c r="BJ35" s="58">
        <f>IF(AND($H35="opportunity",$S35=0.3,$R35=0.8),$D35 &amp; ";","")</f>
        <v/>
      </c>
      <c r="BK35" s="58">
        <f>IF(AND($H35="opportunity",$S35=0.3,$R35=0.4),$D35 &amp; ";","")</f>
        <v/>
      </c>
      <c r="BL35" s="58">
        <f>IF(AND($H35="opportunity",$S35=0.3,$R35=0.2),$D35 &amp; ";","")</f>
        <v/>
      </c>
      <c r="BM35" s="58">
        <f>IF(AND($H35="opportunity",$S35=0.3,$R35=0.1),$D35 &amp; ";","")</f>
        <v/>
      </c>
      <c r="BN35" s="58">
        <f>IF(AND($H35="opportunity",$S35=0.3,$R35=0.05),$D35 &amp; ";","")</f>
        <v/>
      </c>
      <c r="BO35" s="58">
        <f>IF(AND($H35="opportunity",$S35=0.1,$R35=0.8),$D35 &amp; ";","")</f>
        <v/>
      </c>
      <c r="BP35" s="58">
        <f>IF(AND($H35="opportunity",$S35=0.1,$R35=0.4),$D35 &amp; ";","")</f>
        <v/>
      </c>
      <c r="BQ35" s="58">
        <f>IF(AND($H35="opportunity",$S35=0.1,$R35=0.2),$D35 &amp; ";","")</f>
        <v/>
      </c>
      <c r="BR35" s="58">
        <f>IF(AND($H35="opportunity",$S35=0.1,$R35=0.1),$D35 &amp; ";","")</f>
        <v/>
      </c>
      <c r="BS35" s="58">
        <f>IF(AND($H35="opportunity",$S35=0.1,$R35=0.05),$D35 &amp; ";","")</f>
        <v/>
      </c>
      <c r="BV35" s="57">
        <f>INDIRECT(ADDRESS(ROW()-22,COLUMN()-45,1,1,"Risk Register"))</f>
        <v/>
      </c>
      <c r="BW35" s="58">
        <f>INDIRECT(ADDRESS(ROW()-22,COLUMN()-44,1,1,"Risk Register"))</f>
        <v/>
      </c>
      <c r="BX35" s="59">
        <f>IF(AND($H35="threat",$P35&lt;=0.05),"gn",IF(AND($H35="threat",$P35&lt;=0.14),"y",IF(AND($H35="threat", $P35&gt;=0.15),"r",IF(AND($H35="opportunity",$P35&lt;=0.05),"gn",IF(AND($H35="opportunity",$P35&lt;=0.14),"lb",IF(AND($H35="opportunity",$P35&gt;=0.15),"db","z"))))))</f>
        <v/>
      </c>
      <c r="BY35" s="58">
        <f>IF(AND($H35="threat",$BW35=0.9,$BV35=0.05),$D35 &amp; ";","")</f>
        <v/>
      </c>
      <c r="BZ35" s="58">
        <f>IF(AND($H35="threat",$BW35=0.9,$BV35=0.1),$D35 &amp; ";","")</f>
        <v/>
      </c>
      <c r="CA35" s="58">
        <f>IF(AND($H35="threat",$BW35=0.9,$BV35=0.2),$D35 &amp; ";","")</f>
        <v/>
      </c>
      <c r="CB35" s="58">
        <f>IF(AND($H35="threat",$BW35=0.9,$BV35=0.4),$D35 &amp; ";","")</f>
        <v/>
      </c>
      <c r="CC35" s="58">
        <f>IF(AND($H35="threat",$BW35=0.9,$BV35=0.8),$D35 &amp; ";","")</f>
        <v/>
      </c>
      <c r="CD35" s="58">
        <f>IF(AND($H35="threat",$BW35=0.7,$BV35=0.05),$D35 &amp; ";","")</f>
        <v/>
      </c>
      <c r="CE35" s="58">
        <f>IF(AND($H35="threat",$BW35=0.7,$BV35=0.1),$D35 &amp; ";","")</f>
        <v/>
      </c>
      <c r="CF35" s="58">
        <f>IF(AND($H35="threat",$BW35=0.7,$BV35=0.2),$D35 &amp; ";","")</f>
        <v/>
      </c>
      <c r="CG35" s="58">
        <f>IF(AND($H35="threat",$BW35=0.7,$BV35=0.4),$D35 &amp; ";","")</f>
        <v/>
      </c>
      <c r="CH35" s="58">
        <f>IF(AND($H35="threat",$BW35=0.7,$BV35=0.8),$D35 &amp; ";","")</f>
        <v/>
      </c>
      <c r="CI35" s="58">
        <f>IF(AND($H35="threat",$BW35=0.5,$BV35=0.05),$D35 &amp; ";","")</f>
        <v/>
      </c>
      <c r="CJ35" s="58">
        <f>IF(AND($H35="threat",$BW35=0.5,$BV35=0.1),$D35 &amp; ";","")</f>
        <v/>
      </c>
      <c r="CK35" s="58">
        <f>IF(AND($H35="threat",$BW35=0.5,$BV35=0.2),$D35 &amp; ";","")</f>
        <v/>
      </c>
      <c r="CL35" s="58">
        <f>IF(AND($H35="threat",$BW35=0.5,$BV35=0.4),$D35 &amp; ";","")</f>
        <v/>
      </c>
      <c r="CM35" s="58">
        <f>IF(AND($H35="threat",$BW35=0.5,$BV35=0.8),$D35 &amp; ";","")</f>
        <v/>
      </c>
      <c r="CN35" s="58">
        <f>IF(AND($H35="threat",$BW35=0.3,$BV35=0.05),$D35 &amp; ";","")</f>
        <v/>
      </c>
      <c r="CO35" s="58">
        <f>IF(AND($H35="threat",$BW35=0.3,$BV35=0.1),$D35 &amp; ";","")</f>
        <v/>
      </c>
      <c r="CP35" s="58">
        <f>IF(AND($H35="threat",$BW35=0.3,$BV35=0.2),$D35 &amp; ";","")</f>
        <v/>
      </c>
      <c r="CQ35" s="58">
        <f>IF(AND($H35="threat",$BW35=0.3,$BV35=0.4),$D35 &amp; ";","")</f>
        <v/>
      </c>
      <c r="CR35" s="58">
        <f>IF(AND($H35="threat",$BW35=0.3,$BV35=0.8),$D35 &amp; ";","")</f>
        <v/>
      </c>
      <c r="CS35" s="58">
        <f>IF(AND($H35="threat",$BW35=0.1,$BV35=0.05),$D35 &amp; ";","")</f>
        <v/>
      </c>
      <c r="CT35" s="58">
        <f>IF(AND($H35="threat",$BW35=0.1,$BV35=0.1),$D35 &amp; ";","")</f>
        <v/>
      </c>
      <c r="CU35" s="58">
        <f>IF(AND($H35="threat",$BW35=0.1,$BV35=0.2),$D35 &amp; ";","")</f>
        <v/>
      </c>
      <c r="CV35" s="58">
        <f>IF(AND($H35="threat",$BW35=0.1,$BV35=0.4),$D35 &amp; ";","")</f>
        <v/>
      </c>
      <c r="CW35" s="58">
        <f>IF(AND($H35="threat",$BW35=0.1,$BV35=0.8),$D35 &amp; ";","")</f>
        <v/>
      </c>
      <c r="CX35" s="39" t="n"/>
      <c r="CY35" s="58">
        <f>IF(AND($H35="opportunity",$BW35=0.9,$BV35=0.8),$D35 &amp; ";","")</f>
        <v/>
      </c>
      <c r="CZ35" s="58">
        <f>IF(AND($H35="opportunity",$BW35=0.9,$BV35=0.4),$D35 &amp; ";","")</f>
        <v/>
      </c>
      <c r="DA35" s="58">
        <f>IF(AND($H35="opportunity",$BW35=0.9,$BV35=0.2),$D35 &amp; ";","")</f>
        <v/>
      </c>
      <c r="DB35" s="58">
        <f>IF(AND($H35="opportunity",$BW35=0.9,$BV35=0.1),$D35 &amp; ";","")</f>
        <v/>
      </c>
      <c r="DC35" s="58">
        <f>IF(AND($H35="opportunity",$BW35=0.9,$BV35=0.05),$D35 &amp; ";","")</f>
        <v/>
      </c>
      <c r="DD35" s="58">
        <f>IF(AND($H35="opportunity",$BW35=0.7,$BV35=0.8),$D35 &amp; ";","")</f>
        <v/>
      </c>
      <c r="DE35" s="58">
        <f>IF(AND($H35="opportunity",$BW35=0.7,$BV35=0.4),$D35 &amp; ";","")</f>
        <v/>
      </c>
      <c r="DF35" s="58">
        <f>IF(AND($H35="opportunity",$BW35=0.7,$BV35=0.2),$D35 &amp; ";","")</f>
        <v/>
      </c>
      <c r="DG35" s="58">
        <f>IF(AND($H35="opportunity",$BW35=0.7,$BV35=0.1),$D35 &amp; ";","")</f>
        <v/>
      </c>
      <c r="DH35" s="58">
        <f>IF(AND($H35="opportunity",$BW35=0.7,$BV35=0.05),$D35 &amp; ";","")</f>
        <v/>
      </c>
      <c r="DI35" s="58">
        <f>IF(AND($H35="opportunity",$BW35=0.5,$BV35=0.8),$D35 &amp; ";","")</f>
        <v/>
      </c>
      <c r="DJ35" s="58">
        <f>IF(AND($H35="opportunity",$BW35=0.5,$BV35=0.4),$D35 &amp; ";","")</f>
        <v/>
      </c>
      <c r="DK35" s="58">
        <f>IF(AND($H35="opportunity",$BW35=0.5,$BV35=0.2),$D35 &amp; ";","")</f>
        <v/>
      </c>
      <c r="DL35" s="58">
        <f>IF(AND($H35="opportunity",$BW35=0.5,$BV35=0.1),$D35 &amp; ";","")</f>
        <v/>
      </c>
      <c r="DM35" s="58">
        <f>IF(AND($H35="opportunity",$BW35=0.5,$BV35=0.05),$D35 &amp; ";","")</f>
        <v/>
      </c>
      <c r="DN35" s="58">
        <f>IF(AND($H35="opportunity",$BW35=0.3,$BV35=0.8),$D35 &amp; ";","")</f>
        <v/>
      </c>
      <c r="DO35" s="58">
        <f>IF(AND($H35="opportunity",$BW35=0.3,$BV35=0.4),$D35 &amp; ";","")</f>
        <v/>
      </c>
      <c r="DP35" s="58">
        <f>IF(AND($H35="opportunity",$BW35=0.3,$BV35=0.2),$D35 &amp; ";","")</f>
        <v/>
      </c>
      <c r="DQ35" s="58">
        <f>IF(AND($H35="opportunity",$BW35=0.3,$BV35=0.1),$D35 &amp; ";","")</f>
        <v/>
      </c>
      <c r="DR35" s="58">
        <f>IF(AND($H35="opportunity",$BW35=0.3,$BV35=0.05),$D35 &amp; ";","")</f>
        <v/>
      </c>
      <c r="DS35" s="58">
        <f>IF(AND($H35="opportunity",$BW35=0.1,$BV35=0.8),$D35 &amp; ";","")</f>
        <v/>
      </c>
      <c r="DT35" s="58">
        <f>IF(AND($H35="opportunity",$BW35=0.1,$BV35=0.4),$D35 &amp; ";","")</f>
        <v/>
      </c>
      <c r="DU35" s="58">
        <f>IF(AND($H35="opportunity",$BW35=0.1,$BV35=0.2),$D35 &amp; ";","")</f>
        <v/>
      </c>
      <c r="DV35" s="58">
        <f>IF(AND($H35="opportunity",$BW35=0.1,$BV35=0.1),$D35 &amp; ";","")</f>
        <v/>
      </c>
      <c r="DW35" s="58">
        <f>IF(AND($H35="opportunity",$BW35=0.1,$BV35=0.05),$D35 &amp; ";","")</f>
        <v/>
      </c>
    </row>
    <row r="36">
      <c r="D36" s="60">
        <f>INDIRECT(ADDRESS(ROW()-22,COLUMN()-2,1,1,"Risk Register"))</f>
        <v/>
      </c>
      <c r="E36" s="143">
        <f>INDIRECT(ADDRESS(ROW()-22,COLUMN()-1,1,1,"Risk Register"))</f>
        <v/>
      </c>
      <c r="G36" s="56">
        <f>INDIRECT(ADDRESS(ROW()-22,COLUMN()+10,1,1,"Risk Register"))</f>
        <v/>
      </c>
      <c r="H36" s="60">
        <f>INDIRECT(ADDRESS(ROW()-22,COLUMN()+8,1,1,"Risk Register"))</f>
        <v/>
      </c>
      <c r="I36" s="54">
        <f>INDIRECT(ADDRESS(ROW()-22,COLUMN()+3,1,1,"Risk Register"))</f>
        <v/>
      </c>
      <c r="J36" s="143">
        <f>INDIRECT(ADDRESS(ROW()-22,COLUMN()+12,1,1,"Risk Register"))</f>
        <v/>
      </c>
      <c r="K36" s="143">
        <f>INDIRECT(ADDRESS(ROW()-22,COLUMN()-2,1,1,"Risk Register"))</f>
        <v/>
      </c>
      <c r="L36" s="176">
        <f>INDIRECT(ADDRESS(ROW()-22,COLUMN()+15,1,1,"Risk Register"))</f>
        <v/>
      </c>
      <c r="M36" s="54">
        <f>INDIRECT(ADDRESS(ROW()-22,COLUMN()+13,1,1,"Risk Register"))</f>
        <v/>
      </c>
      <c r="N36" s="143">
        <f>INDIRECT(ADDRESS(ROW()-22,COLUMN()-9,1,1,"Risk Register"))</f>
        <v/>
      </c>
      <c r="O36" s="143">
        <f>INDIRECT(ADDRESS(ROW()-22,COLUMN()-8,1,1,"Risk Register"))</f>
        <v/>
      </c>
      <c r="P36" s="56">
        <f>INDIRECT(ADDRESS(ROW()-22,COLUMN()+18,1,1,"Risk Register"))</f>
        <v/>
      </c>
      <c r="R36" s="57">
        <f>INDIRECT(ADDRESS(ROW()-22,COLUMN()-5,1,1,"Risk Register"))</f>
        <v/>
      </c>
      <c r="S36" s="58">
        <f>INDIRECT(ADDRESS(ROW()-22,COLUMN()-4,1,1,"Risk Register"))</f>
        <v/>
      </c>
      <c r="T36" s="59">
        <f>IF(AND($H36="threat",$G36&lt;=0.05),"gn",IF(AND($H36="threat",$G36&lt;=0.14),"y",IF(AND($H36="threat", $G36&gt;=0.15),"r",IF(AND($H36="opportunity",$G36&lt;=0.05),"gn",IF(AND($H36="opportunity",$G36&lt;=0.14),"lb",IF(AND($H36="opportunity",$G36&gt;=0.15),"db","z"))))))</f>
        <v/>
      </c>
      <c r="U36" s="58">
        <f>IF(AND($H36="threat",$S36=0.9,$R36=0.05),$D36 &amp; ";","")</f>
        <v/>
      </c>
      <c r="V36" s="58">
        <f>IF(AND($H36="threat",$S36=0.9,$R36=0.1),$D36 &amp; ";","")</f>
        <v/>
      </c>
      <c r="W36" s="58">
        <f>IF(AND($H36="threat",$S36=0.9,$R36=0.2),$D36 &amp; ";","")</f>
        <v/>
      </c>
      <c r="X36" s="58">
        <f>IF(AND($H36="threat",$S36=0.9,$R36=0.4),$D36 &amp; ";","")</f>
        <v/>
      </c>
      <c r="Y36" s="58">
        <f>IF(AND($H36="threat",$S36=0.9,$R36=0.8),$D36 &amp; ";","")</f>
        <v/>
      </c>
      <c r="Z36" s="58">
        <f>IF(AND($H36="threat",$S36=0.7,$R36=0.05),$D36 &amp; ";","")</f>
        <v/>
      </c>
      <c r="AA36" s="58">
        <f>IF(AND($H36="threat",$S36=0.7,$R36=0.1),$D36 &amp; ";","")</f>
        <v/>
      </c>
      <c r="AB36" s="58">
        <f>IF(AND($H36="threat",$S36=0.7,$R36=0.2),$D36 &amp; ";","")</f>
        <v/>
      </c>
      <c r="AC36" s="58">
        <f>IF(AND($H36="threat",$S36=0.7,$R36=0.4),$D36 &amp; ";","")</f>
        <v/>
      </c>
      <c r="AD36" s="58">
        <f>IF(AND($H36="threat",$S36=0.7,$R36=0.8),$D36 &amp; ";","")</f>
        <v/>
      </c>
      <c r="AE36" s="58">
        <f>IF(AND($H36="threat",$S36=0.5,$R36=0.05),$D36 &amp; ";","")</f>
        <v/>
      </c>
      <c r="AF36" s="58">
        <f>IF(AND($H36="threat",$S36=0.5,$R36=0.1),$D36 &amp; ";","")</f>
        <v/>
      </c>
      <c r="AG36" s="58">
        <f>IF(AND($H36="threat",$S36=0.5,$R36=0.2),$D36 &amp; ";","")</f>
        <v/>
      </c>
      <c r="AH36" s="58">
        <f>IF(AND($H36="threat",$S36=0.5,$R36=0.4),$D36 &amp; ";","")</f>
        <v/>
      </c>
      <c r="AI36" s="58">
        <f>IF(AND($H36="threat",$S36=0.5,$R36=0.8),$D36 &amp; ";","")</f>
        <v/>
      </c>
      <c r="AJ36" s="58">
        <f>IF(AND($H36="threat",$S36=0.3,$R36=0.05),$D36 &amp; ";","")</f>
        <v/>
      </c>
      <c r="AK36" s="58">
        <f>IF(AND($H36="threat",$S36=0.3,$R36=0.1),$D36 &amp; ";","")</f>
        <v/>
      </c>
      <c r="AL36" s="58">
        <f>IF(AND($H36="threat",$S36=0.3,$R36=0.2),$D36 &amp; ";","")</f>
        <v/>
      </c>
      <c r="AM36" s="58">
        <f>IF(AND($H36="threat",$S36=0.3,$R36=0.4),$D36 &amp; ";","")</f>
        <v/>
      </c>
      <c r="AN36" s="58">
        <f>IF(AND($H36="threat",$S36=0.3,$R36=0.8),$D36 &amp; ";","")</f>
        <v/>
      </c>
      <c r="AO36" s="58">
        <f>IF(AND($H36="threat",$S36=0.1,$R36=0.05),$D36 &amp; ";","")</f>
        <v/>
      </c>
      <c r="AP36" s="58">
        <f>IF(AND($H36="threat",$S36=0.1,$R36=0.1),$D36 &amp; ";","")</f>
        <v/>
      </c>
      <c r="AQ36" s="58">
        <f>IF(AND($H36="threat",$S36=0.1,$R36=0.2),$D36 &amp; ";","")</f>
        <v/>
      </c>
      <c r="AR36" s="58">
        <f>IF(AND($H36="threat",$S36=0.1,$R36=0.4),$D36 &amp; ";","")</f>
        <v/>
      </c>
      <c r="AS36" s="58">
        <f>IF(AND($H36="threat",$S36=0.1,$R36=0.8),$D36 &amp; ";","")</f>
        <v/>
      </c>
      <c r="AT36" s="39" t="n"/>
      <c r="AU36" s="58">
        <f>IF(AND($H36="opportunity",$S36=0.9,$R36=0.8),$D36 &amp; ";","")</f>
        <v/>
      </c>
      <c r="AV36" s="58">
        <f>IF(AND($H36="opportunity",$S36=0.9,$R36=0.4),$D36 &amp; ";","")</f>
        <v/>
      </c>
      <c r="AW36" s="58">
        <f>IF(AND($H36="opportunity",$S36=0.9,$R36=0.2),$D36 &amp; ";","")</f>
        <v/>
      </c>
      <c r="AX36" s="58">
        <f>IF(AND($H36="opportunity",$S36=0.9,$R36=0.1),$D36 &amp; ";","")</f>
        <v/>
      </c>
      <c r="AY36" s="58">
        <f>IF(AND($H36="opportunity",$S36=0.9,$R36=0.05),$D36 &amp; ";","")</f>
        <v/>
      </c>
      <c r="AZ36" s="58">
        <f>IF(AND($H36="opportunity",$S36=0.7,$R36=0.8),$D36 &amp; ";","")</f>
        <v/>
      </c>
      <c r="BA36" s="58">
        <f>IF(AND($H36="opportunity",$S36=0.7,$R36=0.4),$D36 &amp; ";","")</f>
        <v/>
      </c>
      <c r="BB36" s="58">
        <f>IF(AND($H36="opportunity",$S36=0.7,$R36=0.2),$D36 &amp; ";","")</f>
        <v/>
      </c>
      <c r="BC36" s="58">
        <f>IF(AND($H36="opportunity",$S36=0.7,$R36=0.1),$D36 &amp; ";","")</f>
        <v/>
      </c>
      <c r="BD36" s="58">
        <f>IF(AND($H36="opportunity",$S36=0.7,$R36=0.05),$D36 &amp; ";","")</f>
        <v/>
      </c>
      <c r="BE36" s="58">
        <f>IF(AND($H36="opportunity",$S36=0.5,$R36=0.8),$D36 &amp; ";","")</f>
        <v/>
      </c>
      <c r="BF36" s="58">
        <f>IF(AND($H36="opportunity",$S36=0.5,$R36=0.4),$D36 &amp; ";","")</f>
        <v/>
      </c>
      <c r="BG36" s="58">
        <f>IF(AND($H36="opportunity",$S36=0.5,$R36=0.2),$D36 &amp; ";","")</f>
        <v/>
      </c>
      <c r="BH36" s="58">
        <f>IF(AND($H36="opportunity",$S36=0.5,$R36=0.1),$D36 &amp; ";","")</f>
        <v/>
      </c>
      <c r="BI36" s="58">
        <f>IF(AND($H36="opportunity",$S36=0.5,$R36=0.05),$D36 &amp; ";","")</f>
        <v/>
      </c>
      <c r="BJ36" s="58">
        <f>IF(AND($H36="opportunity",$S36=0.3,$R36=0.8),$D36 &amp; ";","")</f>
        <v/>
      </c>
      <c r="BK36" s="58">
        <f>IF(AND($H36="opportunity",$S36=0.3,$R36=0.4),$D36 &amp; ";","")</f>
        <v/>
      </c>
      <c r="BL36" s="58">
        <f>IF(AND($H36="opportunity",$S36=0.3,$R36=0.2),$D36 &amp; ";","")</f>
        <v/>
      </c>
      <c r="BM36" s="58">
        <f>IF(AND($H36="opportunity",$S36=0.3,$R36=0.1),$D36 &amp; ";","")</f>
        <v/>
      </c>
      <c r="BN36" s="58">
        <f>IF(AND($H36="opportunity",$S36=0.3,$R36=0.05),$D36 &amp; ";","")</f>
        <v/>
      </c>
      <c r="BO36" s="58">
        <f>IF(AND($H36="opportunity",$S36=0.1,$R36=0.8),$D36 &amp; ";","")</f>
        <v/>
      </c>
      <c r="BP36" s="58">
        <f>IF(AND($H36="opportunity",$S36=0.1,$R36=0.4),$D36 &amp; ";","")</f>
        <v/>
      </c>
      <c r="BQ36" s="58">
        <f>IF(AND($H36="opportunity",$S36=0.1,$R36=0.2),$D36 &amp; ";","")</f>
        <v/>
      </c>
      <c r="BR36" s="58">
        <f>IF(AND($H36="opportunity",$S36=0.1,$R36=0.1),$D36 &amp; ";","")</f>
        <v/>
      </c>
      <c r="BS36" s="58">
        <f>IF(AND($H36="opportunity",$S36=0.1,$R36=0.05),$D36 &amp; ";","")</f>
        <v/>
      </c>
      <c r="BV36" s="57">
        <f>INDIRECT(ADDRESS(ROW()-22,COLUMN()-45,1,1,"Risk Register"))</f>
        <v/>
      </c>
      <c r="BW36" s="58">
        <f>INDIRECT(ADDRESS(ROW()-22,COLUMN()-44,1,1,"Risk Register"))</f>
        <v/>
      </c>
      <c r="BX36" s="59">
        <f>IF(AND($H36="threat",$P36&lt;=0.05),"gn",IF(AND($H36="threat",$P36&lt;=0.14),"y",IF(AND($H36="threat", $P36&gt;=0.15),"r",IF(AND($H36="opportunity",$P36&lt;=0.05),"gn",IF(AND($H36="opportunity",$P36&lt;=0.14),"lb",IF(AND($H36="opportunity",$P36&gt;=0.15),"db","z"))))))</f>
        <v/>
      </c>
      <c r="BY36" s="58">
        <f>IF(AND($H36="threat",$BW36=0.9,$BV36=0.05),$D36 &amp; ";","")</f>
        <v/>
      </c>
      <c r="BZ36" s="58">
        <f>IF(AND($H36="threat",$BW36=0.9,$BV36=0.1),$D36 &amp; ";","")</f>
        <v/>
      </c>
      <c r="CA36" s="58">
        <f>IF(AND($H36="threat",$BW36=0.9,$BV36=0.2),$D36 &amp; ";","")</f>
        <v/>
      </c>
      <c r="CB36" s="58">
        <f>IF(AND($H36="threat",$BW36=0.9,$BV36=0.4),$D36 &amp; ";","")</f>
        <v/>
      </c>
      <c r="CC36" s="58">
        <f>IF(AND($H36="threat",$BW36=0.9,$BV36=0.8),$D36 &amp; ";","")</f>
        <v/>
      </c>
      <c r="CD36" s="58">
        <f>IF(AND($H36="threat",$BW36=0.7,$BV36=0.05),$D36 &amp; ";","")</f>
        <v/>
      </c>
      <c r="CE36" s="58">
        <f>IF(AND($H36="threat",$BW36=0.7,$BV36=0.1),$D36 &amp; ";","")</f>
        <v/>
      </c>
      <c r="CF36" s="58">
        <f>IF(AND($H36="threat",$BW36=0.7,$BV36=0.2),$D36 &amp; ";","")</f>
        <v/>
      </c>
      <c r="CG36" s="58">
        <f>IF(AND($H36="threat",$BW36=0.7,$BV36=0.4),$D36 &amp; ";","")</f>
        <v/>
      </c>
      <c r="CH36" s="58">
        <f>IF(AND($H36="threat",$BW36=0.7,$BV36=0.8),$D36 &amp; ";","")</f>
        <v/>
      </c>
      <c r="CI36" s="58">
        <f>IF(AND($H36="threat",$BW36=0.5,$BV36=0.05),$D36 &amp; ";","")</f>
        <v/>
      </c>
      <c r="CJ36" s="58">
        <f>IF(AND($H36="threat",$BW36=0.5,$BV36=0.1),$D36 &amp; ";","")</f>
        <v/>
      </c>
      <c r="CK36" s="58">
        <f>IF(AND($H36="threat",$BW36=0.5,$BV36=0.2),$D36 &amp; ";","")</f>
        <v/>
      </c>
      <c r="CL36" s="58">
        <f>IF(AND($H36="threat",$BW36=0.5,$BV36=0.4),$D36 &amp; ";","")</f>
        <v/>
      </c>
      <c r="CM36" s="58">
        <f>IF(AND($H36="threat",$BW36=0.5,$BV36=0.8),$D36 &amp; ";","")</f>
        <v/>
      </c>
      <c r="CN36" s="58">
        <f>IF(AND($H36="threat",$BW36=0.3,$BV36=0.05),$D36 &amp; ";","")</f>
        <v/>
      </c>
      <c r="CO36" s="58">
        <f>IF(AND($H36="threat",$BW36=0.3,$BV36=0.1),$D36 &amp; ";","")</f>
        <v/>
      </c>
      <c r="CP36" s="58">
        <f>IF(AND($H36="threat",$BW36=0.3,$BV36=0.2),$D36 &amp; ";","")</f>
        <v/>
      </c>
      <c r="CQ36" s="58">
        <f>IF(AND($H36="threat",$BW36=0.3,$BV36=0.4),$D36 &amp; ";","")</f>
        <v/>
      </c>
      <c r="CR36" s="58">
        <f>IF(AND($H36="threat",$BW36=0.3,$BV36=0.8),$D36 &amp; ";","")</f>
        <v/>
      </c>
      <c r="CS36" s="58">
        <f>IF(AND($H36="threat",$BW36=0.1,$BV36=0.05),$D36 &amp; ";","")</f>
        <v/>
      </c>
      <c r="CT36" s="58">
        <f>IF(AND($H36="threat",$BW36=0.1,$BV36=0.1),$D36 &amp; ";","")</f>
        <v/>
      </c>
      <c r="CU36" s="58">
        <f>IF(AND($H36="threat",$BW36=0.1,$BV36=0.2),$D36 &amp; ";","")</f>
        <v/>
      </c>
      <c r="CV36" s="58">
        <f>IF(AND($H36="threat",$BW36=0.1,$BV36=0.4),$D36 &amp; ";","")</f>
        <v/>
      </c>
      <c r="CW36" s="58">
        <f>IF(AND($H36="threat",$BW36=0.1,$BV36=0.8),$D36 &amp; ";","")</f>
        <v/>
      </c>
      <c r="CX36" s="39" t="n"/>
      <c r="CY36" s="58">
        <f>IF(AND($H36="opportunity",$BW36=0.9,$BV36=0.8),$D36 &amp; ";","")</f>
        <v/>
      </c>
      <c r="CZ36" s="58">
        <f>IF(AND($H36="opportunity",$BW36=0.9,$BV36=0.4),$D36 &amp; ";","")</f>
        <v/>
      </c>
      <c r="DA36" s="58">
        <f>IF(AND($H36="opportunity",$BW36=0.9,$BV36=0.2),$D36 &amp; ";","")</f>
        <v/>
      </c>
      <c r="DB36" s="58">
        <f>IF(AND($H36="opportunity",$BW36=0.9,$BV36=0.1),$D36 &amp; ";","")</f>
        <v/>
      </c>
      <c r="DC36" s="58">
        <f>IF(AND($H36="opportunity",$BW36=0.9,$BV36=0.05),$D36 &amp; ";","")</f>
        <v/>
      </c>
      <c r="DD36" s="58">
        <f>IF(AND($H36="opportunity",$BW36=0.7,$BV36=0.8),$D36 &amp; ";","")</f>
        <v/>
      </c>
      <c r="DE36" s="58">
        <f>IF(AND($H36="opportunity",$BW36=0.7,$BV36=0.4),$D36 &amp; ";","")</f>
        <v/>
      </c>
      <c r="DF36" s="58">
        <f>IF(AND($H36="opportunity",$BW36=0.7,$BV36=0.2),$D36 &amp; ";","")</f>
        <v/>
      </c>
      <c r="DG36" s="58">
        <f>IF(AND($H36="opportunity",$BW36=0.7,$BV36=0.1),$D36 &amp; ";","")</f>
        <v/>
      </c>
      <c r="DH36" s="58">
        <f>IF(AND($H36="opportunity",$BW36=0.7,$BV36=0.05),$D36 &amp; ";","")</f>
        <v/>
      </c>
      <c r="DI36" s="58">
        <f>IF(AND($H36="opportunity",$BW36=0.5,$BV36=0.8),$D36 &amp; ";","")</f>
        <v/>
      </c>
      <c r="DJ36" s="58">
        <f>IF(AND($H36="opportunity",$BW36=0.5,$BV36=0.4),$D36 &amp; ";","")</f>
        <v/>
      </c>
      <c r="DK36" s="58">
        <f>IF(AND($H36="opportunity",$BW36=0.5,$BV36=0.2),$D36 &amp; ";","")</f>
        <v/>
      </c>
      <c r="DL36" s="58">
        <f>IF(AND($H36="opportunity",$BW36=0.5,$BV36=0.1),$D36 &amp; ";","")</f>
        <v/>
      </c>
      <c r="DM36" s="58">
        <f>IF(AND($H36="opportunity",$BW36=0.5,$BV36=0.05),$D36 &amp; ";","")</f>
        <v/>
      </c>
      <c r="DN36" s="58">
        <f>IF(AND($H36="opportunity",$BW36=0.3,$BV36=0.8),$D36 &amp; ";","")</f>
        <v/>
      </c>
      <c r="DO36" s="58">
        <f>IF(AND($H36="opportunity",$BW36=0.3,$BV36=0.4),$D36 &amp; ";","")</f>
        <v/>
      </c>
      <c r="DP36" s="58">
        <f>IF(AND($H36="opportunity",$BW36=0.3,$BV36=0.2),$D36 &amp; ";","")</f>
        <v/>
      </c>
      <c r="DQ36" s="58">
        <f>IF(AND($H36="opportunity",$BW36=0.3,$BV36=0.1),$D36 &amp; ";","")</f>
        <v/>
      </c>
      <c r="DR36" s="58">
        <f>IF(AND($H36="opportunity",$BW36=0.3,$BV36=0.05),$D36 &amp; ";","")</f>
        <v/>
      </c>
      <c r="DS36" s="58">
        <f>IF(AND($H36="opportunity",$BW36=0.1,$BV36=0.8),$D36 &amp; ";","")</f>
        <v/>
      </c>
      <c r="DT36" s="58">
        <f>IF(AND($H36="opportunity",$BW36=0.1,$BV36=0.4),$D36 &amp; ";","")</f>
        <v/>
      </c>
      <c r="DU36" s="58">
        <f>IF(AND($H36="opportunity",$BW36=0.1,$BV36=0.2),$D36 &amp; ";","")</f>
        <v/>
      </c>
      <c r="DV36" s="58">
        <f>IF(AND($H36="opportunity",$BW36=0.1,$BV36=0.1),$D36 &amp; ";","")</f>
        <v/>
      </c>
      <c r="DW36" s="58">
        <f>IF(AND($H36="opportunity",$BW36=0.1,$BV36=0.05),$D36 &amp; ";","")</f>
        <v/>
      </c>
    </row>
    <row r="37">
      <c r="D37" s="60">
        <f>INDIRECT(ADDRESS(ROW()-22,COLUMN()-2,1,1,"Risk Register"))</f>
        <v/>
      </c>
      <c r="E37" s="143">
        <f>INDIRECT(ADDRESS(ROW()-22,COLUMN()-1,1,1,"Risk Register"))</f>
        <v/>
      </c>
      <c r="G37" s="56">
        <f>INDIRECT(ADDRESS(ROW()-22,COLUMN()+10,1,1,"Risk Register"))</f>
        <v/>
      </c>
      <c r="H37" s="60">
        <f>INDIRECT(ADDRESS(ROW()-22,COLUMN()+8,1,1,"Risk Register"))</f>
        <v/>
      </c>
      <c r="I37" s="54">
        <f>INDIRECT(ADDRESS(ROW()-22,COLUMN()+3,1,1,"Risk Register"))</f>
        <v/>
      </c>
      <c r="J37" s="143">
        <f>INDIRECT(ADDRESS(ROW()-22,COLUMN()+12,1,1,"Risk Register"))</f>
        <v/>
      </c>
      <c r="K37" s="143">
        <f>INDIRECT(ADDRESS(ROW()-22,COLUMN()-2,1,1,"Risk Register"))</f>
        <v/>
      </c>
      <c r="L37" s="176">
        <f>INDIRECT(ADDRESS(ROW()-22,COLUMN()+15,1,1,"Risk Register"))</f>
        <v/>
      </c>
      <c r="M37" s="54">
        <f>INDIRECT(ADDRESS(ROW()-22,COLUMN()+13,1,1,"Risk Register"))</f>
        <v/>
      </c>
      <c r="N37" s="143">
        <f>INDIRECT(ADDRESS(ROW()-22,COLUMN()-9,1,1,"Risk Register"))</f>
        <v/>
      </c>
      <c r="O37" s="143">
        <f>INDIRECT(ADDRESS(ROW()-22,COLUMN()-8,1,1,"Risk Register"))</f>
        <v/>
      </c>
      <c r="P37" s="56">
        <f>INDIRECT(ADDRESS(ROW()-22,COLUMN()+18,1,1,"Risk Register"))</f>
        <v/>
      </c>
      <c r="R37" s="57">
        <f>INDIRECT(ADDRESS(ROW()-22,COLUMN()-5,1,1,"Risk Register"))</f>
        <v/>
      </c>
      <c r="S37" s="58">
        <f>INDIRECT(ADDRESS(ROW()-22,COLUMN()-4,1,1,"Risk Register"))</f>
        <v/>
      </c>
      <c r="T37" s="59">
        <f>IF(AND($H37="threat",$G37&lt;=0.05),"gn",IF(AND($H37="threat",$G37&lt;=0.14),"y",IF(AND($H37="threat", $G37&gt;=0.15),"r",IF(AND($H37="opportunity",$G37&lt;=0.05),"gn",IF(AND($H37="opportunity",$G37&lt;=0.14),"lb",IF(AND($H37="opportunity",$G37&gt;=0.15),"db","z"))))))</f>
        <v/>
      </c>
      <c r="U37" s="58">
        <f>IF(AND($H37="threat",$S37=0.9,$R37=0.05),$D37 &amp; ";","")</f>
        <v/>
      </c>
      <c r="V37" s="58">
        <f>IF(AND($H37="threat",$S37=0.9,$R37=0.1),$D37 &amp; ";","")</f>
        <v/>
      </c>
      <c r="W37" s="58">
        <f>IF(AND($H37="threat",$S37=0.9,$R37=0.2),$D37 &amp; ";","")</f>
        <v/>
      </c>
      <c r="X37" s="58">
        <f>IF(AND($H37="threat",$S37=0.9,$R37=0.4),$D37 &amp; ";","")</f>
        <v/>
      </c>
      <c r="Y37" s="58">
        <f>IF(AND($H37="threat",$S37=0.9,$R37=0.8),$D37 &amp; ";","")</f>
        <v/>
      </c>
      <c r="Z37" s="58">
        <f>IF(AND($H37="threat",$S37=0.7,$R37=0.05),$D37 &amp; ";","")</f>
        <v/>
      </c>
      <c r="AA37" s="58">
        <f>IF(AND($H37="threat",$S37=0.7,$R37=0.1),$D37 &amp; ";","")</f>
        <v/>
      </c>
      <c r="AB37" s="58">
        <f>IF(AND($H37="threat",$S37=0.7,$R37=0.2),$D37 &amp; ";","")</f>
        <v/>
      </c>
      <c r="AC37" s="58">
        <f>IF(AND($H37="threat",$S37=0.7,$R37=0.4),$D37 &amp; ";","")</f>
        <v/>
      </c>
      <c r="AD37" s="58">
        <f>IF(AND($H37="threat",$S37=0.7,$R37=0.8),$D37 &amp; ";","")</f>
        <v/>
      </c>
      <c r="AE37" s="58">
        <f>IF(AND($H37="threat",$S37=0.5,$R37=0.05),$D37 &amp; ";","")</f>
        <v/>
      </c>
      <c r="AF37" s="58">
        <f>IF(AND($H37="threat",$S37=0.5,$R37=0.1),$D37 &amp; ";","")</f>
        <v/>
      </c>
      <c r="AG37" s="58">
        <f>IF(AND($H37="threat",$S37=0.5,$R37=0.2),$D37 &amp; ";","")</f>
        <v/>
      </c>
      <c r="AH37" s="58">
        <f>IF(AND($H37="threat",$S37=0.5,$R37=0.4),$D37 &amp; ";","")</f>
        <v/>
      </c>
      <c r="AI37" s="58">
        <f>IF(AND($H37="threat",$S37=0.5,$R37=0.8),$D37 &amp; ";","")</f>
        <v/>
      </c>
      <c r="AJ37" s="58">
        <f>IF(AND($H37="threat",$S37=0.3,$R37=0.05),$D37 &amp; ";","")</f>
        <v/>
      </c>
      <c r="AK37" s="58">
        <f>IF(AND($H37="threat",$S37=0.3,$R37=0.1),$D37 &amp; ";","")</f>
        <v/>
      </c>
      <c r="AL37" s="58">
        <f>IF(AND($H37="threat",$S37=0.3,$R37=0.2),$D37 &amp; ";","")</f>
        <v/>
      </c>
      <c r="AM37" s="58">
        <f>IF(AND($H37="threat",$S37=0.3,$R37=0.4),$D37 &amp; ";","")</f>
        <v/>
      </c>
      <c r="AN37" s="58">
        <f>IF(AND($H37="threat",$S37=0.3,$R37=0.8),$D37 &amp; ";","")</f>
        <v/>
      </c>
      <c r="AO37" s="58">
        <f>IF(AND($H37="threat",$S37=0.1,$R37=0.05),$D37 &amp; ";","")</f>
        <v/>
      </c>
      <c r="AP37" s="58">
        <f>IF(AND($H37="threat",$S37=0.1,$R37=0.1),$D37 &amp; ";","")</f>
        <v/>
      </c>
      <c r="AQ37" s="58">
        <f>IF(AND($H37="threat",$S37=0.1,$R37=0.2),$D37 &amp; ";","")</f>
        <v/>
      </c>
      <c r="AR37" s="58">
        <f>IF(AND($H37="threat",$S37=0.1,$R37=0.4),$D37 &amp; ";","")</f>
        <v/>
      </c>
      <c r="AS37" s="58">
        <f>IF(AND($H37="threat",$S37=0.1,$R37=0.8),$D37 &amp; ";","")</f>
        <v/>
      </c>
      <c r="AT37" s="39" t="n"/>
      <c r="AU37" s="58">
        <f>IF(AND($H37="opportunity",$S37=0.9,$R37=0.8),$D37 &amp; ";","")</f>
        <v/>
      </c>
      <c r="AV37" s="58">
        <f>IF(AND($H37="opportunity",$S37=0.9,$R37=0.4),$D37 &amp; ";","")</f>
        <v/>
      </c>
      <c r="AW37" s="58">
        <f>IF(AND($H37="opportunity",$S37=0.9,$R37=0.2),$D37 &amp; ";","")</f>
        <v/>
      </c>
      <c r="AX37" s="58">
        <f>IF(AND($H37="opportunity",$S37=0.9,$R37=0.1),$D37 &amp; ";","")</f>
        <v/>
      </c>
      <c r="AY37" s="58">
        <f>IF(AND($H37="opportunity",$S37=0.9,$R37=0.05),$D37 &amp; ";","")</f>
        <v/>
      </c>
      <c r="AZ37" s="58">
        <f>IF(AND($H37="opportunity",$S37=0.7,$R37=0.8),$D37 &amp; ";","")</f>
        <v/>
      </c>
      <c r="BA37" s="58">
        <f>IF(AND($H37="opportunity",$S37=0.7,$R37=0.4),$D37 &amp; ";","")</f>
        <v/>
      </c>
      <c r="BB37" s="58">
        <f>IF(AND($H37="opportunity",$S37=0.7,$R37=0.2),$D37 &amp; ";","")</f>
        <v/>
      </c>
      <c r="BC37" s="58">
        <f>IF(AND($H37="opportunity",$S37=0.7,$R37=0.1),$D37 &amp; ";","")</f>
        <v/>
      </c>
      <c r="BD37" s="58">
        <f>IF(AND($H37="opportunity",$S37=0.7,$R37=0.05),$D37 &amp; ";","")</f>
        <v/>
      </c>
      <c r="BE37" s="58">
        <f>IF(AND($H37="opportunity",$S37=0.5,$R37=0.8),$D37 &amp; ";","")</f>
        <v/>
      </c>
      <c r="BF37" s="58">
        <f>IF(AND($H37="opportunity",$S37=0.5,$R37=0.4),$D37 &amp; ";","")</f>
        <v/>
      </c>
      <c r="BG37" s="58">
        <f>IF(AND($H37="opportunity",$S37=0.5,$R37=0.2),$D37 &amp; ";","")</f>
        <v/>
      </c>
      <c r="BH37" s="58">
        <f>IF(AND($H37="opportunity",$S37=0.5,$R37=0.1),$D37 &amp; ";","")</f>
        <v/>
      </c>
      <c r="BI37" s="58">
        <f>IF(AND($H37="opportunity",$S37=0.5,$R37=0.05),$D37 &amp; ";","")</f>
        <v/>
      </c>
      <c r="BJ37" s="58">
        <f>IF(AND($H37="opportunity",$S37=0.3,$R37=0.8),$D37 &amp; ";","")</f>
        <v/>
      </c>
      <c r="BK37" s="58">
        <f>IF(AND($H37="opportunity",$S37=0.3,$R37=0.4),$D37 &amp; ";","")</f>
        <v/>
      </c>
      <c r="BL37" s="58">
        <f>IF(AND($H37="opportunity",$S37=0.3,$R37=0.2),$D37 &amp; ";","")</f>
        <v/>
      </c>
      <c r="BM37" s="58">
        <f>IF(AND($H37="opportunity",$S37=0.3,$R37=0.1),$D37 &amp; ";","")</f>
        <v/>
      </c>
      <c r="BN37" s="58">
        <f>IF(AND($H37="opportunity",$S37=0.3,$R37=0.05),$D37 &amp; ";","")</f>
        <v/>
      </c>
      <c r="BO37" s="58">
        <f>IF(AND($H37="opportunity",$S37=0.1,$R37=0.8),$D37 &amp; ";","")</f>
        <v/>
      </c>
      <c r="BP37" s="58">
        <f>IF(AND($H37="opportunity",$S37=0.1,$R37=0.4),$D37 &amp; ";","")</f>
        <v/>
      </c>
      <c r="BQ37" s="58">
        <f>IF(AND($H37="opportunity",$S37=0.1,$R37=0.2),$D37 &amp; ";","")</f>
        <v/>
      </c>
      <c r="BR37" s="58">
        <f>IF(AND($H37="opportunity",$S37=0.1,$R37=0.1),$D37 &amp; ";","")</f>
        <v/>
      </c>
      <c r="BS37" s="58">
        <f>IF(AND($H37="opportunity",$S37=0.1,$R37=0.05),$D37 &amp; ";","")</f>
        <v/>
      </c>
      <c r="BV37" s="57">
        <f>INDIRECT(ADDRESS(ROW()-22,COLUMN()-45,1,1,"Risk Register"))</f>
        <v/>
      </c>
      <c r="BW37" s="58">
        <f>INDIRECT(ADDRESS(ROW()-22,COLUMN()-44,1,1,"Risk Register"))</f>
        <v/>
      </c>
      <c r="BX37" s="59">
        <f>IF(AND($H37="threat",$P37&lt;=0.05),"gn",IF(AND($H37="threat",$P37&lt;=0.14),"y",IF(AND($H37="threat", $P37&gt;=0.15),"r",IF(AND($H37="opportunity",$P37&lt;=0.05),"gn",IF(AND($H37="opportunity",$P37&lt;=0.14),"lb",IF(AND($H37="opportunity",$P37&gt;=0.15),"db","z"))))))</f>
        <v/>
      </c>
      <c r="BY37" s="58">
        <f>IF(AND($H37="threat",$BW37=0.9,$BV37=0.05),$D37 &amp; ";","")</f>
        <v/>
      </c>
      <c r="BZ37" s="58">
        <f>IF(AND($H37="threat",$BW37=0.9,$BV37=0.1),$D37 &amp; ";","")</f>
        <v/>
      </c>
      <c r="CA37" s="58">
        <f>IF(AND($H37="threat",$BW37=0.9,$BV37=0.2),$D37 &amp; ";","")</f>
        <v/>
      </c>
      <c r="CB37" s="58">
        <f>IF(AND($H37="threat",$BW37=0.9,$BV37=0.4),$D37 &amp; ";","")</f>
        <v/>
      </c>
      <c r="CC37" s="58">
        <f>IF(AND($H37="threat",$BW37=0.9,$BV37=0.8),$D37 &amp; ";","")</f>
        <v/>
      </c>
      <c r="CD37" s="58">
        <f>IF(AND($H37="threat",$BW37=0.7,$BV37=0.05),$D37 &amp; ";","")</f>
        <v/>
      </c>
      <c r="CE37" s="58">
        <f>IF(AND($H37="threat",$BW37=0.7,$BV37=0.1),$D37 &amp; ";","")</f>
        <v/>
      </c>
      <c r="CF37" s="58">
        <f>IF(AND($H37="threat",$BW37=0.7,$BV37=0.2),$D37 &amp; ";","")</f>
        <v/>
      </c>
      <c r="CG37" s="58">
        <f>IF(AND($H37="threat",$BW37=0.7,$BV37=0.4),$D37 &amp; ";","")</f>
        <v/>
      </c>
      <c r="CH37" s="58">
        <f>IF(AND($H37="threat",$BW37=0.7,$BV37=0.8),$D37 &amp; ";","")</f>
        <v/>
      </c>
      <c r="CI37" s="58">
        <f>IF(AND($H37="threat",$BW37=0.5,$BV37=0.05),$D37 &amp; ";","")</f>
        <v/>
      </c>
      <c r="CJ37" s="58">
        <f>IF(AND($H37="threat",$BW37=0.5,$BV37=0.1),$D37 &amp; ";","")</f>
        <v/>
      </c>
      <c r="CK37" s="58">
        <f>IF(AND($H37="threat",$BW37=0.5,$BV37=0.2),$D37 &amp; ";","")</f>
        <v/>
      </c>
      <c r="CL37" s="58">
        <f>IF(AND($H37="threat",$BW37=0.5,$BV37=0.4),$D37 &amp; ";","")</f>
        <v/>
      </c>
      <c r="CM37" s="58">
        <f>IF(AND($H37="threat",$BW37=0.5,$BV37=0.8),$D37 &amp; ";","")</f>
        <v/>
      </c>
      <c r="CN37" s="58">
        <f>IF(AND($H37="threat",$BW37=0.3,$BV37=0.05),$D37 &amp; ";","")</f>
        <v/>
      </c>
      <c r="CO37" s="58">
        <f>IF(AND($H37="threat",$BW37=0.3,$BV37=0.1),$D37 &amp; ";","")</f>
        <v/>
      </c>
      <c r="CP37" s="58">
        <f>IF(AND($H37="threat",$BW37=0.3,$BV37=0.2),$D37 &amp; ";","")</f>
        <v/>
      </c>
      <c r="CQ37" s="58">
        <f>IF(AND($H37="threat",$BW37=0.3,$BV37=0.4),$D37 &amp; ";","")</f>
        <v/>
      </c>
      <c r="CR37" s="58">
        <f>IF(AND($H37="threat",$BW37=0.3,$BV37=0.8),$D37 &amp; ";","")</f>
        <v/>
      </c>
      <c r="CS37" s="58">
        <f>IF(AND($H37="threat",$BW37=0.1,$BV37=0.05),$D37 &amp; ";","")</f>
        <v/>
      </c>
      <c r="CT37" s="58">
        <f>IF(AND($H37="threat",$BW37=0.1,$BV37=0.1),$D37 &amp; ";","")</f>
        <v/>
      </c>
      <c r="CU37" s="58">
        <f>IF(AND($H37="threat",$BW37=0.1,$BV37=0.2),$D37 &amp; ";","")</f>
        <v/>
      </c>
      <c r="CV37" s="58">
        <f>IF(AND($H37="threat",$BW37=0.1,$BV37=0.4),$D37 &amp; ";","")</f>
        <v/>
      </c>
      <c r="CW37" s="58">
        <f>IF(AND($H37="threat",$BW37=0.1,$BV37=0.8),$D37 &amp; ";","")</f>
        <v/>
      </c>
      <c r="CX37" s="39" t="n"/>
      <c r="CY37" s="58">
        <f>IF(AND($H37="opportunity",$BW37=0.9,$BV37=0.8),$D37 &amp; ";","")</f>
        <v/>
      </c>
      <c r="CZ37" s="58">
        <f>IF(AND($H37="opportunity",$BW37=0.9,$BV37=0.4),$D37 &amp; ";","")</f>
        <v/>
      </c>
      <c r="DA37" s="58">
        <f>IF(AND($H37="opportunity",$BW37=0.9,$BV37=0.2),$D37 &amp; ";","")</f>
        <v/>
      </c>
      <c r="DB37" s="58">
        <f>IF(AND($H37="opportunity",$BW37=0.9,$BV37=0.1),$D37 &amp; ";","")</f>
        <v/>
      </c>
      <c r="DC37" s="58">
        <f>IF(AND($H37="opportunity",$BW37=0.9,$BV37=0.05),$D37 &amp; ";","")</f>
        <v/>
      </c>
      <c r="DD37" s="58">
        <f>IF(AND($H37="opportunity",$BW37=0.7,$BV37=0.8),$D37 &amp; ";","")</f>
        <v/>
      </c>
      <c r="DE37" s="58">
        <f>IF(AND($H37="opportunity",$BW37=0.7,$BV37=0.4),$D37 &amp; ";","")</f>
        <v/>
      </c>
      <c r="DF37" s="58">
        <f>IF(AND($H37="opportunity",$BW37=0.7,$BV37=0.2),$D37 &amp; ";","")</f>
        <v/>
      </c>
      <c r="DG37" s="58">
        <f>IF(AND($H37="opportunity",$BW37=0.7,$BV37=0.1),$D37 &amp; ";","")</f>
        <v/>
      </c>
      <c r="DH37" s="58">
        <f>IF(AND($H37="opportunity",$BW37=0.7,$BV37=0.05),$D37 &amp; ";","")</f>
        <v/>
      </c>
      <c r="DI37" s="58">
        <f>IF(AND($H37="opportunity",$BW37=0.5,$BV37=0.8),$D37 &amp; ";","")</f>
        <v/>
      </c>
      <c r="DJ37" s="58">
        <f>IF(AND($H37="opportunity",$BW37=0.5,$BV37=0.4),$D37 &amp; ";","")</f>
        <v/>
      </c>
      <c r="DK37" s="58">
        <f>IF(AND($H37="opportunity",$BW37=0.5,$BV37=0.2),$D37 &amp; ";","")</f>
        <v/>
      </c>
      <c r="DL37" s="58">
        <f>IF(AND($H37="opportunity",$BW37=0.5,$BV37=0.1),$D37 &amp; ";","")</f>
        <v/>
      </c>
      <c r="DM37" s="58">
        <f>IF(AND($H37="opportunity",$BW37=0.5,$BV37=0.05),$D37 &amp; ";","")</f>
        <v/>
      </c>
      <c r="DN37" s="58">
        <f>IF(AND($H37="opportunity",$BW37=0.3,$BV37=0.8),$D37 &amp; ";","")</f>
        <v/>
      </c>
      <c r="DO37" s="58">
        <f>IF(AND($H37="opportunity",$BW37=0.3,$BV37=0.4),$D37 &amp; ";","")</f>
        <v/>
      </c>
      <c r="DP37" s="58">
        <f>IF(AND($H37="opportunity",$BW37=0.3,$BV37=0.2),$D37 &amp; ";","")</f>
        <v/>
      </c>
      <c r="DQ37" s="58">
        <f>IF(AND($H37="opportunity",$BW37=0.3,$BV37=0.1),$D37 &amp; ";","")</f>
        <v/>
      </c>
      <c r="DR37" s="58">
        <f>IF(AND($H37="opportunity",$BW37=0.3,$BV37=0.05),$D37 &amp; ";","")</f>
        <v/>
      </c>
      <c r="DS37" s="58">
        <f>IF(AND($H37="opportunity",$BW37=0.1,$BV37=0.8),$D37 &amp; ";","")</f>
        <v/>
      </c>
      <c r="DT37" s="58">
        <f>IF(AND($H37="opportunity",$BW37=0.1,$BV37=0.4),$D37 &amp; ";","")</f>
        <v/>
      </c>
      <c r="DU37" s="58">
        <f>IF(AND($H37="opportunity",$BW37=0.1,$BV37=0.2),$D37 &amp; ";","")</f>
        <v/>
      </c>
      <c r="DV37" s="58">
        <f>IF(AND($H37="opportunity",$BW37=0.1,$BV37=0.1),$D37 &amp; ";","")</f>
        <v/>
      </c>
      <c r="DW37" s="58">
        <f>IF(AND($H37="opportunity",$BW37=0.1,$BV37=0.05),$D37 &amp; ";","")</f>
        <v/>
      </c>
    </row>
    <row r="38">
      <c r="D38" s="60">
        <f>INDIRECT(ADDRESS(ROW()-22,COLUMN()-2,1,1,"Risk Register"))</f>
        <v/>
      </c>
      <c r="E38" s="143">
        <f>INDIRECT(ADDRESS(ROW()-22,COLUMN()-1,1,1,"Risk Register"))</f>
        <v/>
      </c>
      <c r="G38" s="56">
        <f>INDIRECT(ADDRESS(ROW()-22,COLUMN()+10,1,1,"Risk Register"))</f>
        <v/>
      </c>
      <c r="H38" s="60">
        <f>INDIRECT(ADDRESS(ROW()-22,COLUMN()+8,1,1,"Risk Register"))</f>
        <v/>
      </c>
      <c r="I38" s="54">
        <f>INDIRECT(ADDRESS(ROW()-22,COLUMN()+3,1,1,"Risk Register"))</f>
        <v/>
      </c>
      <c r="J38" s="143">
        <f>INDIRECT(ADDRESS(ROW()-22,COLUMN()+12,1,1,"Risk Register"))</f>
        <v/>
      </c>
      <c r="K38" s="143">
        <f>INDIRECT(ADDRESS(ROW()-22,COLUMN()-2,1,1,"Risk Register"))</f>
        <v/>
      </c>
      <c r="L38" s="176">
        <f>INDIRECT(ADDRESS(ROW()-22,COLUMN()+15,1,1,"Risk Register"))</f>
        <v/>
      </c>
      <c r="M38" s="54">
        <f>INDIRECT(ADDRESS(ROW()-22,COLUMN()+13,1,1,"Risk Register"))</f>
        <v/>
      </c>
      <c r="N38" s="143">
        <f>INDIRECT(ADDRESS(ROW()-22,COLUMN()-9,1,1,"Risk Register"))</f>
        <v/>
      </c>
      <c r="O38" s="143">
        <f>INDIRECT(ADDRESS(ROW()-22,COLUMN()-8,1,1,"Risk Register"))</f>
        <v/>
      </c>
      <c r="P38" s="56">
        <f>INDIRECT(ADDRESS(ROW()-22,COLUMN()+18,1,1,"Risk Register"))</f>
        <v/>
      </c>
      <c r="R38" s="57">
        <f>INDIRECT(ADDRESS(ROW()-22,COLUMN()-5,1,1,"Risk Register"))</f>
        <v/>
      </c>
      <c r="S38" s="58">
        <f>INDIRECT(ADDRESS(ROW()-22,COLUMN()-4,1,1,"Risk Register"))</f>
        <v/>
      </c>
      <c r="T38" s="59">
        <f>IF(AND($H38="threat",$G38&lt;=0.05),"gn",IF(AND($H38="threat",$G38&lt;=0.14),"y",IF(AND($H38="threat", $G38&gt;=0.15),"r",IF(AND($H38="opportunity",$G38&lt;=0.05),"gn",IF(AND($H38="opportunity",$G38&lt;=0.14),"lb",IF(AND($H38="opportunity",$G38&gt;=0.15),"db","z"))))))</f>
        <v/>
      </c>
      <c r="U38" s="58">
        <f>IF(AND($H38="threat",$S38=0.9,$R38=0.05),$D38 &amp; ";","")</f>
        <v/>
      </c>
      <c r="V38" s="58">
        <f>IF(AND($H38="threat",$S38=0.9,$R38=0.1),$D38 &amp; ";","")</f>
        <v/>
      </c>
      <c r="W38" s="58">
        <f>IF(AND($H38="threat",$S38=0.9,$R38=0.2),$D38 &amp; ";","")</f>
        <v/>
      </c>
      <c r="X38" s="58">
        <f>IF(AND($H38="threat",$S38=0.9,$R38=0.4),$D38 &amp; ";","")</f>
        <v/>
      </c>
      <c r="Y38" s="58">
        <f>IF(AND($H38="threat",$S38=0.9,$R38=0.8),$D38 &amp; ";","")</f>
        <v/>
      </c>
      <c r="Z38" s="58">
        <f>IF(AND($H38="threat",$S38=0.7,$R38=0.05),$D38 &amp; ";","")</f>
        <v/>
      </c>
      <c r="AA38" s="58">
        <f>IF(AND($H38="threat",$S38=0.7,$R38=0.1),$D38 &amp; ";","")</f>
        <v/>
      </c>
      <c r="AB38" s="58">
        <f>IF(AND($H38="threat",$S38=0.7,$R38=0.2),$D38 &amp; ";","")</f>
        <v/>
      </c>
      <c r="AC38" s="58">
        <f>IF(AND($H38="threat",$S38=0.7,$R38=0.4),$D38 &amp; ";","")</f>
        <v/>
      </c>
      <c r="AD38" s="58">
        <f>IF(AND($H38="threat",$S38=0.7,$R38=0.8),$D38 &amp; ";","")</f>
        <v/>
      </c>
      <c r="AE38" s="58">
        <f>IF(AND($H38="threat",$S38=0.5,$R38=0.05),$D38 &amp; ";","")</f>
        <v/>
      </c>
      <c r="AF38" s="58">
        <f>IF(AND($H38="threat",$S38=0.5,$R38=0.1),$D38 &amp; ";","")</f>
        <v/>
      </c>
      <c r="AG38" s="58">
        <f>IF(AND($H38="threat",$S38=0.5,$R38=0.2),$D38 &amp; ";","")</f>
        <v/>
      </c>
      <c r="AH38" s="58">
        <f>IF(AND($H38="threat",$S38=0.5,$R38=0.4),$D38 &amp; ";","")</f>
        <v/>
      </c>
      <c r="AI38" s="58">
        <f>IF(AND($H38="threat",$S38=0.5,$R38=0.8),$D38 &amp; ";","")</f>
        <v/>
      </c>
      <c r="AJ38" s="58">
        <f>IF(AND($H38="threat",$S38=0.3,$R38=0.05),$D38 &amp; ";","")</f>
        <v/>
      </c>
      <c r="AK38" s="58">
        <f>IF(AND($H38="threat",$S38=0.3,$R38=0.1),$D38 &amp; ";","")</f>
        <v/>
      </c>
      <c r="AL38" s="58">
        <f>IF(AND($H38="threat",$S38=0.3,$R38=0.2),$D38 &amp; ";","")</f>
        <v/>
      </c>
      <c r="AM38" s="58">
        <f>IF(AND($H38="threat",$S38=0.3,$R38=0.4),$D38 &amp; ";","")</f>
        <v/>
      </c>
      <c r="AN38" s="58">
        <f>IF(AND($H38="threat",$S38=0.3,$R38=0.8),$D38 &amp; ";","")</f>
        <v/>
      </c>
      <c r="AO38" s="58">
        <f>IF(AND($H38="threat",$S38=0.1,$R38=0.05),$D38 &amp; ";","")</f>
        <v/>
      </c>
      <c r="AP38" s="58">
        <f>IF(AND($H38="threat",$S38=0.1,$R38=0.1),$D38 &amp; ";","")</f>
        <v/>
      </c>
      <c r="AQ38" s="58">
        <f>IF(AND($H38="threat",$S38=0.1,$R38=0.2),$D38 &amp; ";","")</f>
        <v/>
      </c>
      <c r="AR38" s="58">
        <f>IF(AND($H38="threat",$S38=0.1,$R38=0.4),$D38 &amp; ";","")</f>
        <v/>
      </c>
      <c r="AS38" s="58">
        <f>IF(AND($H38="threat",$S38=0.1,$R38=0.8),$D38 &amp; ";","")</f>
        <v/>
      </c>
      <c r="AT38" s="39" t="n"/>
      <c r="AU38" s="58">
        <f>IF(AND($H38="opportunity",$S38=0.9,$R38=0.8),$D38 &amp; ";","")</f>
        <v/>
      </c>
      <c r="AV38" s="58">
        <f>IF(AND($H38="opportunity",$S38=0.9,$R38=0.4),$D38 &amp; ";","")</f>
        <v/>
      </c>
      <c r="AW38" s="58">
        <f>IF(AND($H38="opportunity",$S38=0.9,$R38=0.2),$D38 &amp; ";","")</f>
        <v/>
      </c>
      <c r="AX38" s="58">
        <f>IF(AND($H38="opportunity",$S38=0.9,$R38=0.1),$D38 &amp; ";","")</f>
        <v/>
      </c>
      <c r="AY38" s="58">
        <f>IF(AND($H38="opportunity",$S38=0.9,$R38=0.05),$D38 &amp; ";","")</f>
        <v/>
      </c>
      <c r="AZ38" s="58">
        <f>IF(AND($H38="opportunity",$S38=0.7,$R38=0.8),$D38 &amp; ";","")</f>
        <v/>
      </c>
      <c r="BA38" s="58">
        <f>IF(AND($H38="opportunity",$S38=0.7,$R38=0.4),$D38 &amp; ";","")</f>
        <v/>
      </c>
      <c r="BB38" s="58">
        <f>IF(AND($H38="opportunity",$S38=0.7,$R38=0.2),$D38 &amp; ";","")</f>
        <v/>
      </c>
      <c r="BC38" s="58">
        <f>IF(AND($H38="opportunity",$S38=0.7,$R38=0.1),$D38 &amp; ";","")</f>
        <v/>
      </c>
      <c r="BD38" s="58">
        <f>IF(AND($H38="opportunity",$S38=0.7,$R38=0.05),$D38 &amp; ";","")</f>
        <v/>
      </c>
      <c r="BE38" s="58">
        <f>IF(AND($H38="opportunity",$S38=0.5,$R38=0.8),$D38 &amp; ";","")</f>
        <v/>
      </c>
      <c r="BF38" s="58">
        <f>IF(AND($H38="opportunity",$S38=0.5,$R38=0.4),$D38 &amp; ";","")</f>
        <v/>
      </c>
      <c r="BG38" s="58">
        <f>IF(AND($H38="opportunity",$S38=0.5,$R38=0.2),$D38 &amp; ";","")</f>
        <v/>
      </c>
      <c r="BH38" s="58">
        <f>IF(AND($H38="opportunity",$S38=0.5,$R38=0.1),$D38 &amp; ";","")</f>
        <v/>
      </c>
      <c r="BI38" s="58">
        <f>IF(AND($H38="opportunity",$S38=0.5,$R38=0.05),$D38 &amp; ";","")</f>
        <v/>
      </c>
      <c r="BJ38" s="58">
        <f>IF(AND($H38="opportunity",$S38=0.3,$R38=0.8),$D38 &amp; ";","")</f>
        <v/>
      </c>
      <c r="BK38" s="58">
        <f>IF(AND($H38="opportunity",$S38=0.3,$R38=0.4),$D38 &amp; ";","")</f>
        <v/>
      </c>
      <c r="BL38" s="58">
        <f>IF(AND($H38="opportunity",$S38=0.3,$R38=0.2),$D38 &amp; ";","")</f>
        <v/>
      </c>
      <c r="BM38" s="58">
        <f>IF(AND($H38="opportunity",$S38=0.3,$R38=0.1),$D38 &amp; ";","")</f>
        <v/>
      </c>
      <c r="BN38" s="58">
        <f>IF(AND($H38="opportunity",$S38=0.3,$R38=0.05),$D38 &amp; ";","")</f>
        <v/>
      </c>
      <c r="BO38" s="58">
        <f>IF(AND($H38="opportunity",$S38=0.1,$R38=0.8),$D38 &amp; ";","")</f>
        <v/>
      </c>
      <c r="BP38" s="58">
        <f>IF(AND($H38="opportunity",$S38=0.1,$R38=0.4),$D38 &amp; ";","")</f>
        <v/>
      </c>
      <c r="BQ38" s="58">
        <f>IF(AND($H38="opportunity",$S38=0.1,$R38=0.2),$D38 &amp; ";","")</f>
        <v/>
      </c>
      <c r="BR38" s="58">
        <f>IF(AND($H38="opportunity",$S38=0.1,$R38=0.1),$D38 &amp; ";","")</f>
        <v/>
      </c>
      <c r="BS38" s="58">
        <f>IF(AND($H38="opportunity",$S38=0.1,$R38=0.05),$D38 &amp; ";","")</f>
        <v/>
      </c>
      <c r="BV38" s="57">
        <f>INDIRECT(ADDRESS(ROW()-22,COLUMN()-45,1,1,"Risk Register"))</f>
        <v/>
      </c>
      <c r="BW38" s="58">
        <f>INDIRECT(ADDRESS(ROW()-22,COLUMN()-44,1,1,"Risk Register"))</f>
        <v/>
      </c>
      <c r="BX38" s="59">
        <f>IF(AND($H38="threat",$P38&lt;=0.05),"gn",IF(AND($H38="threat",$P38&lt;=0.14),"y",IF(AND($H38="threat", $P38&gt;=0.15),"r",IF(AND($H38="opportunity",$P38&lt;=0.05),"gn",IF(AND($H38="opportunity",$P38&lt;=0.14),"lb",IF(AND($H38="opportunity",$P38&gt;=0.15),"db","z"))))))</f>
        <v/>
      </c>
      <c r="BY38" s="58">
        <f>IF(AND($H38="threat",$BW38=0.9,$BV38=0.05),$D38 &amp; ";","")</f>
        <v/>
      </c>
      <c r="BZ38" s="58">
        <f>IF(AND($H38="threat",$BW38=0.9,$BV38=0.1),$D38 &amp; ";","")</f>
        <v/>
      </c>
      <c r="CA38" s="58">
        <f>IF(AND($H38="threat",$BW38=0.9,$BV38=0.2),$D38 &amp; ";","")</f>
        <v/>
      </c>
      <c r="CB38" s="58">
        <f>IF(AND($H38="threat",$BW38=0.9,$BV38=0.4),$D38 &amp; ";","")</f>
        <v/>
      </c>
      <c r="CC38" s="58">
        <f>IF(AND($H38="threat",$BW38=0.9,$BV38=0.8),$D38 &amp; ";","")</f>
        <v/>
      </c>
      <c r="CD38" s="58">
        <f>IF(AND($H38="threat",$BW38=0.7,$BV38=0.05),$D38 &amp; ";","")</f>
        <v/>
      </c>
      <c r="CE38" s="58">
        <f>IF(AND($H38="threat",$BW38=0.7,$BV38=0.1),$D38 &amp; ";","")</f>
        <v/>
      </c>
      <c r="CF38" s="58">
        <f>IF(AND($H38="threat",$BW38=0.7,$BV38=0.2),$D38 &amp; ";","")</f>
        <v/>
      </c>
      <c r="CG38" s="58">
        <f>IF(AND($H38="threat",$BW38=0.7,$BV38=0.4),$D38 &amp; ";","")</f>
        <v/>
      </c>
      <c r="CH38" s="58">
        <f>IF(AND($H38="threat",$BW38=0.7,$BV38=0.8),$D38 &amp; ";","")</f>
        <v/>
      </c>
      <c r="CI38" s="58">
        <f>IF(AND($H38="threat",$BW38=0.5,$BV38=0.05),$D38 &amp; ";","")</f>
        <v/>
      </c>
      <c r="CJ38" s="58">
        <f>IF(AND($H38="threat",$BW38=0.5,$BV38=0.1),$D38 &amp; ";","")</f>
        <v/>
      </c>
      <c r="CK38" s="58">
        <f>IF(AND($H38="threat",$BW38=0.5,$BV38=0.2),$D38 &amp; ";","")</f>
        <v/>
      </c>
      <c r="CL38" s="58">
        <f>IF(AND($H38="threat",$BW38=0.5,$BV38=0.4),$D38 &amp; ";","")</f>
        <v/>
      </c>
      <c r="CM38" s="58">
        <f>IF(AND($H38="threat",$BW38=0.5,$BV38=0.8),$D38 &amp; ";","")</f>
        <v/>
      </c>
      <c r="CN38" s="58">
        <f>IF(AND($H38="threat",$BW38=0.3,$BV38=0.05),$D38 &amp; ";","")</f>
        <v/>
      </c>
      <c r="CO38" s="58">
        <f>IF(AND($H38="threat",$BW38=0.3,$BV38=0.1),$D38 &amp; ";","")</f>
        <v/>
      </c>
      <c r="CP38" s="58">
        <f>IF(AND($H38="threat",$BW38=0.3,$BV38=0.2),$D38 &amp; ";","")</f>
        <v/>
      </c>
      <c r="CQ38" s="58">
        <f>IF(AND($H38="threat",$BW38=0.3,$BV38=0.4),$D38 &amp; ";","")</f>
        <v/>
      </c>
      <c r="CR38" s="58">
        <f>IF(AND($H38="threat",$BW38=0.3,$BV38=0.8),$D38 &amp; ";","")</f>
        <v/>
      </c>
      <c r="CS38" s="58">
        <f>IF(AND($H38="threat",$BW38=0.1,$BV38=0.05),$D38 &amp; ";","")</f>
        <v/>
      </c>
      <c r="CT38" s="58">
        <f>IF(AND($H38="threat",$BW38=0.1,$BV38=0.1),$D38 &amp; ";","")</f>
        <v/>
      </c>
      <c r="CU38" s="58">
        <f>IF(AND($H38="threat",$BW38=0.1,$BV38=0.2),$D38 &amp; ";","")</f>
        <v/>
      </c>
      <c r="CV38" s="58">
        <f>IF(AND($H38="threat",$BW38=0.1,$BV38=0.4),$D38 &amp; ";","")</f>
        <v/>
      </c>
      <c r="CW38" s="58">
        <f>IF(AND($H38="threat",$BW38=0.1,$BV38=0.8),$D38 &amp; ";","")</f>
        <v/>
      </c>
      <c r="CX38" s="39" t="n"/>
      <c r="CY38" s="58">
        <f>IF(AND($H38="opportunity",$BW38=0.9,$BV38=0.8),$D38 &amp; ";","")</f>
        <v/>
      </c>
      <c r="CZ38" s="58">
        <f>IF(AND($H38="opportunity",$BW38=0.9,$BV38=0.4),$D38 &amp; ";","")</f>
        <v/>
      </c>
      <c r="DA38" s="58">
        <f>IF(AND($H38="opportunity",$BW38=0.9,$BV38=0.2),$D38 &amp; ";","")</f>
        <v/>
      </c>
      <c r="DB38" s="58">
        <f>IF(AND($H38="opportunity",$BW38=0.9,$BV38=0.1),$D38 &amp; ";","")</f>
        <v/>
      </c>
      <c r="DC38" s="58">
        <f>IF(AND($H38="opportunity",$BW38=0.9,$BV38=0.05),$D38 &amp; ";","")</f>
        <v/>
      </c>
      <c r="DD38" s="58">
        <f>IF(AND($H38="opportunity",$BW38=0.7,$BV38=0.8),$D38 &amp; ";","")</f>
        <v/>
      </c>
      <c r="DE38" s="58">
        <f>IF(AND($H38="opportunity",$BW38=0.7,$BV38=0.4),$D38 &amp; ";","")</f>
        <v/>
      </c>
      <c r="DF38" s="58">
        <f>IF(AND($H38="opportunity",$BW38=0.7,$BV38=0.2),$D38 &amp; ";","")</f>
        <v/>
      </c>
      <c r="DG38" s="58">
        <f>IF(AND($H38="opportunity",$BW38=0.7,$BV38=0.1),$D38 &amp; ";","")</f>
        <v/>
      </c>
      <c r="DH38" s="58">
        <f>IF(AND($H38="opportunity",$BW38=0.7,$BV38=0.05),$D38 &amp; ";","")</f>
        <v/>
      </c>
      <c r="DI38" s="58">
        <f>IF(AND($H38="opportunity",$BW38=0.5,$BV38=0.8),$D38 &amp; ";","")</f>
        <v/>
      </c>
      <c r="DJ38" s="58">
        <f>IF(AND($H38="opportunity",$BW38=0.5,$BV38=0.4),$D38 &amp; ";","")</f>
        <v/>
      </c>
      <c r="DK38" s="58">
        <f>IF(AND($H38="opportunity",$BW38=0.5,$BV38=0.2),$D38 &amp; ";","")</f>
        <v/>
      </c>
      <c r="DL38" s="58">
        <f>IF(AND($H38="opportunity",$BW38=0.5,$BV38=0.1),$D38 &amp; ";","")</f>
        <v/>
      </c>
      <c r="DM38" s="58">
        <f>IF(AND($H38="opportunity",$BW38=0.5,$BV38=0.05),$D38 &amp; ";","")</f>
        <v/>
      </c>
      <c r="DN38" s="58">
        <f>IF(AND($H38="opportunity",$BW38=0.3,$BV38=0.8),$D38 &amp; ";","")</f>
        <v/>
      </c>
      <c r="DO38" s="58">
        <f>IF(AND($H38="opportunity",$BW38=0.3,$BV38=0.4),$D38 &amp; ";","")</f>
        <v/>
      </c>
      <c r="DP38" s="58">
        <f>IF(AND($H38="opportunity",$BW38=0.3,$BV38=0.2),$D38 &amp; ";","")</f>
        <v/>
      </c>
      <c r="DQ38" s="58">
        <f>IF(AND($H38="opportunity",$BW38=0.3,$BV38=0.1),$D38 &amp; ";","")</f>
        <v/>
      </c>
      <c r="DR38" s="58">
        <f>IF(AND($H38="opportunity",$BW38=0.3,$BV38=0.05),$D38 &amp; ";","")</f>
        <v/>
      </c>
      <c r="DS38" s="58">
        <f>IF(AND($H38="opportunity",$BW38=0.1,$BV38=0.8),$D38 &amp; ";","")</f>
        <v/>
      </c>
      <c r="DT38" s="58">
        <f>IF(AND($H38="opportunity",$BW38=0.1,$BV38=0.4),$D38 &amp; ";","")</f>
        <v/>
      </c>
      <c r="DU38" s="58">
        <f>IF(AND($H38="opportunity",$BW38=0.1,$BV38=0.2),$D38 &amp; ";","")</f>
        <v/>
      </c>
      <c r="DV38" s="58">
        <f>IF(AND($H38="opportunity",$BW38=0.1,$BV38=0.1),$D38 &amp; ";","")</f>
        <v/>
      </c>
      <c r="DW38" s="58">
        <f>IF(AND($H38="opportunity",$BW38=0.1,$BV38=0.05),$D38 &amp; ";","")</f>
        <v/>
      </c>
    </row>
    <row r="39">
      <c r="D39" s="60">
        <f>INDIRECT(ADDRESS(ROW()-22,COLUMN()-2,1,1,"Risk Register"))</f>
        <v/>
      </c>
      <c r="E39" s="143">
        <f>INDIRECT(ADDRESS(ROW()-22,COLUMN()-1,1,1,"Risk Register"))</f>
        <v/>
      </c>
      <c r="G39" s="56">
        <f>INDIRECT(ADDRESS(ROW()-22,COLUMN()+10,1,1,"Risk Register"))</f>
        <v/>
      </c>
      <c r="H39" s="60">
        <f>INDIRECT(ADDRESS(ROW()-22,COLUMN()+8,1,1,"Risk Register"))</f>
        <v/>
      </c>
      <c r="I39" s="54">
        <f>INDIRECT(ADDRESS(ROW()-22,COLUMN()+3,1,1,"Risk Register"))</f>
        <v/>
      </c>
      <c r="J39" s="143">
        <f>INDIRECT(ADDRESS(ROW()-22,COLUMN()+12,1,1,"Risk Register"))</f>
        <v/>
      </c>
      <c r="K39" s="143">
        <f>INDIRECT(ADDRESS(ROW()-22,COLUMN()-2,1,1,"Risk Register"))</f>
        <v/>
      </c>
      <c r="L39" s="176">
        <f>INDIRECT(ADDRESS(ROW()-22,COLUMN()+15,1,1,"Risk Register"))</f>
        <v/>
      </c>
      <c r="M39" s="54">
        <f>INDIRECT(ADDRESS(ROW()-22,COLUMN()+13,1,1,"Risk Register"))</f>
        <v/>
      </c>
      <c r="N39" s="143">
        <f>INDIRECT(ADDRESS(ROW()-22,COLUMN()-9,1,1,"Risk Register"))</f>
        <v/>
      </c>
      <c r="O39" s="143">
        <f>INDIRECT(ADDRESS(ROW()-22,COLUMN()-8,1,1,"Risk Register"))</f>
        <v/>
      </c>
      <c r="P39" s="56">
        <f>INDIRECT(ADDRESS(ROW()-22,COLUMN()+18,1,1,"Risk Register"))</f>
        <v/>
      </c>
      <c r="R39" s="57">
        <f>INDIRECT(ADDRESS(ROW()-22,COLUMN()-5,1,1,"Risk Register"))</f>
        <v/>
      </c>
      <c r="S39" s="58">
        <f>INDIRECT(ADDRESS(ROW()-22,COLUMN()-4,1,1,"Risk Register"))</f>
        <v/>
      </c>
      <c r="T39" s="59">
        <f>IF(AND($H39="threat",$G39&lt;=0.05),"gn",IF(AND($H39="threat",$G39&lt;=0.14),"y",IF(AND($H39="threat", $G39&gt;=0.15),"r",IF(AND($H39="opportunity",$G39&lt;=0.05),"gn",IF(AND($H39="opportunity",$G39&lt;=0.14),"lb",IF(AND($H39="opportunity",$G39&gt;=0.15),"db","z"))))))</f>
        <v/>
      </c>
      <c r="U39" s="58">
        <f>IF(AND($H39="threat",$S39=0.9,$R39=0.05),$D39 &amp; ";","")</f>
        <v/>
      </c>
      <c r="V39" s="58">
        <f>IF(AND($H39="threat",$S39=0.9,$R39=0.1),$D39 &amp; ";","")</f>
        <v/>
      </c>
      <c r="W39" s="58">
        <f>IF(AND($H39="threat",$S39=0.9,$R39=0.2),$D39 &amp; ";","")</f>
        <v/>
      </c>
      <c r="X39" s="58">
        <f>IF(AND($H39="threat",$S39=0.9,$R39=0.4),$D39 &amp; ";","")</f>
        <v/>
      </c>
      <c r="Y39" s="58">
        <f>IF(AND($H39="threat",$S39=0.9,$R39=0.8),$D39 &amp; ";","")</f>
        <v/>
      </c>
      <c r="Z39" s="58">
        <f>IF(AND($H39="threat",$S39=0.7,$R39=0.05),$D39 &amp; ";","")</f>
        <v/>
      </c>
      <c r="AA39" s="58">
        <f>IF(AND($H39="threat",$S39=0.7,$R39=0.1),$D39 &amp; ";","")</f>
        <v/>
      </c>
      <c r="AB39" s="58">
        <f>IF(AND($H39="threat",$S39=0.7,$R39=0.2),$D39 &amp; ";","")</f>
        <v/>
      </c>
      <c r="AC39" s="58">
        <f>IF(AND($H39="threat",$S39=0.7,$R39=0.4),$D39 &amp; ";","")</f>
        <v/>
      </c>
      <c r="AD39" s="58">
        <f>IF(AND($H39="threat",$S39=0.7,$R39=0.8),$D39 &amp; ";","")</f>
        <v/>
      </c>
      <c r="AE39" s="58">
        <f>IF(AND($H39="threat",$S39=0.5,$R39=0.05),$D39 &amp; ";","")</f>
        <v/>
      </c>
      <c r="AF39" s="58">
        <f>IF(AND($H39="threat",$S39=0.5,$R39=0.1),$D39 &amp; ";","")</f>
        <v/>
      </c>
      <c r="AG39" s="58">
        <f>IF(AND($H39="threat",$S39=0.5,$R39=0.2),$D39 &amp; ";","")</f>
        <v/>
      </c>
      <c r="AH39" s="58">
        <f>IF(AND($H39="threat",$S39=0.5,$R39=0.4),$D39 &amp; ";","")</f>
        <v/>
      </c>
      <c r="AI39" s="58">
        <f>IF(AND($H39="threat",$S39=0.5,$R39=0.8),$D39 &amp; ";","")</f>
        <v/>
      </c>
      <c r="AJ39" s="58">
        <f>IF(AND($H39="threat",$S39=0.3,$R39=0.05),$D39 &amp; ";","")</f>
        <v/>
      </c>
      <c r="AK39" s="58">
        <f>IF(AND($H39="threat",$S39=0.3,$R39=0.1),$D39 &amp; ";","")</f>
        <v/>
      </c>
      <c r="AL39" s="58">
        <f>IF(AND($H39="threat",$S39=0.3,$R39=0.2),$D39 &amp; ";","")</f>
        <v/>
      </c>
      <c r="AM39" s="58">
        <f>IF(AND($H39="threat",$S39=0.3,$R39=0.4),$D39 &amp; ";","")</f>
        <v/>
      </c>
      <c r="AN39" s="58">
        <f>IF(AND($H39="threat",$S39=0.3,$R39=0.8),$D39 &amp; ";","")</f>
        <v/>
      </c>
      <c r="AO39" s="58">
        <f>IF(AND($H39="threat",$S39=0.1,$R39=0.05),$D39 &amp; ";","")</f>
        <v/>
      </c>
      <c r="AP39" s="58">
        <f>IF(AND($H39="threat",$S39=0.1,$R39=0.1),$D39 &amp; ";","")</f>
        <v/>
      </c>
      <c r="AQ39" s="58">
        <f>IF(AND($H39="threat",$S39=0.1,$R39=0.2),$D39 &amp; ";","")</f>
        <v/>
      </c>
      <c r="AR39" s="58">
        <f>IF(AND($H39="threat",$S39=0.1,$R39=0.4),$D39 &amp; ";","")</f>
        <v/>
      </c>
      <c r="AS39" s="58">
        <f>IF(AND($H39="threat",$S39=0.1,$R39=0.8),$D39 &amp; ";","")</f>
        <v/>
      </c>
      <c r="AT39" s="39" t="n"/>
      <c r="AU39" s="58">
        <f>IF(AND($H39="opportunity",$S39=0.9,$R39=0.8),$D39 &amp; ";","")</f>
        <v/>
      </c>
      <c r="AV39" s="58">
        <f>IF(AND($H39="opportunity",$S39=0.9,$R39=0.4),$D39 &amp; ";","")</f>
        <v/>
      </c>
      <c r="AW39" s="58">
        <f>IF(AND($H39="opportunity",$S39=0.9,$R39=0.2),$D39 &amp; ";","")</f>
        <v/>
      </c>
      <c r="AX39" s="58">
        <f>IF(AND($H39="opportunity",$S39=0.9,$R39=0.1),$D39 &amp; ";","")</f>
        <v/>
      </c>
      <c r="AY39" s="58">
        <f>IF(AND($H39="opportunity",$S39=0.9,$R39=0.05),$D39 &amp; ";","")</f>
        <v/>
      </c>
      <c r="AZ39" s="58">
        <f>IF(AND($H39="opportunity",$S39=0.7,$R39=0.8),$D39 &amp; ";","")</f>
        <v/>
      </c>
      <c r="BA39" s="58">
        <f>IF(AND($H39="opportunity",$S39=0.7,$R39=0.4),$D39 &amp; ";","")</f>
        <v/>
      </c>
      <c r="BB39" s="58">
        <f>IF(AND($H39="opportunity",$S39=0.7,$R39=0.2),$D39 &amp; ";","")</f>
        <v/>
      </c>
      <c r="BC39" s="58">
        <f>IF(AND($H39="opportunity",$S39=0.7,$R39=0.1),$D39 &amp; ";","")</f>
        <v/>
      </c>
      <c r="BD39" s="58">
        <f>IF(AND($H39="opportunity",$S39=0.7,$R39=0.05),$D39 &amp; ";","")</f>
        <v/>
      </c>
      <c r="BE39" s="58">
        <f>IF(AND($H39="opportunity",$S39=0.5,$R39=0.8),$D39 &amp; ";","")</f>
        <v/>
      </c>
      <c r="BF39" s="58">
        <f>IF(AND($H39="opportunity",$S39=0.5,$R39=0.4),$D39 &amp; ";","")</f>
        <v/>
      </c>
      <c r="BG39" s="58">
        <f>IF(AND($H39="opportunity",$S39=0.5,$R39=0.2),$D39 &amp; ";","")</f>
        <v/>
      </c>
      <c r="BH39" s="58">
        <f>IF(AND($H39="opportunity",$S39=0.5,$R39=0.1),$D39 &amp; ";","")</f>
        <v/>
      </c>
      <c r="BI39" s="58">
        <f>IF(AND($H39="opportunity",$S39=0.5,$R39=0.05),$D39 &amp; ";","")</f>
        <v/>
      </c>
      <c r="BJ39" s="58">
        <f>IF(AND($H39="opportunity",$S39=0.3,$R39=0.8),$D39 &amp; ";","")</f>
        <v/>
      </c>
      <c r="BK39" s="58">
        <f>IF(AND($H39="opportunity",$S39=0.3,$R39=0.4),$D39 &amp; ";","")</f>
        <v/>
      </c>
      <c r="BL39" s="58">
        <f>IF(AND($H39="opportunity",$S39=0.3,$R39=0.2),$D39 &amp; ";","")</f>
        <v/>
      </c>
      <c r="BM39" s="58">
        <f>IF(AND($H39="opportunity",$S39=0.3,$R39=0.1),$D39 &amp; ";","")</f>
        <v/>
      </c>
      <c r="BN39" s="58">
        <f>IF(AND($H39="opportunity",$S39=0.3,$R39=0.05),$D39 &amp; ";","")</f>
        <v/>
      </c>
      <c r="BO39" s="58">
        <f>IF(AND($H39="opportunity",$S39=0.1,$R39=0.8),$D39 &amp; ";","")</f>
        <v/>
      </c>
      <c r="BP39" s="58">
        <f>IF(AND($H39="opportunity",$S39=0.1,$R39=0.4),$D39 &amp; ";","")</f>
        <v/>
      </c>
      <c r="BQ39" s="58">
        <f>IF(AND($H39="opportunity",$S39=0.1,$R39=0.2),$D39 &amp; ";","")</f>
        <v/>
      </c>
      <c r="BR39" s="58">
        <f>IF(AND($H39="opportunity",$S39=0.1,$R39=0.1),$D39 &amp; ";","")</f>
        <v/>
      </c>
      <c r="BS39" s="58">
        <f>IF(AND($H39="opportunity",$S39=0.1,$R39=0.05),$D39 &amp; ";","")</f>
        <v/>
      </c>
      <c r="BV39" s="57">
        <f>INDIRECT(ADDRESS(ROW()-22,COLUMN()-45,1,1,"Risk Register"))</f>
        <v/>
      </c>
      <c r="BW39" s="58">
        <f>INDIRECT(ADDRESS(ROW()-22,COLUMN()-44,1,1,"Risk Register"))</f>
        <v/>
      </c>
      <c r="BX39" s="59">
        <f>IF(AND($H39="threat",$P39&lt;=0.05),"gn",IF(AND($H39="threat",$P39&lt;=0.14),"y",IF(AND($H39="threat", $P39&gt;=0.15),"r",IF(AND($H39="opportunity",$P39&lt;=0.05),"gn",IF(AND($H39="opportunity",$P39&lt;=0.14),"lb",IF(AND($H39="opportunity",$P39&gt;=0.15),"db","z"))))))</f>
        <v/>
      </c>
      <c r="BY39" s="58">
        <f>IF(AND($H39="threat",$BW39=0.9,$BV39=0.05),$D39 &amp; ";","")</f>
        <v/>
      </c>
      <c r="BZ39" s="58">
        <f>IF(AND($H39="threat",$BW39=0.9,$BV39=0.1),$D39 &amp; ";","")</f>
        <v/>
      </c>
      <c r="CA39" s="58">
        <f>IF(AND($H39="threat",$BW39=0.9,$BV39=0.2),$D39 &amp; ";","")</f>
        <v/>
      </c>
      <c r="CB39" s="58">
        <f>IF(AND($H39="threat",$BW39=0.9,$BV39=0.4),$D39 &amp; ";","")</f>
        <v/>
      </c>
      <c r="CC39" s="58">
        <f>IF(AND($H39="threat",$BW39=0.9,$BV39=0.8),$D39 &amp; ";","")</f>
        <v/>
      </c>
      <c r="CD39" s="58">
        <f>IF(AND($H39="threat",$BW39=0.7,$BV39=0.05),$D39 &amp; ";","")</f>
        <v/>
      </c>
      <c r="CE39" s="58">
        <f>IF(AND($H39="threat",$BW39=0.7,$BV39=0.1),$D39 &amp; ";","")</f>
        <v/>
      </c>
      <c r="CF39" s="58">
        <f>IF(AND($H39="threat",$BW39=0.7,$BV39=0.2),$D39 &amp; ";","")</f>
        <v/>
      </c>
      <c r="CG39" s="58">
        <f>IF(AND($H39="threat",$BW39=0.7,$BV39=0.4),$D39 &amp; ";","")</f>
        <v/>
      </c>
      <c r="CH39" s="58">
        <f>IF(AND($H39="threat",$BW39=0.7,$BV39=0.8),$D39 &amp; ";","")</f>
        <v/>
      </c>
      <c r="CI39" s="58">
        <f>IF(AND($H39="threat",$BW39=0.5,$BV39=0.05),$D39 &amp; ";","")</f>
        <v/>
      </c>
      <c r="CJ39" s="58">
        <f>IF(AND($H39="threat",$BW39=0.5,$BV39=0.1),$D39 &amp; ";","")</f>
        <v/>
      </c>
      <c r="CK39" s="58">
        <f>IF(AND($H39="threat",$BW39=0.5,$BV39=0.2),$D39 &amp; ";","")</f>
        <v/>
      </c>
      <c r="CL39" s="58">
        <f>IF(AND($H39="threat",$BW39=0.5,$BV39=0.4),$D39 &amp; ";","")</f>
        <v/>
      </c>
      <c r="CM39" s="58">
        <f>IF(AND($H39="threat",$BW39=0.5,$BV39=0.8),$D39 &amp; ";","")</f>
        <v/>
      </c>
      <c r="CN39" s="58">
        <f>IF(AND($H39="threat",$BW39=0.3,$BV39=0.05),$D39 &amp; ";","")</f>
        <v/>
      </c>
      <c r="CO39" s="58">
        <f>IF(AND($H39="threat",$BW39=0.3,$BV39=0.1),$D39 &amp; ";","")</f>
        <v/>
      </c>
      <c r="CP39" s="58">
        <f>IF(AND($H39="threat",$BW39=0.3,$BV39=0.2),$D39 &amp; ";","")</f>
        <v/>
      </c>
      <c r="CQ39" s="58">
        <f>IF(AND($H39="threat",$BW39=0.3,$BV39=0.4),$D39 &amp; ";","")</f>
        <v/>
      </c>
      <c r="CR39" s="58">
        <f>IF(AND($H39="threat",$BW39=0.3,$BV39=0.8),$D39 &amp; ";","")</f>
        <v/>
      </c>
      <c r="CS39" s="58">
        <f>IF(AND($H39="threat",$BW39=0.1,$BV39=0.05),$D39 &amp; ";","")</f>
        <v/>
      </c>
      <c r="CT39" s="58">
        <f>IF(AND($H39="threat",$BW39=0.1,$BV39=0.1),$D39 &amp; ";","")</f>
        <v/>
      </c>
      <c r="CU39" s="58">
        <f>IF(AND($H39="threat",$BW39=0.1,$BV39=0.2),$D39 &amp; ";","")</f>
        <v/>
      </c>
      <c r="CV39" s="58">
        <f>IF(AND($H39="threat",$BW39=0.1,$BV39=0.4),$D39 &amp; ";","")</f>
        <v/>
      </c>
      <c r="CW39" s="58">
        <f>IF(AND($H39="threat",$BW39=0.1,$BV39=0.8),$D39 &amp; ";","")</f>
        <v/>
      </c>
      <c r="CX39" s="39" t="n"/>
      <c r="CY39" s="58">
        <f>IF(AND($H39="opportunity",$BW39=0.9,$BV39=0.8),$D39 &amp; ";","")</f>
        <v/>
      </c>
      <c r="CZ39" s="58">
        <f>IF(AND($H39="opportunity",$BW39=0.9,$BV39=0.4),$D39 &amp; ";","")</f>
        <v/>
      </c>
      <c r="DA39" s="58">
        <f>IF(AND($H39="opportunity",$BW39=0.9,$BV39=0.2),$D39 &amp; ";","")</f>
        <v/>
      </c>
      <c r="DB39" s="58">
        <f>IF(AND($H39="opportunity",$BW39=0.9,$BV39=0.1),$D39 &amp; ";","")</f>
        <v/>
      </c>
      <c r="DC39" s="58">
        <f>IF(AND($H39="opportunity",$BW39=0.9,$BV39=0.05),$D39 &amp; ";","")</f>
        <v/>
      </c>
      <c r="DD39" s="58">
        <f>IF(AND($H39="opportunity",$BW39=0.7,$BV39=0.8),$D39 &amp; ";","")</f>
        <v/>
      </c>
      <c r="DE39" s="58">
        <f>IF(AND($H39="opportunity",$BW39=0.7,$BV39=0.4),$D39 &amp; ";","")</f>
        <v/>
      </c>
      <c r="DF39" s="58">
        <f>IF(AND($H39="opportunity",$BW39=0.7,$BV39=0.2),$D39 &amp; ";","")</f>
        <v/>
      </c>
      <c r="DG39" s="58">
        <f>IF(AND($H39="opportunity",$BW39=0.7,$BV39=0.1),$D39 &amp; ";","")</f>
        <v/>
      </c>
      <c r="DH39" s="58">
        <f>IF(AND($H39="opportunity",$BW39=0.7,$BV39=0.05),$D39 &amp; ";","")</f>
        <v/>
      </c>
      <c r="DI39" s="58">
        <f>IF(AND($H39="opportunity",$BW39=0.5,$BV39=0.8),$D39 &amp; ";","")</f>
        <v/>
      </c>
      <c r="DJ39" s="58">
        <f>IF(AND($H39="opportunity",$BW39=0.5,$BV39=0.4),$D39 &amp; ";","")</f>
        <v/>
      </c>
      <c r="DK39" s="58">
        <f>IF(AND($H39="opportunity",$BW39=0.5,$BV39=0.2),$D39 &amp; ";","")</f>
        <v/>
      </c>
      <c r="DL39" s="58">
        <f>IF(AND($H39="opportunity",$BW39=0.5,$BV39=0.1),$D39 &amp; ";","")</f>
        <v/>
      </c>
      <c r="DM39" s="58">
        <f>IF(AND($H39="opportunity",$BW39=0.5,$BV39=0.05),$D39 &amp; ";","")</f>
        <v/>
      </c>
      <c r="DN39" s="58">
        <f>IF(AND($H39="opportunity",$BW39=0.3,$BV39=0.8),$D39 &amp; ";","")</f>
        <v/>
      </c>
      <c r="DO39" s="58">
        <f>IF(AND($H39="opportunity",$BW39=0.3,$BV39=0.4),$D39 &amp; ";","")</f>
        <v/>
      </c>
      <c r="DP39" s="58">
        <f>IF(AND($H39="opportunity",$BW39=0.3,$BV39=0.2),$D39 &amp; ";","")</f>
        <v/>
      </c>
      <c r="DQ39" s="58">
        <f>IF(AND($H39="opportunity",$BW39=0.3,$BV39=0.1),$D39 &amp; ";","")</f>
        <v/>
      </c>
      <c r="DR39" s="58">
        <f>IF(AND($H39="opportunity",$BW39=0.3,$BV39=0.05),$D39 &amp; ";","")</f>
        <v/>
      </c>
      <c r="DS39" s="58">
        <f>IF(AND($H39="opportunity",$BW39=0.1,$BV39=0.8),$D39 &amp; ";","")</f>
        <v/>
      </c>
      <c r="DT39" s="58">
        <f>IF(AND($H39="opportunity",$BW39=0.1,$BV39=0.4),$D39 &amp; ";","")</f>
        <v/>
      </c>
      <c r="DU39" s="58">
        <f>IF(AND($H39="opportunity",$BW39=0.1,$BV39=0.2),$D39 &amp; ";","")</f>
        <v/>
      </c>
      <c r="DV39" s="58">
        <f>IF(AND($H39="opportunity",$BW39=0.1,$BV39=0.1),$D39 &amp; ";","")</f>
        <v/>
      </c>
      <c r="DW39" s="58">
        <f>IF(AND($H39="opportunity",$BW39=0.1,$BV39=0.05),$D39 &amp; ";","")</f>
        <v/>
      </c>
    </row>
    <row r="40">
      <c r="D40" s="60">
        <f>INDIRECT(ADDRESS(ROW()-22,COLUMN()-2,1,1,"Risk Register"))</f>
        <v/>
      </c>
      <c r="E40" s="143">
        <f>INDIRECT(ADDRESS(ROW()-22,COLUMN()-1,1,1,"Risk Register"))</f>
        <v/>
      </c>
      <c r="G40" s="56">
        <f>INDIRECT(ADDRESS(ROW()-22,COLUMN()+10,1,1,"Risk Register"))</f>
        <v/>
      </c>
      <c r="H40" s="60">
        <f>INDIRECT(ADDRESS(ROW()-22,COLUMN()+8,1,1,"Risk Register"))</f>
        <v/>
      </c>
      <c r="I40" s="54">
        <f>INDIRECT(ADDRESS(ROW()-22,COLUMN()+3,1,1,"Risk Register"))</f>
        <v/>
      </c>
      <c r="J40" s="143">
        <f>INDIRECT(ADDRESS(ROW()-22,COLUMN()+12,1,1,"Risk Register"))</f>
        <v/>
      </c>
      <c r="K40" s="143">
        <f>INDIRECT(ADDRESS(ROW()-22,COLUMN()-2,1,1,"Risk Register"))</f>
        <v/>
      </c>
      <c r="L40" s="176">
        <f>INDIRECT(ADDRESS(ROW()-22,COLUMN()+15,1,1,"Risk Register"))</f>
        <v/>
      </c>
      <c r="M40" s="54">
        <f>INDIRECT(ADDRESS(ROW()-22,COLUMN()+13,1,1,"Risk Register"))</f>
        <v/>
      </c>
      <c r="N40" s="143">
        <f>INDIRECT(ADDRESS(ROW()-22,COLUMN()-9,1,1,"Risk Register"))</f>
        <v/>
      </c>
      <c r="O40" s="143">
        <f>INDIRECT(ADDRESS(ROW()-22,COLUMN()-8,1,1,"Risk Register"))</f>
        <v/>
      </c>
      <c r="P40" s="56">
        <f>INDIRECT(ADDRESS(ROW()-22,COLUMN()+18,1,1,"Risk Register"))</f>
        <v/>
      </c>
      <c r="R40" s="57">
        <f>INDIRECT(ADDRESS(ROW()-22,COLUMN()-5,1,1,"Risk Register"))</f>
        <v/>
      </c>
      <c r="S40" s="58">
        <f>INDIRECT(ADDRESS(ROW()-22,COLUMN()-4,1,1,"Risk Register"))</f>
        <v/>
      </c>
      <c r="T40" s="59">
        <f>IF(AND($H40="threat",$G40&lt;=0.05),"gn",IF(AND($H40="threat",$G40&lt;=0.14),"y",IF(AND($H40="threat", $G40&gt;=0.15),"r",IF(AND($H40="opportunity",$G40&lt;=0.05),"gn",IF(AND($H40="opportunity",$G40&lt;=0.14),"lb",IF(AND($H40="opportunity",$G40&gt;=0.15),"db","z"))))))</f>
        <v/>
      </c>
      <c r="U40" s="58">
        <f>IF(AND($H40="threat",$S40=0.9,$R40=0.05),$D40 &amp; ";","")</f>
        <v/>
      </c>
      <c r="V40" s="58">
        <f>IF(AND($H40="threat",$S40=0.9,$R40=0.1),$D40 &amp; ";","")</f>
        <v/>
      </c>
      <c r="W40" s="58">
        <f>IF(AND($H40="threat",$S40=0.9,$R40=0.2),$D40 &amp; ";","")</f>
        <v/>
      </c>
      <c r="X40" s="58">
        <f>IF(AND($H40="threat",$S40=0.9,$R40=0.4),$D40 &amp; ";","")</f>
        <v/>
      </c>
      <c r="Y40" s="58">
        <f>IF(AND($H40="threat",$S40=0.9,$R40=0.8),$D40 &amp; ";","")</f>
        <v/>
      </c>
      <c r="Z40" s="58">
        <f>IF(AND($H40="threat",$S40=0.7,$R40=0.05),$D40 &amp; ";","")</f>
        <v/>
      </c>
      <c r="AA40" s="58">
        <f>IF(AND($H40="threat",$S40=0.7,$R40=0.1),$D40 &amp; ";","")</f>
        <v/>
      </c>
      <c r="AB40" s="58">
        <f>IF(AND($H40="threat",$S40=0.7,$R40=0.2),$D40 &amp; ";","")</f>
        <v/>
      </c>
      <c r="AC40" s="58">
        <f>IF(AND($H40="threat",$S40=0.7,$R40=0.4),$D40 &amp; ";","")</f>
        <v/>
      </c>
      <c r="AD40" s="58">
        <f>IF(AND($H40="threat",$S40=0.7,$R40=0.8),$D40 &amp; ";","")</f>
        <v/>
      </c>
      <c r="AE40" s="58">
        <f>IF(AND($H40="threat",$S40=0.5,$R40=0.05),$D40 &amp; ";","")</f>
        <v/>
      </c>
      <c r="AF40" s="58">
        <f>IF(AND($H40="threat",$S40=0.5,$R40=0.1),$D40 &amp; ";","")</f>
        <v/>
      </c>
      <c r="AG40" s="58">
        <f>IF(AND($H40="threat",$S40=0.5,$R40=0.2),$D40 &amp; ";","")</f>
        <v/>
      </c>
      <c r="AH40" s="58">
        <f>IF(AND($H40="threat",$S40=0.5,$R40=0.4),$D40 &amp; ";","")</f>
        <v/>
      </c>
      <c r="AI40" s="58">
        <f>IF(AND($H40="threat",$S40=0.5,$R40=0.8),$D40 &amp; ";","")</f>
        <v/>
      </c>
      <c r="AJ40" s="58">
        <f>IF(AND($H40="threat",$S40=0.3,$R40=0.05),$D40 &amp; ";","")</f>
        <v/>
      </c>
      <c r="AK40" s="58">
        <f>IF(AND($H40="threat",$S40=0.3,$R40=0.1),$D40 &amp; ";","")</f>
        <v/>
      </c>
      <c r="AL40" s="58">
        <f>IF(AND($H40="threat",$S40=0.3,$R40=0.2),$D40 &amp; ";","")</f>
        <v/>
      </c>
      <c r="AM40" s="58">
        <f>IF(AND($H40="threat",$S40=0.3,$R40=0.4),$D40 &amp; ";","")</f>
        <v/>
      </c>
      <c r="AN40" s="58">
        <f>IF(AND($H40="threat",$S40=0.3,$R40=0.8),$D40 &amp; ";","")</f>
        <v/>
      </c>
      <c r="AO40" s="58">
        <f>IF(AND($H40="threat",$S40=0.1,$R40=0.05),$D40 &amp; ";","")</f>
        <v/>
      </c>
      <c r="AP40" s="58">
        <f>IF(AND($H40="threat",$S40=0.1,$R40=0.1),$D40 &amp; ";","")</f>
        <v/>
      </c>
      <c r="AQ40" s="58">
        <f>IF(AND($H40="threat",$S40=0.1,$R40=0.2),$D40 &amp; ";","")</f>
        <v/>
      </c>
      <c r="AR40" s="58">
        <f>IF(AND($H40="threat",$S40=0.1,$R40=0.4),$D40 &amp; ";","")</f>
        <v/>
      </c>
      <c r="AS40" s="58">
        <f>IF(AND($H40="threat",$S40=0.1,$R40=0.8),$D40 &amp; ";","")</f>
        <v/>
      </c>
      <c r="AT40" s="39" t="n"/>
      <c r="AU40" s="58">
        <f>IF(AND($H40="opportunity",$S40=0.9,$R40=0.8),$D40 &amp; ";","")</f>
        <v/>
      </c>
      <c r="AV40" s="58">
        <f>IF(AND($H40="opportunity",$S40=0.9,$R40=0.4),$D40 &amp; ";","")</f>
        <v/>
      </c>
      <c r="AW40" s="58">
        <f>IF(AND($H40="opportunity",$S40=0.9,$R40=0.2),$D40 &amp; ";","")</f>
        <v/>
      </c>
      <c r="AX40" s="58">
        <f>IF(AND($H40="opportunity",$S40=0.9,$R40=0.1),$D40 &amp; ";","")</f>
        <v/>
      </c>
      <c r="AY40" s="58">
        <f>IF(AND($H40="opportunity",$S40=0.9,$R40=0.05),$D40 &amp; ";","")</f>
        <v/>
      </c>
      <c r="AZ40" s="58">
        <f>IF(AND($H40="opportunity",$S40=0.7,$R40=0.8),$D40 &amp; ";","")</f>
        <v/>
      </c>
      <c r="BA40" s="58">
        <f>IF(AND($H40="opportunity",$S40=0.7,$R40=0.4),$D40 &amp; ";","")</f>
        <v/>
      </c>
      <c r="BB40" s="58">
        <f>IF(AND($H40="opportunity",$S40=0.7,$R40=0.2),$D40 &amp; ";","")</f>
        <v/>
      </c>
      <c r="BC40" s="58">
        <f>IF(AND($H40="opportunity",$S40=0.7,$R40=0.1),$D40 &amp; ";","")</f>
        <v/>
      </c>
      <c r="BD40" s="58">
        <f>IF(AND($H40="opportunity",$S40=0.7,$R40=0.05),$D40 &amp; ";","")</f>
        <v/>
      </c>
      <c r="BE40" s="58">
        <f>IF(AND($H40="opportunity",$S40=0.5,$R40=0.8),$D40 &amp; ";","")</f>
        <v/>
      </c>
      <c r="BF40" s="58">
        <f>IF(AND($H40="opportunity",$S40=0.5,$R40=0.4),$D40 &amp; ";","")</f>
        <v/>
      </c>
      <c r="BG40" s="58">
        <f>IF(AND($H40="opportunity",$S40=0.5,$R40=0.2),$D40 &amp; ";","")</f>
        <v/>
      </c>
      <c r="BH40" s="58">
        <f>IF(AND($H40="opportunity",$S40=0.5,$R40=0.1),$D40 &amp; ";","")</f>
        <v/>
      </c>
      <c r="BI40" s="58">
        <f>IF(AND($H40="opportunity",$S40=0.5,$R40=0.05),$D40 &amp; ";","")</f>
        <v/>
      </c>
      <c r="BJ40" s="58">
        <f>IF(AND($H40="opportunity",$S40=0.3,$R40=0.8),$D40 &amp; ";","")</f>
        <v/>
      </c>
      <c r="BK40" s="58">
        <f>IF(AND($H40="opportunity",$S40=0.3,$R40=0.4),$D40 &amp; ";","")</f>
        <v/>
      </c>
      <c r="BL40" s="58">
        <f>IF(AND($H40="opportunity",$S40=0.3,$R40=0.2),$D40 &amp; ";","")</f>
        <v/>
      </c>
      <c r="BM40" s="58">
        <f>IF(AND($H40="opportunity",$S40=0.3,$R40=0.1),$D40 &amp; ";","")</f>
        <v/>
      </c>
      <c r="BN40" s="58">
        <f>IF(AND($H40="opportunity",$S40=0.3,$R40=0.05),$D40 &amp; ";","")</f>
        <v/>
      </c>
      <c r="BO40" s="58">
        <f>IF(AND($H40="opportunity",$S40=0.1,$R40=0.8),$D40 &amp; ";","")</f>
        <v/>
      </c>
      <c r="BP40" s="58">
        <f>IF(AND($H40="opportunity",$S40=0.1,$R40=0.4),$D40 &amp; ";","")</f>
        <v/>
      </c>
      <c r="BQ40" s="58">
        <f>IF(AND($H40="opportunity",$S40=0.1,$R40=0.2),$D40 &amp; ";","")</f>
        <v/>
      </c>
      <c r="BR40" s="58">
        <f>IF(AND($H40="opportunity",$S40=0.1,$R40=0.1),$D40 &amp; ";","")</f>
        <v/>
      </c>
      <c r="BS40" s="58">
        <f>IF(AND($H40="opportunity",$S40=0.1,$R40=0.05),$D40 &amp; ";","")</f>
        <v/>
      </c>
      <c r="BV40" s="57">
        <f>INDIRECT(ADDRESS(ROW()-22,COLUMN()-45,1,1,"Risk Register"))</f>
        <v/>
      </c>
      <c r="BW40" s="58">
        <f>INDIRECT(ADDRESS(ROW()-22,COLUMN()-44,1,1,"Risk Register"))</f>
        <v/>
      </c>
      <c r="BX40" s="59">
        <f>IF(AND($H40="threat",$P40&lt;=0.05),"gn",IF(AND($H40="threat",$P40&lt;=0.14),"y",IF(AND($H40="threat", $P40&gt;=0.15),"r",IF(AND($H40="opportunity",$P40&lt;=0.05),"gn",IF(AND($H40="opportunity",$P40&lt;=0.14),"lb",IF(AND($H40="opportunity",$P40&gt;=0.15),"db","z"))))))</f>
        <v/>
      </c>
      <c r="BY40" s="58">
        <f>IF(AND($H40="threat",$BW40=0.9,$BV40=0.05),$D40 &amp; ";","")</f>
        <v/>
      </c>
      <c r="BZ40" s="58">
        <f>IF(AND($H40="threat",$BW40=0.9,$BV40=0.1),$D40 &amp; ";","")</f>
        <v/>
      </c>
      <c r="CA40" s="58">
        <f>IF(AND($H40="threat",$BW40=0.9,$BV40=0.2),$D40 &amp; ";","")</f>
        <v/>
      </c>
      <c r="CB40" s="58">
        <f>IF(AND($H40="threat",$BW40=0.9,$BV40=0.4),$D40 &amp; ";","")</f>
        <v/>
      </c>
      <c r="CC40" s="58">
        <f>IF(AND($H40="threat",$BW40=0.9,$BV40=0.8),$D40 &amp; ";","")</f>
        <v/>
      </c>
      <c r="CD40" s="58">
        <f>IF(AND($H40="threat",$BW40=0.7,$BV40=0.05),$D40 &amp; ";","")</f>
        <v/>
      </c>
      <c r="CE40" s="58">
        <f>IF(AND($H40="threat",$BW40=0.7,$BV40=0.1),$D40 &amp; ";","")</f>
        <v/>
      </c>
      <c r="CF40" s="58">
        <f>IF(AND($H40="threat",$BW40=0.7,$BV40=0.2),$D40 &amp; ";","")</f>
        <v/>
      </c>
      <c r="CG40" s="58">
        <f>IF(AND($H40="threat",$BW40=0.7,$BV40=0.4),$D40 &amp; ";","")</f>
        <v/>
      </c>
      <c r="CH40" s="58">
        <f>IF(AND($H40="threat",$BW40=0.7,$BV40=0.8),$D40 &amp; ";","")</f>
        <v/>
      </c>
      <c r="CI40" s="58">
        <f>IF(AND($H40="threat",$BW40=0.5,$BV40=0.05),$D40 &amp; ";","")</f>
        <v/>
      </c>
      <c r="CJ40" s="58">
        <f>IF(AND($H40="threat",$BW40=0.5,$BV40=0.1),$D40 &amp; ";","")</f>
        <v/>
      </c>
      <c r="CK40" s="58">
        <f>IF(AND($H40="threat",$BW40=0.5,$BV40=0.2),$D40 &amp; ";","")</f>
        <v/>
      </c>
      <c r="CL40" s="58">
        <f>IF(AND($H40="threat",$BW40=0.5,$BV40=0.4),$D40 &amp; ";","")</f>
        <v/>
      </c>
      <c r="CM40" s="58">
        <f>IF(AND($H40="threat",$BW40=0.5,$BV40=0.8),$D40 &amp; ";","")</f>
        <v/>
      </c>
      <c r="CN40" s="58">
        <f>IF(AND($H40="threat",$BW40=0.3,$BV40=0.05),$D40 &amp; ";","")</f>
        <v/>
      </c>
      <c r="CO40" s="58">
        <f>IF(AND($H40="threat",$BW40=0.3,$BV40=0.1),$D40 &amp; ";","")</f>
        <v/>
      </c>
      <c r="CP40" s="58">
        <f>IF(AND($H40="threat",$BW40=0.3,$BV40=0.2),$D40 &amp; ";","")</f>
        <v/>
      </c>
      <c r="CQ40" s="58">
        <f>IF(AND($H40="threat",$BW40=0.3,$BV40=0.4),$D40 &amp; ";","")</f>
        <v/>
      </c>
      <c r="CR40" s="58">
        <f>IF(AND($H40="threat",$BW40=0.3,$BV40=0.8),$D40 &amp; ";","")</f>
        <v/>
      </c>
      <c r="CS40" s="58">
        <f>IF(AND($H40="threat",$BW40=0.1,$BV40=0.05),$D40 &amp; ";","")</f>
        <v/>
      </c>
      <c r="CT40" s="58">
        <f>IF(AND($H40="threat",$BW40=0.1,$BV40=0.1),$D40 &amp; ";","")</f>
        <v/>
      </c>
      <c r="CU40" s="58">
        <f>IF(AND($H40="threat",$BW40=0.1,$BV40=0.2),$D40 &amp; ";","")</f>
        <v/>
      </c>
      <c r="CV40" s="58">
        <f>IF(AND($H40="threat",$BW40=0.1,$BV40=0.4),$D40 &amp; ";","")</f>
        <v/>
      </c>
      <c r="CW40" s="58">
        <f>IF(AND($H40="threat",$BW40=0.1,$BV40=0.8),$D40 &amp; ";","")</f>
        <v/>
      </c>
      <c r="CX40" s="39" t="n"/>
      <c r="CY40" s="58">
        <f>IF(AND($H40="opportunity",$BW40=0.9,$BV40=0.8),$D40 &amp; ";","")</f>
        <v/>
      </c>
      <c r="CZ40" s="58">
        <f>IF(AND($H40="opportunity",$BW40=0.9,$BV40=0.4),$D40 &amp; ";","")</f>
        <v/>
      </c>
      <c r="DA40" s="58">
        <f>IF(AND($H40="opportunity",$BW40=0.9,$BV40=0.2),$D40 &amp; ";","")</f>
        <v/>
      </c>
      <c r="DB40" s="58">
        <f>IF(AND($H40="opportunity",$BW40=0.9,$BV40=0.1),$D40 &amp; ";","")</f>
        <v/>
      </c>
      <c r="DC40" s="58">
        <f>IF(AND($H40="opportunity",$BW40=0.9,$BV40=0.05),$D40 &amp; ";","")</f>
        <v/>
      </c>
      <c r="DD40" s="58">
        <f>IF(AND($H40="opportunity",$BW40=0.7,$BV40=0.8),$D40 &amp; ";","")</f>
        <v/>
      </c>
      <c r="DE40" s="58">
        <f>IF(AND($H40="opportunity",$BW40=0.7,$BV40=0.4),$D40 &amp; ";","")</f>
        <v/>
      </c>
      <c r="DF40" s="58">
        <f>IF(AND($H40="opportunity",$BW40=0.7,$BV40=0.2),$D40 &amp; ";","")</f>
        <v/>
      </c>
      <c r="DG40" s="58">
        <f>IF(AND($H40="opportunity",$BW40=0.7,$BV40=0.1),$D40 &amp; ";","")</f>
        <v/>
      </c>
      <c r="DH40" s="58">
        <f>IF(AND($H40="opportunity",$BW40=0.7,$BV40=0.05),$D40 &amp; ";","")</f>
        <v/>
      </c>
      <c r="DI40" s="58">
        <f>IF(AND($H40="opportunity",$BW40=0.5,$BV40=0.8),$D40 &amp; ";","")</f>
        <v/>
      </c>
      <c r="DJ40" s="58">
        <f>IF(AND($H40="opportunity",$BW40=0.5,$BV40=0.4),$D40 &amp; ";","")</f>
        <v/>
      </c>
      <c r="DK40" s="58">
        <f>IF(AND($H40="opportunity",$BW40=0.5,$BV40=0.2),$D40 &amp; ";","")</f>
        <v/>
      </c>
      <c r="DL40" s="58">
        <f>IF(AND($H40="opportunity",$BW40=0.5,$BV40=0.1),$D40 &amp; ";","")</f>
        <v/>
      </c>
      <c r="DM40" s="58">
        <f>IF(AND($H40="opportunity",$BW40=0.5,$BV40=0.05),$D40 &amp; ";","")</f>
        <v/>
      </c>
      <c r="DN40" s="58">
        <f>IF(AND($H40="opportunity",$BW40=0.3,$BV40=0.8),$D40 &amp; ";","")</f>
        <v/>
      </c>
      <c r="DO40" s="58">
        <f>IF(AND($H40="opportunity",$BW40=0.3,$BV40=0.4),$D40 &amp; ";","")</f>
        <v/>
      </c>
      <c r="DP40" s="58">
        <f>IF(AND($H40="opportunity",$BW40=0.3,$BV40=0.2),$D40 &amp; ";","")</f>
        <v/>
      </c>
      <c r="DQ40" s="58">
        <f>IF(AND($H40="opportunity",$BW40=0.3,$BV40=0.1),$D40 &amp; ";","")</f>
        <v/>
      </c>
      <c r="DR40" s="58">
        <f>IF(AND($H40="opportunity",$BW40=0.3,$BV40=0.05),$D40 &amp; ";","")</f>
        <v/>
      </c>
      <c r="DS40" s="58">
        <f>IF(AND($H40="opportunity",$BW40=0.1,$BV40=0.8),$D40 &amp; ";","")</f>
        <v/>
      </c>
      <c r="DT40" s="58">
        <f>IF(AND($H40="opportunity",$BW40=0.1,$BV40=0.4),$D40 &amp; ";","")</f>
        <v/>
      </c>
      <c r="DU40" s="58">
        <f>IF(AND($H40="opportunity",$BW40=0.1,$BV40=0.2),$D40 &amp; ";","")</f>
        <v/>
      </c>
      <c r="DV40" s="58">
        <f>IF(AND($H40="opportunity",$BW40=0.1,$BV40=0.1),$D40 &amp; ";","")</f>
        <v/>
      </c>
      <c r="DW40" s="58">
        <f>IF(AND($H40="opportunity",$BW40=0.1,$BV40=0.05),$D40 &amp; ";","")</f>
        <v/>
      </c>
    </row>
    <row r="41">
      <c r="D41" s="60">
        <f>INDIRECT(ADDRESS(ROW()-22,COLUMN()-2,1,1,"Risk Register"))</f>
        <v/>
      </c>
      <c r="E41" s="143">
        <f>INDIRECT(ADDRESS(ROW()-22,COLUMN()-1,1,1,"Risk Register"))</f>
        <v/>
      </c>
      <c r="G41" s="56">
        <f>INDIRECT(ADDRESS(ROW()-22,COLUMN()+10,1,1,"Risk Register"))</f>
        <v/>
      </c>
      <c r="H41" s="60">
        <f>INDIRECT(ADDRESS(ROW()-22,COLUMN()+8,1,1,"Risk Register"))</f>
        <v/>
      </c>
      <c r="I41" s="54">
        <f>INDIRECT(ADDRESS(ROW()-22,COLUMN()+3,1,1,"Risk Register"))</f>
        <v/>
      </c>
      <c r="J41" s="143">
        <f>INDIRECT(ADDRESS(ROW()-22,COLUMN()+12,1,1,"Risk Register"))</f>
        <v/>
      </c>
      <c r="K41" s="143">
        <f>INDIRECT(ADDRESS(ROW()-22,COLUMN()-2,1,1,"Risk Register"))</f>
        <v/>
      </c>
      <c r="L41" s="176">
        <f>INDIRECT(ADDRESS(ROW()-22,COLUMN()+15,1,1,"Risk Register"))</f>
        <v/>
      </c>
      <c r="M41" s="54">
        <f>INDIRECT(ADDRESS(ROW()-22,COLUMN()+13,1,1,"Risk Register"))</f>
        <v/>
      </c>
      <c r="N41" s="143">
        <f>INDIRECT(ADDRESS(ROW()-22,COLUMN()-9,1,1,"Risk Register"))</f>
        <v/>
      </c>
      <c r="O41" s="143">
        <f>INDIRECT(ADDRESS(ROW()-22,COLUMN()-8,1,1,"Risk Register"))</f>
        <v/>
      </c>
      <c r="P41" s="56">
        <f>INDIRECT(ADDRESS(ROW()-22,COLUMN()+18,1,1,"Risk Register"))</f>
        <v/>
      </c>
      <c r="R41" s="57">
        <f>INDIRECT(ADDRESS(ROW()-22,COLUMN()-5,1,1,"Risk Register"))</f>
        <v/>
      </c>
      <c r="S41" s="58">
        <f>INDIRECT(ADDRESS(ROW()-22,COLUMN()-4,1,1,"Risk Register"))</f>
        <v/>
      </c>
      <c r="T41" s="59">
        <f>IF(AND($H41="threat",$G41&lt;=0.05),"gn",IF(AND($H41="threat",$G41&lt;=0.14),"y",IF(AND($H41="threat", $G41&gt;=0.15),"r",IF(AND($H41="opportunity",$G41&lt;=0.05),"gn",IF(AND($H41="opportunity",$G41&lt;=0.14),"lb",IF(AND($H41="opportunity",$G41&gt;=0.15),"db","z"))))))</f>
        <v/>
      </c>
      <c r="U41" s="58">
        <f>IF(AND($H41="threat",$S41=0.9,$R41=0.05),$D41 &amp; ";","")</f>
        <v/>
      </c>
      <c r="V41" s="58">
        <f>IF(AND($H41="threat",$S41=0.9,$R41=0.1),$D41 &amp; ";","")</f>
        <v/>
      </c>
      <c r="W41" s="58">
        <f>IF(AND($H41="threat",$S41=0.9,$R41=0.2),$D41 &amp; ";","")</f>
        <v/>
      </c>
      <c r="X41" s="58">
        <f>IF(AND($H41="threat",$S41=0.9,$R41=0.4),$D41 &amp; ";","")</f>
        <v/>
      </c>
      <c r="Y41" s="58">
        <f>IF(AND($H41="threat",$S41=0.9,$R41=0.8),$D41 &amp; ";","")</f>
        <v/>
      </c>
      <c r="Z41" s="58">
        <f>IF(AND($H41="threat",$S41=0.7,$R41=0.05),$D41 &amp; ";","")</f>
        <v/>
      </c>
      <c r="AA41" s="58">
        <f>IF(AND($H41="threat",$S41=0.7,$R41=0.1),$D41 &amp; ";","")</f>
        <v/>
      </c>
      <c r="AB41" s="58">
        <f>IF(AND($H41="threat",$S41=0.7,$R41=0.2),$D41 &amp; ";","")</f>
        <v/>
      </c>
      <c r="AC41" s="58">
        <f>IF(AND($H41="threat",$S41=0.7,$R41=0.4),$D41 &amp; ";","")</f>
        <v/>
      </c>
      <c r="AD41" s="58">
        <f>IF(AND($H41="threat",$S41=0.7,$R41=0.8),$D41 &amp; ";","")</f>
        <v/>
      </c>
      <c r="AE41" s="58">
        <f>IF(AND($H41="threat",$S41=0.5,$R41=0.05),$D41 &amp; ";","")</f>
        <v/>
      </c>
      <c r="AF41" s="58">
        <f>IF(AND($H41="threat",$S41=0.5,$R41=0.1),$D41 &amp; ";","")</f>
        <v/>
      </c>
      <c r="AG41" s="58">
        <f>IF(AND($H41="threat",$S41=0.5,$R41=0.2),$D41 &amp; ";","")</f>
        <v/>
      </c>
      <c r="AH41" s="58">
        <f>IF(AND($H41="threat",$S41=0.5,$R41=0.4),$D41 &amp; ";","")</f>
        <v/>
      </c>
      <c r="AI41" s="58">
        <f>IF(AND($H41="threat",$S41=0.5,$R41=0.8),$D41 &amp; ";","")</f>
        <v/>
      </c>
      <c r="AJ41" s="58">
        <f>IF(AND($H41="threat",$S41=0.3,$R41=0.05),$D41 &amp; ";","")</f>
        <v/>
      </c>
      <c r="AK41" s="58">
        <f>IF(AND($H41="threat",$S41=0.3,$R41=0.1),$D41 &amp; ";","")</f>
        <v/>
      </c>
      <c r="AL41" s="58">
        <f>IF(AND($H41="threat",$S41=0.3,$R41=0.2),$D41 &amp; ";","")</f>
        <v/>
      </c>
      <c r="AM41" s="58">
        <f>IF(AND($H41="threat",$S41=0.3,$R41=0.4),$D41 &amp; ";","")</f>
        <v/>
      </c>
      <c r="AN41" s="58">
        <f>IF(AND($H41="threat",$S41=0.3,$R41=0.8),$D41 &amp; ";","")</f>
        <v/>
      </c>
      <c r="AO41" s="58">
        <f>IF(AND($H41="threat",$S41=0.1,$R41=0.05),$D41 &amp; ";","")</f>
        <v/>
      </c>
      <c r="AP41" s="58">
        <f>IF(AND($H41="threat",$S41=0.1,$R41=0.1),$D41 &amp; ";","")</f>
        <v/>
      </c>
      <c r="AQ41" s="58">
        <f>IF(AND($H41="threat",$S41=0.1,$R41=0.2),$D41 &amp; ";","")</f>
        <v/>
      </c>
      <c r="AR41" s="58">
        <f>IF(AND($H41="threat",$S41=0.1,$R41=0.4),$D41 &amp; ";","")</f>
        <v/>
      </c>
      <c r="AS41" s="58">
        <f>IF(AND($H41="threat",$S41=0.1,$R41=0.8),$D41 &amp; ";","")</f>
        <v/>
      </c>
      <c r="AT41" s="39" t="n"/>
      <c r="AU41" s="58">
        <f>IF(AND($H41="opportunity",$S41=0.9,$R41=0.8),$D41 &amp; ";","")</f>
        <v/>
      </c>
      <c r="AV41" s="58">
        <f>IF(AND($H41="opportunity",$S41=0.9,$R41=0.4),$D41 &amp; ";","")</f>
        <v/>
      </c>
      <c r="AW41" s="58">
        <f>IF(AND($H41="opportunity",$S41=0.9,$R41=0.2),$D41 &amp; ";","")</f>
        <v/>
      </c>
      <c r="AX41" s="58">
        <f>IF(AND($H41="opportunity",$S41=0.9,$R41=0.1),$D41 &amp; ";","")</f>
        <v/>
      </c>
      <c r="AY41" s="58">
        <f>IF(AND($H41="opportunity",$S41=0.9,$R41=0.05),$D41 &amp; ";","")</f>
        <v/>
      </c>
      <c r="AZ41" s="58">
        <f>IF(AND($H41="opportunity",$S41=0.7,$R41=0.8),$D41 &amp; ";","")</f>
        <v/>
      </c>
      <c r="BA41" s="58">
        <f>IF(AND($H41="opportunity",$S41=0.7,$R41=0.4),$D41 &amp; ";","")</f>
        <v/>
      </c>
      <c r="BB41" s="58">
        <f>IF(AND($H41="opportunity",$S41=0.7,$R41=0.2),$D41 &amp; ";","")</f>
        <v/>
      </c>
      <c r="BC41" s="58">
        <f>IF(AND($H41="opportunity",$S41=0.7,$R41=0.1),$D41 &amp; ";","")</f>
        <v/>
      </c>
      <c r="BD41" s="58">
        <f>IF(AND($H41="opportunity",$S41=0.7,$R41=0.05),$D41 &amp; ";","")</f>
        <v/>
      </c>
      <c r="BE41" s="58">
        <f>IF(AND($H41="opportunity",$S41=0.5,$R41=0.8),$D41 &amp; ";","")</f>
        <v/>
      </c>
      <c r="BF41" s="58">
        <f>IF(AND($H41="opportunity",$S41=0.5,$R41=0.4),$D41 &amp; ";","")</f>
        <v/>
      </c>
      <c r="BG41" s="58">
        <f>IF(AND($H41="opportunity",$S41=0.5,$R41=0.2),$D41 &amp; ";","")</f>
        <v/>
      </c>
      <c r="BH41" s="58">
        <f>IF(AND($H41="opportunity",$S41=0.5,$R41=0.1),$D41 &amp; ";","")</f>
        <v/>
      </c>
      <c r="BI41" s="58">
        <f>IF(AND($H41="opportunity",$S41=0.5,$R41=0.05),$D41 &amp; ";","")</f>
        <v/>
      </c>
      <c r="BJ41" s="58">
        <f>IF(AND($H41="opportunity",$S41=0.3,$R41=0.8),$D41 &amp; ";","")</f>
        <v/>
      </c>
      <c r="BK41" s="58">
        <f>IF(AND($H41="opportunity",$S41=0.3,$R41=0.4),$D41 &amp; ";","")</f>
        <v/>
      </c>
      <c r="BL41" s="58">
        <f>IF(AND($H41="opportunity",$S41=0.3,$R41=0.2),$D41 &amp; ";","")</f>
        <v/>
      </c>
      <c r="BM41" s="58">
        <f>IF(AND($H41="opportunity",$S41=0.3,$R41=0.1),$D41 &amp; ";","")</f>
        <v/>
      </c>
      <c r="BN41" s="58">
        <f>IF(AND($H41="opportunity",$S41=0.3,$R41=0.05),$D41 &amp; ";","")</f>
        <v/>
      </c>
      <c r="BO41" s="58">
        <f>IF(AND($H41="opportunity",$S41=0.1,$R41=0.8),$D41 &amp; ";","")</f>
        <v/>
      </c>
      <c r="BP41" s="58">
        <f>IF(AND($H41="opportunity",$S41=0.1,$R41=0.4),$D41 &amp; ";","")</f>
        <v/>
      </c>
      <c r="BQ41" s="58">
        <f>IF(AND($H41="opportunity",$S41=0.1,$R41=0.2),$D41 &amp; ";","")</f>
        <v/>
      </c>
      <c r="BR41" s="58">
        <f>IF(AND($H41="opportunity",$S41=0.1,$R41=0.1),$D41 &amp; ";","")</f>
        <v/>
      </c>
      <c r="BS41" s="58">
        <f>IF(AND($H41="opportunity",$S41=0.1,$R41=0.05),$D41 &amp; ";","")</f>
        <v/>
      </c>
      <c r="BV41" s="57">
        <f>INDIRECT(ADDRESS(ROW()-22,COLUMN()-45,1,1,"Risk Register"))</f>
        <v/>
      </c>
      <c r="BW41" s="58">
        <f>INDIRECT(ADDRESS(ROW()-22,COLUMN()-44,1,1,"Risk Register"))</f>
        <v/>
      </c>
      <c r="BX41" s="59">
        <f>IF(AND($H41="threat",$P41&lt;=0.05),"gn",IF(AND($H41="threat",$P41&lt;=0.14),"y",IF(AND($H41="threat", $P41&gt;=0.15),"r",IF(AND($H41="opportunity",$P41&lt;=0.05),"gn",IF(AND($H41="opportunity",$P41&lt;=0.14),"lb",IF(AND($H41="opportunity",$P41&gt;=0.15),"db","z"))))))</f>
        <v/>
      </c>
      <c r="BY41" s="58">
        <f>IF(AND($H41="threat",$BW41=0.9,$BV41=0.05),$D41 &amp; ";","")</f>
        <v/>
      </c>
      <c r="BZ41" s="58">
        <f>IF(AND($H41="threat",$BW41=0.9,$BV41=0.1),$D41 &amp; ";","")</f>
        <v/>
      </c>
      <c r="CA41" s="58">
        <f>IF(AND($H41="threat",$BW41=0.9,$BV41=0.2),$D41 &amp; ";","")</f>
        <v/>
      </c>
      <c r="CB41" s="58">
        <f>IF(AND($H41="threat",$BW41=0.9,$BV41=0.4),$D41 &amp; ";","")</f>
        <v/>
      </c>
      <c r="CC41" s="58">
        <f>IF(AND($H41="threat",$BW41=0.9,$BV41=0.8),$D41 &amp; ";","")</f>
        <v/>
      </c>
      <c r="CD41" s="58">
        <f>IF(AND($H41="threat",$BW41=0.7,$BV41=0.05),$D41 &amp; ";","")</f>
        <v/>
      </c>
      <c r="CE41" s="58">
        <f>IF(AND($H41="threat",$BW41=0.7,$BV41=0.1),$D41 &amp; ";","")</f>
        <v/>
      </c>
      <c r="CF41" s="58">
        <f>IF(AND($H41="threat",$BW41=0.7,$BV41=0.2),$D41 &amp; ";","")</f>
        <v/>
      </c>
      <c r="CG41" s="58">
        <f>IF(AND($H41="threat",$BW41=0.7,$BV41=0.4),$D41 &amp; ";","")</f>
        <v/>
      </c>
      <c r="CH41" s="58">
        <f>IF(AND($H41="threat",$BW41=0.7,$BV41=0.8),$D41 &amp; ";","")</f>
        <v/>
      </c>
      <c r="CI41" s="58">
        <f>IF(AND($H41="threat",$BW41=0.5,$BV41=0.05),$D41 &amp; ";","")</f>
        <v/>
      </c>
      <c r="CJ41" s="58">
        <f>IF(AND($H41="threat",$BW41=0.5,$BV41=0.1),$D41 &amp; ";","")</f>
        <v/>
      </c>
      <c r="CK41" s="58">
        <f>IF(AND($H41="threat",$BW41=0.5,$BV41=0.2),$D41 &amp; ";","")</f>
        <v/>
      </c>
      <c r="CL41" s="58">
        <f>IF(AND($H41="threat",$BW41=0.5,$BV41=0.4),$D41 &amp; ";","")</f>
        <v/>
      </c>
      <c r="CM41" s="58">
        <f>IF(AND($H41="threat",$BW41=0.5,$BV41=0.8),$D41 &amp; ";","")</f>
        <v/>
      </c>
      <c r="CN41" s="58">
        <f>IF(AND($H41="threat",$BW41=0.3,$BV41=0.05),$D41 &amp; ";","")</f>
        <v/>
      </c>
      <c r="CO41" s="58">
        <f>IF(AND($H41="threat",$BW41=0.3,$BV41=0.1),$D41 &amp; ";","")</f>
        <v/>
      </c>
      <c r="CP41" s="58">
        <f>IF(AND($H41="threat",$BW41=0.3,$BV41=0.2),$D41 &amp; ";","")</f>
        <v/>
      </c>
      <c r="CQ41" s="58">
        <f>IF(AND($H41="threat",$BW41=0.3,$BV41=0.4),$D41 &amp; ";","")</f>
        <v/>
      </c>
      <c r="CR41" s="58">
        <f>IF(AND($H41="threat",$BW41=0.3,$BV41=0.8),$D41 &amp; ";","")</f>
        <v/>
      </c>
      <c r="CS41" s="58">
        <f>IF(AND($H41="threat",$BW41=0.1,$BV41=0.05),$D41 &amp; ";","")</f>
        <v/>
      </c>
      <c r="CT41" s="58">
        <f>IF(AND($H41="threat",$BW41=0.1,$BV41=0.1),$D41 &amp; ";","")</f>
        <v/>
      </c>
      <c r="CU41" s="58">
        <f>IF(AND($H41="threat",$BW41=0.1,$BV41=0.2),$D41 &amp; ";","")</f>
        <v/>
      </c>
      <c r="CV41" s="58">
        <f>IF(AND($H41="threat",$BW41=0.1,$BV41=0.4),$D41 &amp; ";","")</f>
        <v/>
      </c>
      <c r="CW41" s="58">
        <f>IF(AND($H41="threat",$BW41=0.1,$BV41=0.8),$D41 &amp; ";","")</f>
        <v/>
      </c>
      <c r="CX41" s="39" t="n"/>
      <c r="CY41" s="58">
        <f>IF(AND($H41="opportunity",$BW41=0.9,$BV41=0.8),$D41 &amp; ";","")</f>
        <v/>
      </c>
      <c r="CZ41" s="58">
        <f>IF(AND($H41="opportunity",$BW41=0.9,$BV41=0.4),$D41 &amp; ";","")</f>
        <v/>
      </c>
      <c r="DA41" s="58">
        <f>IF(AND($H41="opportunity",$BW41=0.9,$BV41=0.2),$D41 &amp; ";","")</f>
        <v/>
      </c>
      <c r="DB41" s="58">
        <f>IF(AND($H41="opportunity",$BW41=0.9,$BV41=0.1),$D41 &amp; ";","")</f>
        <v/>
      </c>
      <c r="DC41" s="58">
        <f>IF(AND($H41="opportunity",$BW41=0.9,$BV41=0.05),$D41 &amp; ";","")</f>
        <v/>
      </c>
      <c r="DD41" s="58">
        <f>IF(AND($H41="opportunity",$BW41=0.7,$BV41=0.8),$D41 &amp; ";","")</f>
        <v/>
      </c>
      <c r="DE41" s="58">
        <f>IF(AND($H41="opportunity",$BW41=0.7,$BV41=0.4),$D41 &amp; ";","")</f>
        <v/>
      </c>
      <c r="DF41" s="58">
        <f>IF(AND($H41="opportunity",$BW41=0.7,$BV41=0.2),$D41 &amp; ";","")</f>
        <v/>
      </c>
      <c r="DG41" s="58">
        <f>IF(AND($H41="opportunity",$BW41=0.7,$BV41=0.1),$D41 &amp; ";","")</f>
        <v/>
      </c>
      <c r="DH41" s="58">
        <f>IF(AND($H41="opportunity",$BW41=0.7,$BV41=0.05),$D41 &amp; ";","")</f>
        <v/>
      </c>
      <c r="DI41" s="58">
        <f>IF(AND($H41="opportunity",$BW41=0.5,$BV41=0.8),$D41 &amp; ";","")</f>
        <v/>
      </c>
      <c r="DJ41" s="58">
        <f>IF(AND($H41="opportunity",$BW41=0.5,$BV41=0.4),$D41 &amp; ";","")</f>
        <v/>
      </c>
      <c r="DK41" s="58">
        <f>IF(AND($H41="opportunity",$BW41=0.5,$BV41=0.2),$D41 &amp; ";","")</f>
        <v/>
      </c>
      <c r="DL41" s="58">
        <f>IF(AND($H41="opportunity",$BW41=0.5,$BV41=0.1),$D41 &amp; ";","")</f>
        <v/>
      </c>
      <c r="DM41" s="58">
        <f>IF(AND($H41="opportunity",$BW41=0.5,$BV41=0.05),$D41 &amp; ";","")</f>
        <v/>
      </c>
      <c r="DN41" s="58">
        <f>IF(AND($H41="opportunity",$BW41=0.3,$BV41=0.8),$D41 &amp; ";","")</f>
        <v/>
      </c>
      <c r="DO41" s="58">
        <f>IF(AND($H41="opportunity",$BW41=0.3,$BV41=0.4),$D41 &amp; ";","")</f>
        <v/>
      </c>
      <c r="DP41" s="58">
        <f>IF(AND($H41="opportunity",$BW41=0.3,$BV41=0.2),$D41 &amp; ";","")</f>
        <v/>
      </c>
      <c r="DQ41" s="58">
        <f>IF(AND($H41="opportunity",$BW41=0.3,$BV41=0.1),$D41 &amp; ";","")</f>
        <v/>
      </c>
      <c r="DR41" s="58">
        <f>IF(AND($H41="opportunity",$BW41=0.3,$BV41=0.05),$D41 &amp; ";","")</f>
        <v/>
      </c>
      <c r="DS41" s="58">
        <f>IF(AND($H41="opportunity",$BW41=0.1,$BV41=0.8),$D41 &amp; ";","")</f>
        <v/>
      </c>
      <c r="DT41" s="58">
        <f>IF(AND($H41="opportunity",$BW41=0.1,$BV41=0.4),$D41 &amp; ";","")</f>
        <v/>
      </c>
      <c r="DU41" s="58">
        <f>IF(AND($H41="opportunity",$BW41=0.1,$BV41=0.2),$D41 &amp; ";","")</f>
        <v/>
      </c>
      <c r="DV41" s="58">
        <f>IF(AND($H41="opportunity",$BW41=0.1,$BV41=0.1),$D41 &amp; ";","")</f>
        <v/>
      </c>
      <c r="DW41" s="58">
        <f>IF(AND($H41="opportunity",$BW41=0.1,$BV41=0.05),$D41 &amp; ";","")</f>
        <v/>
      </c>
    </row>
    <row r="42">
      <c r="D42" s="60">
        <f>INDIRECT(ADDRESS(ROW()-22,COLUMN()-2,1,1,"Risk Register"))</f>
        <v/>
      </c>
      <c r="E42" s="143">
        <f>INDIRECT(ADDRESS(ROW()-22,COLUMN()-1,1,1,"Risk Register"))</f>
        <v/>
      </c>
      <c r="G42" s="56">
        <f>INDIRECT(ADDRESS(ROW()-22,COLUMN()+10,1,1,"Risk Register"))</f>
        <v/>
      </c>
      <c r="H42" s="60">
        <f>INDIRECT(ADDRESS(ROW()-22,COLUMN()+8,1,1,"Risk Register"))</f>
        <v/>
      </c>
      <c r="I42" s="54">
        <f>INDIRECT(ADDRESS(ROW()-22,COLUMN()+3,1,1,"Risk Register"))</f>
        <v/>
      </c>
      <c r="J42" s="143">
        <f>INDIRECT(ADDRESS(ROW()-22,COLUMN()+12,1,1,"Risk Register"))</f>
        <v/>
      </c>
      <c r="K42" s="143">
        <f>INDIRECT(ADDRESS(ROW()-22,COLUMN()-2,1,1,"Risk Register"))</f>
        <v/>
      </c>
      <c r="L42" s="176">
        <f>INDIRECT(ADDRESS(ROW()-22,COLUMN()+15,1,1,"Risk Register"))</f>
        <v/>
      </c>
      <c r="M42" s="54">
        <f>INDIRECT(ADDRESS(ROW()-22,COLUMN()+13,1,1,"Risk Register"))</f>
        <v/>
      </c>
      <c r="N42" s="143">
        <f>INDIRECT(ADDRESS(ROW()-22,COLUMN()-9,1,1,"Risk Register"))</f>
        <v/>
      </c>
      <c r="O42" s="143">
        <f>INDIRECT(ADDRESS(ROW()-22,COLUMN()-8,1,1,"Risk Register"))</f>
        <v/>
      </c>
      <c r="P42" s="56">
        <f>INDIRECT(ADDRESS(ROW()-22,COLUMN()+18,1,1,"Risk Register"))</f>
        <v/>
      </c>
      <c r="R42" s="57">
        <f>INDIRECT(ADDRESS(ROW()-22,COLUMN()-5,1,1,"Risk Register"))</f>
        <v/>
      </c>
      <c r="S42" s="58">
        <f>INDIRECT(ADDRESS(ROW()-22,COLUMN()-4,1,1,"Risk Register"))</f>
        <v/>
      </c>
      <c r="T42" s="59">
        <f>IF(AND($H42="threat",$G42&lt;=0.05),"gn",IF(AND($H42="threat",$G42&lt;=0.14),"y",IF(AND($H42="threat", $G42&gt;=0.15),"r",IF(AND($H42="opportunity",$G42&lt;=0.05),"gn",IF(AND($H42="opportunity",$G42&lt;=0.14),"lb",IF(AND($H42="opportunity",$G42&gt;=0.15),"db","z"))))))</f>
        <v/>
      </c>
      <c r="U42" s="58">
        <f>IF(AND($H42="threat",$S42=0.9,$R42=0.05),$D42 &amp; ";","")</f>
        <v/>
      </c>
      <c r="V42" s="58">
        <f>IF(AND($H42="threat",$S42=0.9,$R42=0.1),$D42 &amp; ";","")</f>
        <v/>
      </c>
      <c r="W42" s="58">
        <f>IF(AND($H42="threat",$S42=0.9,$R42=0.2),$D42 &amp; ";","")</f>
        <v/>
      </c>
      <c r="X42" s="58">
        <f>IF(AND($H42="threat",$S42=0.9,$R42=0.4),$D42 &amp; ";","")</f>
        <v/>
      </c>
      <c r="Y42" s="58">
        <f>IF(AND($H42="threat",$S42=0.9,$R42=0.8),$D42 &amp; ";","")</f>
        <v/>
      </c>
      <c r="Z42" s="58">
        <f>IF(AND($H42="threat",$S42=0.7,$R42=0.05),$D42 &amp; ";","")</f>
        <v/>
      </c>
      <c r="AA42" s="58">
        <f>IF(AND($H42="threat",$S42=0.7,$R42=0.1),$D42 &amp; ";","")</f>
        <v/>
      </c>
      <c r="AB42" s="58">
        <f>IF(AND($H42="threat",$S42=0.7,$R42=0.2),$D42 &amp; ";","")</f>
        <v/>
      </c>
      <c r="AC42" s="58">
        <f>IF(AND($H42="threat",$S42=0.7,$R42=0.4),$D42 &amp; ";","")</f>
        <v/>
      </c>
      <c r="AD42" s="58">
        <f>IF(AND($H42="threat",$S42=0.7,$R42=0.8),$D42 &amp; ";","")</f>
        <v/>
      </c>
      <c r="AE42" s="58">
        <f>IF(AND($H42="threat",$S42=0.5,$R42=0.05),$D42 &amp; ";","")</f>
        <v/>
      </c>
      <c r="AF42" s="58">
        <f>IF(AND($H42="threat",$S42=0.5,$R42=0.1),$D42 &amp; ";","")</f>
        <v/>
      </c>
      <c r="AG42" s="58">
        <f>IF(AND($H42="threat",$S42=0.5,$R42=0.2),$D42 &amp; ";","")</f>
        <v/>
      </c>
      <c r="AH42" s="58">
        <f>IF(AND($H42="threat",$S42=0.5,$R42=0.4),$D42 &amp; ";","")</f>
        <v/>
      </c>
      <c r="AI42" s="58">
        <f>IF(AND($H42="threat",$S42=0.5,$R42=0.8),$D42 &amp; ";","")</f>
        <v/>
      </c>
      <c r="AJ42" s="58">
        <f>IF(AND($H42="threat",$S42=0.3,$R42=0.05),$D42 &amp; ";","")</f>
        <v/>
      </c>
      <c r="AK42" s="58">
        <f>IF(AND($H42="threat",$S42=0.3,$R42=0.1),$D42 &amp; ";","")</f>
        <v/>
      </c>
      <c r="AL42" s="58">
        <f>IF(AND($H42="threat",$S42=0.3,$R42=0.2),$D42 &amp; ";","")</f>
        <v/>
      </c>
      <c r="AM42" s="58">
        <f>IF(AND($H42="threat",$S42=0.3,$R42=0.4),$D42 &amp; ";","")</f>
        <v/>
      </c>
      <c r="AN42" s="58">
        <f>IF(AND($H42="threat",$S42=0.3,$R42=0.8),$D42 &amp; ";","")</f>
        <v/>
      </c>
      <c r="AO42" s="58">
        <f>IF(AND($H42="threat",$S42=0.1,$R42=0.05),$D42 &amp; ";","")</f>
        <v/>
      </c>
      <c r="AP42" s="58">
        <f>IF(AND($H42="threat",$S42=0.1,$R42=0.1),$D42 &amp; ";","")</f>
        <v/>
      </c>
      <c r="AQ42" s="58">
        <f>IF(AND($H42="threat",$S42=0.1,$R42=0.2),$D42 &amp; ";","")</f>
        <v/>
      </c>
      <c r="AR42" s="58">
        <f>IF(AND($H42="threat",$S42=0.1,$R42=0.4),$D42 &amp; ";","")</f>
        <v/>
      </c>
      <c r="AS42" s="58">
        <f>IF(AND($H42="threat",$S42=0.1,$R42=0.8),$D42 &amp; ";","")</f>
        <v/>
      </c>
      <c r="AT42" s="39" t="n"/>
      <c r="AU42" s="58">
        <f>IF(AND($H42="opportunity",$S42=0.9,$R42=0.8),$D42 &amp; ";","")</f>
        <v/>
      </c>
      <c r="AV42" s="58">
        <f>IF(AND($H42="opportunity",$S42=0.9,$R42=0.4),$D42 &amp; ";","")</f>
        <v/>
      </c>
      <c r="AW42" s="58">
        <f>IF(AND($H42="opportunity",$S42=0.9,$R42=0.2),$D42 &amp; ";","")</f>
        <v/>
      </c>
      <c r="AX42" s="58">
        <f>IF(AND($H42="opportunity",$S42=0.9,$R42=0.1),$D42 &amp; ";","")</f>
        <v/>
      </c>
      <c r="AY42" s="58">
        <f>IF(AND($H42="opportunity",$S42=0.9,$R42=0.05),$D42 &amp; ";","")</f>
        <v/>
      </c>
      <c r="AZ42" s="58">
        <f>IF(AND($H42="opportunity",$S42=0.7,$R42=0.8),$D42 &amp; ";","")</f>
        <v/>
      </c>
      <c r="BA42" s="58">
        <f>IF(AND($H42="opportunity",$S42=0.7,$R42=0.4),$D42 &amp; ";","")</f>
        <v/>
      </c>
      <c r="BB42" s="58">
        <f>IF(AND($H42="opportunity",$S42=0.7,$R42=0.2),$D42 &amp; ";","")</f>
        <v/>
      </c>
      <c r="BC42" s="58">
        <f>IF(AND($H42="opportunity",$S42=0.7,$R42=0.1),$D42 &amp; ";","")</f>
        <v/>
      </c>
      <c r="BD42" s="58">
        <f>IF(AND($H42="opportunity",$S42=0.7,$R42=0.05),$D42 &amp; ";","")</f>
        <v/>
      </c>
      <c r="BE42" s="58">
        <f>IF(AND($H42="opportunity",$S42=0.5,$R42=0.8),$D42 &amp; ";","")</f>
        <v/>
      </c>
      <c r="BF42" s="58">
        <f>IF(AND($H42="opportunity",$S42=0.5,$R42=0.4),$D42 &amp; ";","")</f>
        <v/>
      </c>
      <c r="BG42" s="58">
        <f>IF(AND($H42="opportunity",$S42=0.5,$R42=0.2),$D42 &amp; ";","")</f>
        <v/>
      </c>
      <c r="BH42" s="58">
        <f>IF(AND($H42="opportunity",$S42=0.5,$R42=0.1),$D42 &amp; ";","")</f>
        <v/>
      </c>
      <c r="BI42" s="58">
        <f>IF(AND($H42="opportunity",$S42=0.5,$R42=0.05),$D42 &amp; ";","")</f>
        <v/>
      </c>
      <c r="BJ42" s="58">
        <f>IF(AND($H42="opportunity",$S42=0.3,$R42=0.8),$D42 &amp; ";","")</f>
        <v/>
      </c>
      <c r="BK42" s="58">
        <f>IF(AND($H42="opportunity",$S42=0.3,$R42=0.4),$D42 &amp; ";","")</f>
        <v/>
      </c>
      <c r="BL42" s="58">
        <f>IF(AND($H42="opportunity",$S42=0.3,$R42=0.2),$D42 &amp; ";","")</f>
        <v/>
      </c>
      <c r="BM42" s="58">
        <f>IF(AND($H42="opportunity",$S42=0.3,$R42=0.1),$D42 &amp; ";","")</f>
        <v/>
      </c>
      <c r="BN42" s="58">
        <f>IF(AND($H42="opportunity",$S42=0.3,$R42=0.05),$D42 &amp; ";","")</f>
        <v/>
      </c>
      <c r="BO42" s="58">
        <f>IF(AND($H42="opportunity",$S42=0.1,$R42=0.8),$D42 &amp; ";","")</f>
        <v/>
      </c>
      <c r="BP42" s="58">
        <f>IF(AND($H42="opportunity",$S42=0.1,$R42=0.4),$D42 &amp; ";","")</f>
        <v/>
      </c>
      <c r="BQ42" s="58">
        <f>IF(AND($H42="opportunity",$S42=0.1,$R42=0.2),$D42 &amp; ";","")</f>
        <v/>
      </c>
      <c r="BR42" s="58">
        <f>IF(AND($H42="opportunity",$S42=0.1,$R42=0.1),$D42 &amp; ";","")</f>
        <v/>
      </c>
      <c r="BS42" s="58">
        <f>IF(AND($H42="opportunity",$S42=0.1,$R42=0.05),$D42 &amp; ";","")</f>
        <v/>
      </c>
      <c r="BV42" s="57">
        <f>INDIRECT(ADDRESS(ROW()-22,COLUMN()-45,1,1,"Risk Register"))</f>
        <v/>
      </c>
      <c r="BW42" s="58">
        <f>INDIRECT(ADDRESS(ROW()-22,COLUMN()-44,1,1,"Risk Register"))</f>
        <v/>
      </c>
      <c r="BX42" s="59">
        <f>IF(AND($H42="threat",$P42&lt;=0.05),"gn",IF(AND($H42="threat",$P42&lt;=0.14),"y",IF(AND($H42="threat", $P42&gt;=0.15),"r",IF(AND($H42="opportunity",$P42&lt;=0.05),"gn",IF(AND($H42="opportunity",$P42&lt;=0.14),"lb",IF(AND($H42="opportunity",$P42&gt;=0.15),"db","z"))))))</f>
        <v/>
      </c>
      <c r="BY42" s="58">
        <f>IF(AND($H42="threat",$BW42=0.9,$BV42=0.05),$D42 &amp; ";","")</f>
        <v/>
      </c>
      <c r="BZ42" s="58">
        <f>IF(AND($H42="threat",$BW42=0.9,$BV42=0.1),$D42 &amp; ";","")</f>
        <v/>
      </c>
      <c r="CA42" s="58">
        <f>IF(AND($H42="threat",$BW42=0.9,$BV42=0.2),$D42 &amp; ";","")</f>
        <v/>
      </c>
      <c r="CB42" s="58">
        <f>IF(AND($H42="threat",$BW42=0.9,$BV42=0.4),$D42 &amp; ";","")</f>
        <v/>
      </c>
      <c r="CC42" s="58">
        <f>IF(AND($H42="threat",$BW42=0.9,$BV42=0.8),$D42 &amp; ";","")</f>
        <v/>
      </c>
      <c r="CD42" s="58">
        <f>IF(AND($H42="threat",$BW42=0.7,$BV42=0.05),$D42 &amp; ";","")</f>
        <v/>
      </c>
      <c r="CE42" s="58">
        <f>IF(AND($H42="threat",$BW42=0.7,$BV42=0.1),$D42 &amp; ";","")</f>
        <v/>
      </c>
      <c r="CF42" s="58">
        <f>IF(AND($H42="threat",$BW42=0.7,$BV42=0.2),$D42 &amp; ";","")</f>
        <v/>
      </c>
      <c r="CG42" s="58">
        <f>IF(AND($H42="threat",$BW42=0.7,$BV42=0.4),$D42 &amp; ";","")</f>
        <v/>
      </c>
      <c r="CH42" s="58">
        <f>IF(AND($H42="threat",$BW42=0.7,$BV42=0.8),$D42 &amp; ";","")</f>
        <v/>
      </c>
      <c r="CI42" s="58">
        <f>IF(AND($H42="threat",$BW42=0.5,$BV42=0.05),$D42 &amp; ";","")</f>
        <v/>
      </c>
      <c r="CJ42" s="58">
        <f>IF(AND($H42="threat",$BW42=0.5,$BV42=0.1),$D42 &amp; ";","")</f>
        <v/>
      </c>
      <c r="CK42" s="58">
        <f>IF(AND($H42="threat",$BW42=0.5,$BV42=0.2),$D42 &amp; ";","")</f>
        <v/>
      </c>
      <c r="CL42" s="58">
        <f>IF(AND($H42="threat",$BW42=0.5,$BV42=0.4),$D42 &amp; ";","")</f>
        <v/>
      </c>
      <c r="CM42" s="58">
        <f>IF(AND($H42="threat",$BW42=0.5,$BV42=0.8),$D42 &amp; ";","")</f>
        <v/>
      </c>
      <c r="CN42" s="58">
        <f>IF(AND($H42="threat",$BW42=0.3,$BV42=0.05),$D42 &amp; ";","")</f>
        <v/>
      </c>
      <c r="CO42" s="58">
        <f>IF(AND($H42="threat",$BW42=0.3,$BV42=0.1),$D42 &amp; ";","")</f>
        <v/>
      </c>
      <c r="CP42" s="58">
        <f>IF(AND($H42="threat",$BW42=0.3,$BV42=0.2),$D42 &amp; ";","")</f>
        <v/>
      </c>
      <c r="CQ42" s="58">
        <f>IF(AND($H42="threat",$BW42=0.3,$BV42=0.4),$D42 &amp; ";","")</f>
        <v/>
      </c>
      <c r="CR42" s="58">
        <f>IF(AND($H42="threat",$BW42=0.3,$BV42=0.8),$D42 &amp; ";","")</f>
        <v/>
      </c>
      <c r="CS42" s="58">
        <f>IF(AND($H42="threat",$BW42=0.1,$BV42=0.05),$D42 &amp; ";","")</f>
        <v/>
      </c>
      <c r="CT42" s="58">
        <f>IF(AND($H42="threat",$BW42=0.1,$BV42=0.1),$D42 &amp; ";","")</f>
        <v/>
      </c>
      <c r="CU42" s="58">
        <f>IF(AND($H42="threat",$BW42=0.1,$BV42=0.2),$D42 &amp; ";","")</f>
        <v/>
      </c>
      <c r="CV42" s="58">
        <f>IF(AND($H42="threat",$BW42=0.1,$BV42=0.4),$D42 &amp; ";","")</f>
        <v/>
      </c>
      <c r="CW42" s="58">
        <f>IF(AND($H42="threat",$BW42=0.1,$BV42=0.8),$D42 &amp; ";","")</f>
        <v/>
      </c>
      <c r="CX42" s="39" t="n"/>
      <c r="CY42" s="58">
        <f>IF(AND($H42="opportunity",$BW42=0.9,$BV42=0.8),$D42 &amp; ";","")</f>
        <v/>
      </c>
      <c r="CZ42" s="58">
        <f>IF(AND($H42="opportunity",$BW42=0.9,$BV42=0.4),$D42 &amp; ";","")</f>
        <v/>
      </c>
      <c r="DA42" s="58">
        <f>IF(AND($H42="opportunity",$BW42=0.9,$BV42=0.2),$D42 &amp; ";","")</f>
        <v/>
      </c>
      <c r="DB42" s="58">
        <f>IF(AND($H42="opportunity",$BW42=0.9,$BV42=0.1),$D42 &amp; ";","")</f>
        <v/>
      </c>
      <c r="DC42" s="58">
        <f>IF(AND($H42="opportunity",$BW42=0.9,$BV42=0.05),$D42 &amp; ";","")</f>
        <v/>
      </c>
      <c r="DD42" s="58">
        <f>IF(AND($H42="opportunity",$BW42=0.7,$BV42=0.8),$D42 &amp; ";","")</f>
        <v/>
      </c>
      <c r="DE42" s="58">
        <f>IF(AND($H42="opportunity",$BW42=0.7,$BV42=0.4),$D42 &amp; ";","")</f>
        <v/>
      </c>
      <c r="DF42" s="58">
        <f>IF(AND($H42="opportunity",$BW42=0.7,$BV42=0.2),$D42 &amp; ";","")</f>
        <v/>
      </c>
      <c r="DG42" s="58">
        <f>IF(AND($H42="opportunity",$BW42=0.7,$BV42=0.1),$D42 &amp; ";","")</f>
        <v/>
      </c>
      <c r="DH42" s="58">
        <f>IF(AND($H42="opportunity",$BW42=0.7,$BV42=0.05),$D42 &amp; ";","")</f>
        <v/>
      </c>
      <c r="DI42" s="58">
        <f>IF(AND($H42="opportunity",$BW42=0.5,$BV42=0.8),$D42 &amp; ";","")</f>
        <v/>
      </c>
      <c r="DJ42" s="58">
        <f>IF(AND($H42="opportunity",$BW42=0.5,$BV42=0.4),$D42 &amp; ";","")</f>
        <v/>
      </c>
      <c r="DK42" s="58">
        <f>IF(AND($H42="opportunity",$BW42=0.5,$BV42=0.2),$D42 &amp; ";","")</f>
        <v/>
      </c>
      <c r="DL42" s="58">
        <f>IF(AND($H42="opportunity",$BW42=0.5,$BV42=0.1),$D42 &amp; ";","")</f>
        <v/>
      </c>
      <c r="DM42" s="58">
        <f>IF(AND($H42="opportunity",$BW42=0.5,$BV42=0.05),$D42 &amp; ";","")</f>
        <v/>
      </c>
      <c r="DN42" s="58">
        <f>IF(AND($H42="opportunity",$BW42=0.3,$BV42=0.8),$D42 &amp; ";","")</f>
        <v/>
      </c>
      <c r="DO42" s="58">
        <f>IF(AND($H42="opportunity",$BW42=0.3,$BV42=0.4),$D42 &amp; ";","")</f>
        <v/>
      </c>
      <c r="DP42" s="58">
        <f>IF(AND($H42="opportunity",$BW42=0.3,$BV42=0.2),$D42 &amp; ";","")</f>
        <v/>
      </c>
      <c r="DQ42" s="58">
        <f>IF(AND($H42="opportunity",$BW42=0.3,$BV42=0.1),$D42 &amp; ";","")</f>
        <v/>
      </c>
      <c r="DR42" s="58">
        <f>IF(AND($H42="opportunity",$BW42=0.3,$BV42=0.05),$D42 &amp; ";","")</f>
        <v/>
      </c>
      <c r="DS42" s="58">
        <f>IF(AND($H42="opportunity",$BW42=0.1,$BV42=0.8),$D42 &amp; ";","")</f>
        <v/>
      </c>
      <c r="DT42" s="58">
        <f>IF(AND($H42="opportunity",$BW42=0.1,$BV42=0.4),$D42 &amp; ";","")</f>
        <v/>
      </c>
      <c r="DU42" s="58">
        <f>IF(AND($H42="opportunity",$BW42=0.1,$BV42=0.2),$D42 &amp; ";","")</f>
        <v/>
      </c>
      <c r="DV42" s="58">
        <f>IF(AND($H42="opportunity",$BW42=0.1,$BV42=0.1),$D42 &amp; ";","")</f>
        <v/>
      </c>
      <c r="DW42" s="58">
        <f>IF(AND($H42="opportunity",$BW42=0.1,$BV42=0.05),$D42 &amp; ";","")</f>
        <v/>
      </c>
    </row>
    <row r="43">
      <c r="D43" s="60">
        <f>INDIRECT(ADDRESS(ROW()-22,COLUMN()-2,1,1,"Risk Register"))</f>
        <v/>
      </c>
      <c r="E43" s="143">
        <f>INDIRECT(ADDRESS(ROW()-22,COLUMN()-1,1,1,"Risk Register"))</f>
        <v/>
      </c>
      <c r="G43" s="56">
        <f>INDIRECT(ADDRESS(ROW()-22,COLUMN()+10,1,1,"Risk Register"))</f>
        <v/>
      </c>
      <c r="H43" s="60">
        <f>INDIRECT(ADDRESS(ROW()-22,COLUMN()+8,1,1,"Risk Register"))</f>
        <v/>
      </c>
      <c r="I43" s="54">
        <f>INDIRECT(ADDRESS(ROW()-22,COLUMN()+3,1,1,"Risk Register"))</f>
        <v/>
      </c>
      <c r="J43" s="143">
        <f>INDIRECT(ADDRESS(ROW()-22,COLUMN()+12,1,1,"Risk Register"))</f>
        <v/>
      </c>
      <c r="K43" s="143">
        <f>INDIRECT(ADDRESS(ROW()-22,COLUMN()-2,1,1,"Risk Register"))</f>
        <v/>
      </c>
      <c r="L43" s="176">
        <f>INDIRECT(ADDRESS(ROW()-22,COLUMN()+15,1,1,"Risk Register"))</f>
        <v/>
      </c>
      <c r="M43" s="54">
        <f>INDIRECT(ADDRESS(ROW()-22,COLUMN()+13,1,1,"Risk Register"))</f>
        <v/>
      </c>
      <c r="N43" s="143">
        <f>INDIRECT(ADDRESS(ROW()-22,COLUMN()-9,1,1,"Risk Register"))</f>
        <v/>
      </c>
      <c r="O43" s="143">
        <f>INDIRECT(ADDRESS(ROW()-22,COLUMN()-8,1,1,"Risk Register"))</f>
        <v/>
      </c>
      <c r="P43" s="56">
        <f>INDIRECT(ADDRESS(ROW()-22,COLUMN()+18,1,1,"Risk Register"))</f>
        <v/>
      </c>
      <c r="R43" s="57">
        <f>INDIRECT(ADDRESS(ROW()-22,COLUMN()-5,1,1,"Risk Register"))</f>
        <v/>
      </c>
      <c r="S43" s="58">
        <f>INDIRECT(ADDRESS(ROW()-22,COLUMN()-4,1,1,"Risk Register"))</f>
        <v/>
      </c>
      <c r="T43" s="59">
        <f>IF(AND($H43="threat",$G43&lt;=0.05),"gn",IF(AND($H43="threat",$G43&lt;=0.14),"y",IF(AND($H43="threat", $G43&gt;=0.15),"r",IF(AND($H43="opportunity",$G43&lt;=0.05),"gn",IF(AND($H43="opportunity",$G43&lt;=0.14),"lb",IF(AND($H43="opportunity",$G43&gt;=0.15),"db","z"))))))</f>
        <v/>
      </c>
      <c r="U43" s="58">
        <f>IF(AND($H43="threat",$S43=0.9,$R43=0.05),$D43 &amp; ";","")</f>
        <v/>
      </c>
      <c r="V43" s="58">
        <f>IF(AND($H43="threat",$S43=0.9,$R43=0.1),$D43 &amp; ";","")</f>
        <v/>
      </c>
      <c r="W43" s="58">
        <f>IF(AND($H43="threat",$S43=0.9,$R43=0.2),$D43 &amp; ";","")</f>
        <v/>
      </c>
      <c r="X43" s="58">
        <f>IF(AND($H43="threat",$S43=0.9,$R43=0.4),$D43 &amp; ";","")</f>
        <v/>
      </c>
      <c r="Y43" s="58">
        <f>IF(AND($H43="threat",$S43=0.9,$R43=0.8),$D43 &amp; ";","")</f>
        <v/>
      </c>
      <c r="Z43" s="58">
        <f>IF(AND($H43="threat",$S43=0.7,$R43=0.05),$D43 &amp; ";","")</f>
        <v/>
      </c>
      <c r="AA43" s="58">
        <f>IF(AND($H43="threat",$S43=0.7,$R43=0.1),$D43 &amp; ";","")</f>
        <v/>
      </c>
      <c r="AB43" s="58">
        <f>IF(AND($H43="threat",$S43=0.7,$R43=0.2),$D43 &amp; ";","")</f>
        <v/>
      </c>
      <c r="AC43" s="58">
        <f>IF(AND($H43="threat",$S43=0.7,$R43=0.4),$D43 &amp; ";","")</f>
        <v/>
      </c>
      <c r="AD43" s="58">
        <f>IF(AND($H43="threat",$S43=0.7,$R43=0.8),$D43 &amp; ";","")</f>
        <v/>
      </c>
      <c r="AE43" s="58">
        <f>IF(AND($H43="threat",$S43=0.5,$R43=0.05),$D43 &amp; ";","")</f>
        <v/>
      </c>
      <c r="AF43" s="58">
        <f>IF(AND($H43="threat",$S43=0.5,$R43=0.1),$D43 &amp; ";","")</f>
        <v/>
      </c>
      <c r="AG43" s="58">
        <f>IF(AND($H43="threat",$S43=0.5,$R43=0.2),$D43 &amp; ";","")</f>
        <v/>
      </c>
      <c r="AH43" s="58">
        <f>IF(AND($H43="threat",$S43=0.5,$R43=0.4),$D43 &amp; ";","")</f>
        <v/>
      </c>
      <c r="AI43" s="58">
        <f>IF(AND($H43="threat",$S43=0.5,$R43=0.8),$D43 &amp; ";","")</f>
        <v/>
      </c>
      <c r="AJ43" s="58">
        <f>IF(AND($H43="threat",$S43=0.3,$R43=0.05),$D43 &amp; ";","")</f>
        <v/>
      </c>
      <c r="AK43" s="58">
        <f>IF(AND($H43="threat",$S43=0.3,$R43=0.1),$D43 &amp; ";","")</f>
        <v/>
      </c>
      <c r="AL43" s="58">
        <f>IF(AND($H43="threat",$S43=0.3,$R43=0.2),$D43 &amp; ";","")</f>
        <v/>
      </c>
      <c r="AM43" s="58">
        <f>IF(AND($H43="threat",$S43=0.3,$R43=0.4),$D43 &amp; ";","")</f>
        <v/>
      </c>
      <c r="AN43" s="58">
        <f>IF(AND($H43="threat",$S43=0.3,$R43=0.8),$D43 &amp; ";","")</f>
        <v/>
      </c>
      <c r="AO43" s="58">
        <f>IF(AND($H43="threat",$S43=0.1,$R43=0.05),$D43 &amp; ";","")</f>
        <v/>
      </c>
      <c r="AP43" s="58">
        <f>IF(AND($H43="threat",$S43=0.1,$R43=0.1),$D43 &amp; ";","")</f>
        <v/>
      </c>
      <c r="AQ43" s="58">
        <f>IF(AND($H43="threat",$S43=0.1,$R43=0.2),$D43 &amp; ";","")</f>
        <v/>
      </c>
      <c r="AR43" s="58">
        <f>IF(AND($H43="threat",$S43=0.1,$R43=0.4),$D43 &amp; ";","")</f>
        <v/>
      </c>
      <c r="AS43" s="58">
        <f>IF(AND($H43="threat",$S43=0.1,$R43=0.8),$D43 &amp; ";","")</f>
        <v/>
      </c>
      <c r="AT43" s="39" t="n"/>
      <c r="AU43" s="58">
        <f>IF(AND($H43="opportunity",$S43=0.9,$R43=0.8),$D43 &amp; ";","")</f>
        <v/>
      </c>
      <c r="AV43" s="58">
        <f>IF(AND($H43="opportunity",$S43=0.9,$R43=0.4),$D43 &amp; ";","")</f>
        <v/>
      </c>
      <c r="AW43" s="58">
        <f>IF(AND($H43="opportunity",$S43=0.9,$R43=0.2),$D43 &amp; ";","")</f>
        <v/>
      </c>
      <c r="AX43" s="58">
        <f>IF(AND($H43="opportunity",$S43=0.9,$R43=0.1),$D43 &amp; ";","")</f>
        <v/>
      </c>
      <c r="AY43" s="58">
        <f>IF(AND($H43="opportunity",$S43=0.9,$R43=0.05),$D43 &amp; ";","")</f>
        <v/>
      </c>
      <c r="AZ43" s="58">
        <f>IF(AND($H43="opportunity",$S43=0.7,$R43=0.8),$D43 &amp; ";","")</f>
        <v/>
      </c>
      <c r="BA43" s="58">
        <f>IF(AND($H43="opportunity",$S43=0.7,$R43=0.4),$D43 &amp; ";","")</f>
        <v/>
      </c>
      <c r="BB43" s="58">
        <f>IF(AND($H43="opportunity",$S43=0.7,$R43=0.2),$D43 &amp; ";","")</f>
        <v/>
      </c>
      <c r="BC43" s="58">
        <f>IF(AND($H43="opportunity",$S43=0.7,$R43=0.1),$D43 &amp; ";","")</f>
        <v/>
      </c>
      <c r="BD43" s="58">
        <f>IF(AND($H43="opportunity",$S43=0.7,$R43=0.05),$D43 &amp; ";","")</f>
        <v/>
      </c>
      <c r="BE43" s="58">
        <f>IF(AND($H43="opportunity",$S43=0.5,$R43=0.8),$D43 &amp; ";","")</f>
        <v/>
      </c>
      <c r="BF43" s="58">
        <f>IF(AND($H43="opportunity",$S43=0.5,$R43=0.4),$D43 &amp; ";","")</f>
        <v/>
      </c>
      <c r="BG43" s="58">
        <f>IF(AND($H43="opportunity",$S43=0.5,$R43=0.2),$D43 &amp; ";","")</f>
        <v/>
      </c>
      <c r="BH43" s="58">
        <f>IF(AND($H43="opportunity",$S43=0.5,$R43=0.1),$D43 &amp; ";","")</f>
        <v/>
      </c>
      <c r="BI43" s="58">
        <f>IF(AND($H43="opportunity",$S43=0.5,$R43=0.05),$D43 &amp; ";","")</f>
        <v/>
      </c>
      <c r="BJ43" s="58">
        <f>IF(AND($H43="opportunity",$S43=0.3,$R43=0.8),$D43 &amp; ";","")</f>
        <v/>
      </c>
      <c r="BK43" s="58">
        <f>IF(AND($H43="opportunity",$S43=0.3,$R43=0.4),$D43 &amp; ";","")</f>
        <v/>
      </c>
      <c r="BL43" s="58">
        <f>IF(AND($H43="opportunity",$S43=0.3,$R43=0.2),$D43 &amp; ";","")</f>
        <v/>
      </c>
      <c r="BM43" s="58">
        <f>IF(AND($H43="opportunity",$S43=0.3,$R43=0.1),$D43 &amp; ";","")</f>
        <v/>
      </c>
      <c r="BN43" s="58">
        <f>IF(AND($H43="opportunity",$S43=0.3,$R43=0.05),$D43 &amp; ";","")</f>
        <v/>
      </c>
      <c r="BO43" s="58">
        <f>IF(AND($H43="opportunity",$S43=0.1,$R43=0.8),$D43 &amp; ";","")</f>
        <v/>
      </c>
      <c r="BP43" s="58">
        <f>IF(AND($H43="opportunity",$S43=0.1,$R43=0.4),$D43 &amp; ";","")</f>
        <v/>
      </c>
      <c r="BQ43" s="58">
        <f>IF(AND($H43="opportunity",$S43=0.1,$R43=0.2),$D43 &amp; ";","")</f>
        <v/>
      </c>
      <c r="BR43" s="58">
        <f>IF(AND($H43="opportunity",$S43=0.1,$R43=0.1),$D43 &amp; ";","")</f>
        <v/>
      </c>
      <c r="BS43" s="58">
        <f>IF(AND($H43="opportunity",$S43=0.1,$R43=0.05),$D43 &amp; ";","")</f>
        <v/>
      </c>
      <c r="BV43" s="57">
        <f>INDIRECT(ADDRESS(ROW()-22,COLUMN()-45,1,1,"Risk Register"))</f>
        <v/>
      </c>
      <c r="BW43" s="58">
        <f>INDIRECT(ADDRESS(ROW()-22,COLUMN()-44,1,1,"Risk Register"))</f>
        <v/>
      </c>
      <c r="BX43" s="59">
        <f>IF(AND($H43="threat",$P43&lt;=0.05),"gn",IF(AND($H43="threat",$P43&lt;=0.14),"y",IF(AND($H43="threat", $P43&gt;=0.15),"r",IF(AND($H43="opportunity",$P43&lt;=0.05),"gn",IF(AND($H43="opportunity",$P43&lt;=0.14),"lb",IF(AND($H43="opportunity",$P43&gt;=0.15),"db","z"))))))</f>
        <v/>
      </c>
      <c r="BY43" s="58">
        <f>IF(AND($H43="threat",$BW43=0.9,$BV43=0.05),$D43 &amp; ";","")</f>
        <v/>
      </c>
      <c r="BZ43" s="58">
        <f>IF(AND($H43="threat",$BW43=0.9,$BV43=0.1),$D43 &amp; ";","")</f>
        <v/>
      </c>
      <c r="CA43" s="58">
        <f>IF(AND($H43="threat",$BW43=0.9,$BV43=0.2),$D43 &amp; ";","")</f>
        <v/>
      </c>
      <c r="CB43" s="58">
        <f>IF(AND($H43="threat",$BW43=0.9,$BV43=0.4),$D43 &amp; ";","")</f>
        <v/>
      </c>
      <c r="CC43" s="58">
        <f>IF(AND($H43="threat",$BW43=0.9,$BV43=0.8),$D43 &amp; ";","")</f>
        <v/>
      </c>
      <c r="CD43" s="58">
        <f>IF(AND($H43="threat",$BW43=0.7,$BV43=0.05),$D43 &amp; ";","")</f>
        <v/>
      </c>
      <c r="CE43" s="58">
        <f>IF(AND($H43="threat",$BW43=0.7,$BV43=0.1),$D43 &amp; ";","")</f>
        <v/>
      </c>
      <c r="CF43" s="58">
        <f>IF(AND($H43="threat",$BW43=0.7,$BV43=0.2),$D43 &amp; ";","")</f>
        <v/>
      </c>
      <c r="CG43" s="58">
        <f>IF(AND($H43="threat",$BW43=0.7,$BV43=0.4),$D43 &amp; ";","")</f>
        <v/>
      </c>
      <c r="CH43" s="58">
        <f>IF(AND($H43="threat",$BW43=0.7,$BV43=0.8),$D43 &amp; ";","")</f>
        <v/>
      </c>
      <c r="CI43" s="58">
        <f>IF(AND($H43="threat",$BW43=0.5,$BV43=0.05),$D43 &amp; ";","")</f>
        <v/>
      </c>
      <c r="CJ43" s="58">
        <f>IF(AND($H43="threat",$BW43=0.5,$BV43=0.1),$D43 &amp; ";","")</f>
        <v/>
      </c>
      <c r="CK43" s="58">
        <f>IF(AND($H43="threat",$BW43=0.5,$BV43=0.2),$D43 &amp; ";","")</f>
        <v/>
      </c>
      <c r="CL43" s="58">
        <f>IF(AND($H43="threat",$BW43=0.5,$BV43=0.4),$D43 &amp; ";","")</f>
        <v/>
      </c>
      <c r="CM43" s="58">
        <f>IF(AND($H43="threat",$BW43=0.5,$BV43=0.8),$D43 &amp; ";","")</f>
        <v/>
      </c>
      <c r="CN43" s="58">
        <f>IF(AND($H43="threat",$BW43=0.3,$BV43=0.05),$D43 &amp; ";","")</f>
        <v/>
      </c>
      <c r="CO43" s="58">
        <f>IF(AND($H43="threat",$BW43=0.3,$BV43=0.1),$D43 &amp; ";","")</f>
        <v/>
      </c>
      <c r="CP43" s="58">
        <f>IF(AND($H43="threat",$BW43=0.3,$BV43=0.2),$D43 &amp; ";","")</f>
        <v/>
      </c>
      <c r="CQ43" s="58">
        <f>IF(AND($H43="threat",$BW43=0.3,$BV43=0.4),$D43 &amp; ";","")</f>
        <v/>
      </c>
      <c r="CR43" s="58">
        <f>IF(AND($H43="threat",$BW43=0.3,$BV43=0.8),$D43 &amp; ";","")</f>
        <v/>
      </c>
      <c r="CS43" s="58">
        <f>IF(AND($H43="threat",$BW43=0.1,$BV43=0.05),$D43 &amp; ";","")</f>
        <v/>
      </c>
      <c r="CT43" s="58">
        <f>IF(AND($H43="threat",$BW43=0.1,$BV43=0.1),$D43 &amp; ";","")</f>
        <v/>
      </c>
      <c r="CU43" s="58">
        <f>IF(AND($H43="threat",$BW43=0.1,$BV43=0.2),$D43 &amp; ";","")</f>
        <v/>
      </c>
      <c r="CV43" s="58">
        <f>IF(AND($H43="threat",$BW43=0.1,$BV43=0.4),$D43 &amp; ";","")</f>
        <v/>
      </c>
      <c r="CW43" s="58">
        <f>IF(AND($H43="threat",$BW43=0.1,$BV43=0.8),$D43 &amp; ";","")</f>
        <v/>
      </c>
      <c r="CX43" s="39" t="n"/>
      <c r="CY43" s="58">
        <f>IF(AND($H43="opportunity",$BW43=0.9,$BV43=0.8),$D43 &amp; ";","")</f>
        <v/>
      </c>
      <c r="CZ43" s="58">
        <f>IF(AND($H43="opportunity",$BW43=0.9,$BV43=0.4),$D43 &amp; ";","")</f>
        <v/>
      </c>
      <c r="DA43" s="58">
        <f>IF(AND($H43="opportunity",$BW43=0.9,$BV43=0.2),$D43 &amp; ";","")</f>
        <v/>
      </c>
      <c r="DB43" s="58">
        <f>IF(AND($H43="opportunity",$BW43=0.9,$BV43=0.1),$D43 &amp; ";","")</f>
        <v/>
      </c>
      <c r="DC43" s="58">
        <f>IF(AND($H43="opportunity",$BW43=0.9,$BV43=0.05),$D43 &amp; ";","")</f>
        <v/>
      </c>
      <c r="DD43" s="58">
        <f>IF(AND($H43="opportunity",$BW43=0.7,$BV43=0.8),$D43 &amp; ";","")</f>
        <v/>
      </c>
      <c r="DE43" s="58">
        <f>IF(AND($H43="opportunity",$BW43=0.7,$BV43=0.4),$D43 &amp; ";","")</f>
        <v/>
      </c>
      <c r="DF43" s="58">
        <f>IF(AND($H43="opportunity",$BW43=0.7,$BV43=0.2),$D43 &amp; ";","")</f>
        <v/>
      </c>
      <c r="DG43" s="58">
        <f>IF(AND($H43="opportunity",$BW43=0.7,$BV43=0.1),$D43 &amp; ";","")</f>
        <v/>
      </c>
      <c r="DH43" s="58">
        <f>IF(AND($H43="opportunity",$BW43=0.7,$BV43=0.05),$D43 &amp; ";","")</f>
        <v/>
      </c>
      <c r="DI43" s="58">
        <f>IF(AND($H43="opportunity",$BW43=0.5,$BV43=0.8),$D43 &amp; ";","")</f>
        <v/>
      </c>
      <c r="DJ43" s="58">
        <f>IF(AND($H43="opportunity",$BW43=0.5,$BV43=0.4),$D43 &amp; ";","")</f>
        <v/>
      </c>
      <c r="DK43" s="58">
        <f>IF(AND($H43="opportunity",$BW43=0.5,$BV43=0.2),$D43 &amp; ";","")</f>
        <v/>
      </c>
      <c r="DL43" s="58">
        <f>IF(AND($H43="opportunity",$BW43=0.5,$BV43=0.1),$D43 &amp; ";","")</f>
        <v/>
      </c>
      <c r="DM43" s="58">
        <f>IF(AND($H43="opportunity",$BW43=0.5,$BV43=0.05),$D43 &amp; ";","")</f>
        <v/>
      </c>
      <c r="DN43" s="58">
        <f>IF(AND($H43="opportunity",$BW43=0.3,$BV43=0.8),$D43 &amp; ";","")</f>
        <v/>
      </c>
      <c r="DO43" s="58">
        <f>IF(AND($H43="opportunity",$BW43=0.3,$BV43=0.4),$D43 &amp; ";","")</f>
        <v/>
      </c>
      <c r="DP43" s="58">
        <f>IF(AND($H43="opportunity",$BW43=0.3,$BV43=0.2),$D43 &amp; ";","")</f>
        <v/>
      </c>
      <c r="DQ43" s="58">
        <f>IF(AND($H43="opportunity",$BW43=0.3,$BV43=0.1),$D43 &amp; ";","")</f>
        <v/>
      </c>
      <c r="DR43" s="58">
        <f>IF(AND($H43="opportunity",$BW43=0.3,$BV43=0.05),$D43 &amp; ";","")</f>
        <v/>
      </c>
      <c r="DS43" s="58">
        <f>IF(AND($H43="opportunity",$BW43=0.1,$BV43=0.8),$D43 &amp; ";","")</f>
        <v/>
      </c>
      <c r="DT43" s="58">
        <f>IF(AND($H43="opportunity",$BW43=0.1,$BV43=0.4),$D43 &amp; ";","")</f>
        <v/>
      </c>
      <c r="DU43" s="58">
        <f>IF(AND($H43="opportunity",$BW43=0.1,$BV43=0.2),$D43 &amp; ";","")</f>
        <v/>
      </c>
      <c r="DV43" s="58">
        <f>IF(AND($H43="opportunity",$BW43=0.1,$BV43=0.1),$D43 &amp; ";","")</f>
        <v/>
      </c>
      <c r="DW43" s="58">
        <f>IF(AND($H43="opportunity",$BW43=0.1,$BV43=0.05),$D43 &amp; ";","")</f>
        <v/>
      </c>
    </row>
    <row r="44">
      <c r="D44" s="60">
        <f>INDIRECT(ADDRESS(ROW()-22,COLUMN()-2,1,1,"Risk Register"))</f>
        <v/>
      </c>
      <c r="E44" s="143">
        <f>INDIRECT(ADDRESS(ROW()-22,COLUMN()-1,1,1,"Risk Register"))</f>
        <v/>
      </c>
      <c r="G44" s="56">
        <f>INDIRECT(ADDRESS(ROW()-22,COLUMN()+10,1,1,"Risk Register"))</f>
        <v/>
      </c>
      <c r="H44" s="60">
        <f>INDIRECT(ADDRESS(ROW()-22,COLUMN()+8,1,1,"Risk Register"))</f>
        <v/>
      </c>
      <c r="I44" s="54">
        <f>INDIRECT(ADDRESS(ROW()-22,COLUMN()+3,1,1,"Risk Register"))</f>
        <v/>
      </c>
      <c r="J44" s="143">
        <f>INDIRECT(ADDRESS(ROW()-22,COLUMN()+12,1,1,"Risk Register"))</f>
        <v/>
      </c>
      <c r="K44" s="143">
        <f>INDIRECT(ADDRESS(ROW()-22,COLUMN()-2,1,1,"Risk Register"))</f>
        <v/>
      </c>
      <c r="L44" s="176">
        <f>INDIRECT(ADDRESS(ROW()-22,COLUMN()+15,1,1,"Risk Register"))</f>
        <v/>
      </c>
      <c r="M44" s="54">
        <f>INDIRECT(ADDRESS(ROW()-22,COLUMN()+13,1,1,"Risk Register"))</f>
        <v/>
      </c>
      <c r="N44" s="143">
        <f>INDIRECT(ADDRESS(ROW()-22,COLUMN()-9,1,1,"Risk Register"))</f>
        <v/>
      </c>
      <c r="O44" s="143">
        <f>INDIRECT(ADDRESS(ROW()-22,COLUMN()-8,1,1,"Risk Register"))</f>
        <v/>
      </c>
      <c r="P44" s="56">
        <f>INDIRECT(ADDRESS(ROW()-22,COLUMN()+18,1,1,"Risk Register"))</f>
        <v/>
      </c>
      <c r="R44" s="57">
        <f>INDIRECT(ADDRESS(ROW()-22,COLUMN()-5,1,1,"Risk Register"))</f>
        <v/>
      </c>
      <c r="S44" s="58">
        <f>INDIRECT(ADDRESS(ROW()-22,COLUMN()-4,1,1,"Risk Register"))</f>
        <v/>
      </c>
      <c r="T44" s="59">
        <f>IF(AND($H44="threat",$G44&lt;=0.05),"gn",IF(AND($H44="threat",$G44&lt;=0.14),"y",IF(AND($H44="threat", $G44&gt;=0.15),"r",IF(AND($H44="opportunity",$G44&lt;=0.05),"gn",IF(AND($H44="opportunity",$G44&lt;=0.14),"lb",IF(AND($H44="opportunity",$G44&gt;=0.15),"db","z"))))))</f>
        <v/>
      </c>
      <c r="U44" s="58">
        <f>IF(AND($H44="threat",$S44=0.9,$R44=0.05),$D44 &amp; ";","")</f>
        <v/>
      </c>
      <c r="V44" s="58">
        <f>IF(AND($H44="threat",$S44=0.9,$R44=0.1),$D44 &amp; ";","")</f>
        <v/>
      </c>
      <c r="W44" s="58">
        <f>IF(AND($H44="threat",$S44=0.9,$R44=0.2),$D44 &amp; ";","")</f>
        <v/>
      </c>
      <c r="X44" s="58">
        <f>IF(AND($H44="threat",$S44=0.9,$R44=0.4),$D44 &amp; ";","")</f>
        <v/>
      </c>
      <c r="Y44" s="58">
        <f>IF(AND($H44="threat",$S44=0.9,$R44=0.8),$D44 &amp; ";","")</f>
        <v/>
      </c>
      <c r="Z44" s="58">
        <f>IF(AND($H44="threat",$S44=0.7,$R44=0.05),$D44 &amp; ";","")</f>
        <v/>
      </c>
      <c r="AA44" s="58">
        <f>IF(AND($H44="threat",$S44=0.7,$R44=0.1),$D44 &amp; ";","")</f>
        <v/>
      </c>
      <c r="AB44" s="58">
        <f>IF(AND($H44="threat",$S44=0.7,$R44=0.2),$D44 &amp; ";","")</f>
        <v/>
      </c>
      <c r="AC44" s="58">
        <f>IF(AND($H44="threat",$S44=0.7,$R44=0.4),$D44 &amp; ";","")</f>
        <v/>
      </c>
      <c r="AD44" s="58">
        <f>IF(AND($H44="threat",$S44=0.7,$R44=0.8),$D44 &amp; ";","")</f>
        <v/>
      </c>
      <c r="AE44" s="58">
        <f>IF(AND($H44="threat",$S44=0.5,$R44=0.05),$D44 &amp; ";","")</f>
        <v/>
      </c>
      <c r="AF44" s="58">
        <f>IF(AND($H44="threat",$S44=0.5,$R44=0.1),$D44 &amp; ";","")</f>
        <v/>
      </c>
      <c r="AG44" s="58">
        <f>IF(AND($H44="threat",$S44=0.5,$R44=0.2),$D44 &amp; ";","")</f>
        <v/>
      </c>
      <c r="AH44" s="58">
        <f>IF(AND($H44="threat",$S44=0.5,$R44=0.4),$D44 &amp; ";","")</f>
        <v/>
      </c>
      <c r="AI44" s="58">
        <f>IF(AND($H44="threat",$S44=0.5,$R44=0.8),$D44 &amp; ";","")</f>
        <v/>
      </c>
      <c r="AJ44" s="58">
        <f>IF(AND($H44="threat",$S44=0.3,$R44=0.05),$D44 &amp; ";","")</f>
        <v/>
      </c>
      <c r="AK44" s="58">
        <f>IF(AND($H44="threat",$S44=0.3,$R44=0.1),$D44 &amp; ";","")</f>
        <v/>
      </c>
      <c r="AL44" s="58">
        <f>IF(AND($H44="threat",$S44=0.3,$R44=0.2),$D44 &amp; ";","")</f>
        <v/>
      </c>
      <c r="AM44" s="58">
        <f>IF(AND($H44="threat",$S44=0.3,$R44=0.4),$D44 &amp; ";","")</f>
        <v/>
      </c>
      <c r="AN44" s="58">
        <f>IF(AND($H44="threat",$S44=0.3,$R44=0.8),$D44 &amp; ";","")</f>
        <v/>
      </c>
      <c r="AO44" s="58">
        <f>IF(AND($H44="threat",$S44=0.1,$R44=0.05),$D44 &amp; ";","")</f>
        <v/>
      </c>
      <c r="AP44" s="58">
        <f>IF(AND($H44="threat",$S44=0.1,$R44=0.1),$D44 &amp; ";","")</f>
        <v/>
      </c>
      <c r="AQ44" s="58">
        <f>IF(AND($H44="threat",$S44=0.1,$R44=0.2),$D44 &amp; ";","")</f>
        <v/>
      </c>
      <c r="AR44" s="58">
        <f>IF(AND($H44="threat",$S44=0.1,$R44=0.4),$D44 &amp; ";","")</f>
        <v/>
      </c>
      <c r="AS44" s="58">
        <f>IF(AND($H44="threat",$S44=0.1,$R44=0.8),$D44 &amp; ";","")</f>
        <v/>
      </c>
      <c r="AT44" s="39" t="n"/>
      <c r="AU44" s="58">
        <f>IF(AND($H44="opportunity",$S44=0.9,$R44=0.8),$D44 &amp; ";","")</f>
        <v/>
      </c>
      <c r="AV44" s="58">
        <f>IF(AND($H44="opportunity",$S44=0.9,$R44=0.4),$D44 &amp; ";","")</f>
        <v/>
      </c>
      <c r="AW44" s="58">
        <f>IF(AND($H44="opportunity",$S44=0.9,$R44=0.2),$D44 &amp; ";","")</f>
        <v/>
      </c>
      <c r="AX44" s="58">
        <f>IF(AND($H44="opportunity",$S44=0.9,$R44=0.1),$D44 &amp; ";","")</f>
        <v/>
      </c>
      <c r="AY44" s="58">
        <f>IF(AND($H44="opportunity",$S44=0.9,$R44=0.05),$D44 &amp; ";","")</f>
        <v/>
      </c>
      <c r="AZ44" s="58">
        <f>IF(AND($H44="opportunity",$S44=0.7,$R44=0.8),$D44 &amp; ";","")</f>
        <v/>
      </c>
      <c r="BA44" s="58">
        <f>IF(AND($H44="opportunity",$S44=0.7,$R44=0.4),$D44 &amp; ";","")</f>
        <v/>
      </c>
      <c r="BB44" s="58">
        <f>IF(AND($H44="opportunity",$S44=0.7,$R44=0.2),$D44 &amp; ";","")</f>
        <v/>
      </c>
      <c r="BC44" s="58">
        <f>IF(AND($H44="opportunity",$S44=0.7,$R44=0.1),$D44 &amp; ";","")</f>
        <v/>
      </c>
      <c r="BD44" s="58">
        <f>IF(AND($H44="opportunity",$S44=0.7,$R44=0.05),$D44 &amp; ";","")</f>
        <v/>
      </c>
      <c r="BE44" s="58">
        <f>IF(AND($H44="opportunity",$S44=0.5,$R44=0.8),$D44 &amp; ";","")</f>
        <v/>
      </c>
      <c r="BF44" s="58">
        <f>IF(AND($H44="opportunity",$S44=0.5,$R44=0.4),$D44 &amp; ";","")</f>
        <v/>
      </c>
      <c r="BG44" s="58">
        <f>IF(AND($H44="opportunity",$S44=0.5,$R44=0.2),$D44 &amp; ";","")</f>
        <v/>
      </c>
      <c r="BH44" s="58">
        <f>IF(AND($H44="opportunity",$S44=0.5,$R44=0.1),$D44 &amp; ";","")</f>
        <v/>
      </c>
      <c r="BI44" s="58">
        <f>IF(AND($H44="opportunity",$S44=0.5,$R44=0.05),$D44 &amp; ";","")</f>
        <v/>
      </c>
      <c r="BJ44" s="58">
        <f>IF(AND($H44="opportunity",$S44=0.3,$R44=0.8),$D44 &amp; ";","")</f>
        <v/>
      </c>
      <c r="BK44" s="58">
        <f>IF(AND($H44="opportunity",$S44=0.3,$R44=0.4),$D44 &amp; ";","")</f>
        <v/>
      </c>
      <c r="BL44" s="58">
        <f>IF(AND($H44="opportunity",$S44=0.3,$R44=0.2),$D44 &amp; ";","")</f>
        <v/>
      </c>
      <c r="BM44" s="58">
        <f>IF(AND($H44="opportunity",$S44=0.3,$R44=0.1),$D44 &amp; ";","")</f>
        <v/>
      </c>
      <c r="BN44" s="58">
        <f>IF(AND($H44="opportunity",$S44=0.3,$R44=0.05),$D44 &amp; ";","")</f>
        <v/>
      </c>
      <c r="BO44" s="58">
        <f>IF(AND($H44="opportunity",$S44=0.1,$R44=0.8),$D44 &amp; ";","")</f>
        <v/>
      </c>
      <c r="BP44" s="58">
        <f>IF(AND($H44="opportunity",$S44=0.1,$R44=0.4),$D44 &amp; ";","")</f>
        <v/>
      </c>
      <c r="BQ44" s="58">
        <f>IF(AND($H44="opportunity",$S44=0.1,$R44=0.2),$D44 &amp; ";","")</f>
        <v/>
      </c>
      <c r="BR44" s="58">
        <f>IF(AND($H44="opportunity",$S44=0.1,$R44=0.1),$D44 &amp; ";","")</f>
        <v/>
      </c>
      <c r="BS44" s="58">
        <f>IF(AND($H44="opportunity",$S44=0.1,$R44=0.05),$D44 &amp; ";","")</f>
        <v/>
      </c>
      <c r="BV44" s="57">
        <f>INDIRECT(ADDRESS(ROW()-22,COLUMN()-45,1,1,"Risk Register"))</f>
        <v/>
      </c>
      <c r="BW44" s="58">
        <f>INDIRECT(ADDRESS(ROW()-22,COLUMN()-44,1,1,"Risk Register"))</f>
        <v/>
      </c>
      <c r="BX44" s="59">
        <f>IF(AND($H44="threat",$P44&lt;=0.05),"gn",IF(AND($H44="threat",$P44&lt;=0.14),"y",IF(AND($H44="threat", $P44&gt;=0.15),"r",IF(AND($H44="opportunity",$P44&lt;=0.05),"gn",IF(AND($H44="opportunity",$P44&lt;=0.14),"lb",IF(AND($H44="opportunity",$P44&gt;=0.15),"db","z"))))))</f>
        <v/>
      </c>
      <c r="BY44" s="58">
        <f>IF(AND($H44="threat",$BW44=0.9,$BV44=0.05),$D44 &amp; ";","")</f>
        <v/>
      </c>
      <c r="BZ44" s="58">
        <f>IF(AND($H44="threat",$BW44=0.9,$BV44=0.1),$D44 &amp; ";","")</f>
        <v/>
      </c>
      <c r="CA44" s="58">
        <f>IF(AND($H44="threat",$BW44=0.9,$BV44=0.2),$D44 &amp; ";","")</f>
        <v/>
      </c>
      <c r="CB44" s="58">
        <f>IF(AND($H44="threat",$BW44=0.9,$BV44=0.4),$D44 &amp; ";","")</f>
        <v/>
      </c>
      <c r="CC44" s="58">
        <f>IF(AND($H44="threat",$BW44=0.9,$BV44=0.8),$D44 &amp; ";","")</f>
        <v/>
      </c>
      <c r="CD44" s="58">
        <f>IF(AND($H44="threat",$BW44=0.7,$BV44=0.05),$D44 &amp; ";","")</f>
        <v/>
      </c>
      <c r="CE44" s="58">
        <f>IF(AND($H44="threat",$BW44=0.7,$BV44=0.1),$D44 &amp; ";","")</f>
        <v/>
      </c>
      <c r="CF44" s="58">
        <f>IF(AND($H44="threat",$BW44=0.7,$BV44=0.2),$D44 &amp; ";","")</f>
        <v/>
      </c>
      <c r="CG44" s="58">
        <f>IF(AND($H44="threat",$BW44=0.7,$BV44=0.4),$D44 &amp; ";","")</f>
        <v/>
      </c>
      <c r="CH44" s="58">
        <f>IF(AND($H44="threat",$BW44=0.7,$BV44=0.8),$D44 &amp; ";","")</f>
        <v/>
      </c>
      <c r="CI44" s="58">
        <f>IF(AND($H44="threat",$BW44=0.5,$BV44=0.05),$D44 &amp; ";","")</f>
        <v/>
      </c>
      <c r="CJ44" s="58">
        <f>IF(AND($H44="threat",$BW44=0.5,$BV44=0.1),$D44 &amp; ";","")</f>
        <v/>
      </c>
      <c r="CK44" s="58">
        <f>IF(AND($H44="threat",$BW44=0.5,$BV44=0.2),$D44 &amp; ";","")</f>
        <v/>
      </c>
      <c r="CL44" s="58">
        <f>IF(AND($H44="threat",$BW44=0.5,$BV44=0.4),$D44 &amp; ";","")</f>
        <v/>
      </c>
      <c r="CM44" s="58">
        <f>IF(AND($H44="threat",$BW44=0.5,$BV44=0.8),$D44 &amp; ";","")</f>
        <v/>
      </c>
      <c r="CN44" s="58">
        <f>IF(AND($H44="threat",$BW44=0.3,$BV44=0.05),$D44 &amp; ";","")</f>
        <v/>
      </c>
      <c r="CO44" s="58">
        <f>IF(AND($H44="threat",$BW44=0.3,$BV44=0.1),$D44 &amp; ";","")</f>
        <v/>
      </c>
      <c r="CP44" s="58">
        <f>IF(AND($H44="threat",$BW44=0.3,$BV44=0.2),$D44 &amp; ";","")</f>
        <v/>
      </c>
      <c r="CQ44" s="58">
        <f>IF(AND($H44="threat",$BW44=0.3,$BV44=0.4),$D44 &amp; ";","")</f>
        <v/>
      </c>
      <c r="CR44" s="58">
        <f>IF(AND($H44="threat",$BW44=0.3,$BV44=0.8),$D44 &amp; ";","")</f>
        <v/>
      </c>
      <c r="CS44" s="58">
        <f>IF(AND($H44="threat",$BW44=0.1,$BV44=0.05),$D44 &amp; ";","")</f>
        <v/>
      </c>
      <c r="CT44" s="58">
        <f>IF(AND($H44="threat",$BW44=0.1,$BV44=0.1),$D44 &amp; ";","")</f>
        <v/>
      </c>
      <c r="CU44" s="58">
        <f>IF(AND($H44="threat",$BW44=0.1,$BV44=0.2),$D44 &amp; ";","")</f>
        <v/>
      </c>
      <c r="CV44" s="58">
        <f>IF(AND($H44="threat",$BW44=0.1,$BV44=0.4),$D44 &amp; ";","")</f>
        <v/>
      </c>
      <c r="CW44" s="58">
        <f>IF(AND($H44="threat",$BW44=0.1,$BV44=0.8),$D44 &amp; ";","")</f>
        <v/>
      </c>
      <c r="CX44" s="39" t="n"/>
      <c r="CY44" s="58">
        <f>IF(AND($H44="opportunity",$BW44=0.9,$BV44=0.8),$D44 &amp; ";","")</f>
        <v/>
      </c>
      <c r="CZ44" s="58">
        <f>IF(AND($H44="opportunity",$BW44=0.9,$BV44=0.4),$D44 &amp; ";","")</f>
        <v/>
      </c>
      <c r="DA44" s="58">
        <f>IF(AND($H44="opportunity",$BW44=0.9,$BV44=0.2),$D44 &amp; ";","")</f>
        <v/>
      </c>
      <c r="DB44" s="58">
        <f>IF(AND($H44="opportunity",$BW44=0.9,$BV44=0.1),$D44 &amp; ";","")</f>
        <v/>
      </c>
      <c r="DC44" s="58">
        <f>IF(AND($H44="opportunity",$BW44=0.9,$BV44=0.05),$D44 &amp; ";","")</f>
        <v/>
      </c>
      <c r="DD44" s="58">
        <f>IF(AND($H44="opportunity",$BW44=0.7,$BV44=0.8),$D44 &amp; ";","")</f>
        <v/>
      </c>
      <c r="DE44" s="58">
        <f>IF(AND($H44="opportunity",$BW44=0.7,$BV44=0.4),$D44 &amp; ";","")</f>
        <v/>
      </c>
      <c r="DF44" s="58">
        <f>IF(AND($H44="opportunity",$BW44=0.7,$BV44=0.2),$D44 &amp; ";","")</f>
        <v/>
      </c>
      <c r="DG44" s="58">
        <f>IF(AND($H44="opportunity",$BW44=0.7,$BV44=0.1),$D44 &amp; ";","")</f>
        <v/>
      </c>
      <c r="DH44" s="58">
        <f>IF(AND($H44="opportunity",$BW44=0.7,$BV44=0.05),$D44 &amp; ";","")</f>
        <v/>
      </c>
      <c r="DI44" s="58">
        <f>IF(AND($H44="opportunity",$BW44=0.5,$BV44=0.8),$D44 &amp; ";","")</f>
        <v/>
      </c>
      <c r="DJ44" s="58">
        <f>IF(AND($H44="opportunity",$BW44=0.5,$BV44=0.4),$D44 &amp; ";","")</f>
        <v/>
      </c>
      <c r="DK44" s="58">
        <f>IF(AND($H44="opportunity",$BW44=0.5,$BV44=0.2),$D44 &amp; ";","")</f>
        <v/>
      </c>
      <c r="DL44" s="58">
        <f>IF(AND($H44="opportunity",$BW44=0.5,$BV44=0.1),$D44 &amp; ";","")</f>
        <v/>
      </c>
      <c r="DM44" s="58">
        <f>IF(AND($H44="opportunity",$BW44=0.5,$BV44=0.05),$D44 &amp; ";","")</f>
        <v/>
      </c>
      <c r="DN44" s="58">
        <f>IF(AND($H44="opportunity",$BW44=0.3,$BV44=0.8),$D44 &amp; ";","")</f>
        <v/>
      </c>
      <c r="DO44" s="58">
        <f>IF(AND($H44="opportunity",$BW44=0.3,$BV44=0.4),$D44 &amp; ";","")</f>
        <v/>
      </c>
      <c r="DP44" s="58">
        <f>IF(AND($H44="opportunity",$BW44=0.3,$BV44=0.2),$D44 &amp; ";","")</f>
        <v/>
      </c>
      <c r="DQ44" s="58">
        <f>IF(AND($H44="opportunity",$BW44=0.3,$BV44=0.1),$D44 &amp; ";","")</f>
        <v/>
      </c>
      <c r="DR44" s="58">
        <f>IF(AND($H44="opportunity",$BW44=0.3,$BV44=0.05),$D44 &amp; ";","")</f>
        <v/>
      </c>
      <c r="DS44" s="58">
        <f>IF(AND($H44="opportunity",$BW44=0.1,$BV44=0.8),$D44 &amp; ";","")</f>
        <v/>
      </c>
      <c r="DT44" s="58">
        <f>IF(AND($H44="opportunity",$BW44=0.1,$BV44=0.4),$D44 &amp; ";","")</f>
        <v/>
      </c>
      <c r="DU44" s="58">
        <f>IF(AND($H44="opportunity",$BW44=0.1,$BV44=0.2),$D44 &amp; ";","")</f>
        <v/>
      </c>
      <c r="DV44" s="58">
        <f>IF(AND($H44="opportunity",$BW44=0.1,$BV44=0.1),$D44 &amp; ";","")</f>
        <v/>
      </c>
      <c r="DW44" s="58">
        <f>IF(AND($H44="opportunity",$BW44=0.1,$BV44=0.05),$D44 &amp; ";","")</f>
        <v/>
      </c>
    </row>
    <row r="45">
      <c r="D45" s="60">
        <f>INDIRECT(ADDRESS(ROW()-22,COLUMN()-2,1,1,"Risk Register"))</f>
        <v/>
      </c>
      <c r="E45" s="143">
        <f>INDIRECT(ADDRESS(ROW()-22,COLUMN()-1,1,1,"Risk Register"))</f>
        <v/>
      </c>
      <c r="G45" s="56">
        <f>INDIRECT(ADDRESS(ROW()-22,COLUMN()+10,1,1,"Risk Register"))</f>
        <v/>
      </c>
      <c r="H45" s="60">
        <f>INDIRECT(ADDRESS(ROW()-22,COLUMN()+8,1,1,"Risk Register"))</f>
        <v/>
      </c>
      <c r="I45" s="54">
        <f>INDIRECT(ADDRESS(ROW()-22,COLUMN()+3,1,1,"Risk Register"))</f>
        <v/>
      </c>
      <c r="J45" s="143">
        <f>INDIRECT(ADDRESS(ROW()-22,COLUMN()+12,1,1,"Risk Register"))</f>
        <v/>
      </c>
      <c r="K45" s="143">
        <f>INDIRECT(ADDRESS(ROW()-22,COLUMN()-2,1,1,"Risk Register"))</f>
        <v/>
      </c>
      <c r="L45" s="176">
        <f>INDIRECT(ADDRESS(ROW()-22,COLUMN()+15,1,1,"Risk Register"))</f>
        <v/>
      </c>
      <c r="M45" s="54">
        <f>INDIRECT(ADDRESS(ROW()-22,COLUMN()+13,1,1,"Risk Register"))</f>
        <v/>
      </c>
      <c r="N45" s="143">
        <f>INDIRECT(ADDRESS(ROW()-22,COLUMN()-9,1,1,"Risk Register"))</f>
        <v/>
      </c>
      <c r="O45" s="143">
        <f>INDIRECT(ADDRESS(ROW()-22,COLUMN()-8,1,1,"Risk Register"))</f>
        <v/>
      </c>
      <c r="P45" s="56">
        <f>INDIRECT(ADDRESS(ROW()-22,COLUMN()+18,1,1,"Risk Register"))</f>
        <v/>
      </c>
      <c r="R45" s="57">
        <f>INDIRECT(ADDRESS(ROW()-22,COLUMN()-5,1,1,"Risk Register"))</f>
        <v/>
      </c>
      <c r="S45" s="58">
        <f>INDIRECT(ADDRESS(ROW()-22,COLUMN()-4,1,1,"Risk Register"))</f>
        <v/>
      </c>
      <c r="T45" s="59">
        <f>IF(AND($H45="threat",$G45&lt;=0.05),"gn",IF(AND($H45="threat",$G45&lt;=0.14),"y",IF(AND($H45="threat", $G45&gt;=0.15),"r",IF(AND($H45="opportunity",$G45&lt;=0.05),"gn",IF(AND($H45="opportunity",$G45&lt;=0.14),"lb",IF(AND($H45="opportunity",$G45&gt;=0.15),"db","z"))))))</f>
        <v/>
      </c>
      <c r="U45" s="58">
        <f>IF(AND($H45="threat",$S45=0.9,$R45=0.05),$D45 &amp; ";","")</f>
        <v/>
      </c>
      <c r="V45" s="58">
        <f>IF(AND($H45="threat",$S45=0.9,$R45=0.1),$D45 &amp; ";","")</f>
        <v/>
      </c>
      <c r="W45" s="58">
        <f>IF(AND($H45="threat",$S45=0.9,$R45=0.2),$D45 &amp; ";","")</f>
        <v/>
      </c>
      <c r="X45" s="58">
        <f>IF(AND($H45="threat",$S45=0.9,$R45=0.4),$D45 &amp; ";","")</f>
        <v/>
      </c>
      <c r="Y45" s="58">
        <f>IF(AND($H45="threat",$S45=0.9,$R45=0.8),$D45 &amp; ";","")</f>
        <v/>
      </c>
      <c r="Z45" s="58">
        <f>IF(AND($H45="threat",$S45=0.7,$R45=0.05),$D45 &amp; ";","")</f>
        <v/>
      </c>
      <c r="AA45" s="58">
        <f>IF(AND($H45="threat",$S45=0.7,$R45=0.1),$D45 &amp; ";","")</f>
        <v/>
      </c>
      <c r="AB45" s="58">
        <f>IF(AND($H45="threat",$S45=0.7,$R45=0.2),$D45 &amp; ";","")</f>
        <v/>
      </c>
      <c r="AC45" s="58">
        <f>IF(AND($H45="threat",$S45=0.7,$R45=0.4),$D45 &amp; ";","")</f>
        <v/>
      </c>
      <c r="AD45" s="58">
        <f>IF(AND($H45="threat",$S45=0.7,$R45=0.8),$D45 &amp; ";","")</f>
        <v/>
      </c>
      <c r="AE45" s="58">
        <f>IF(AND($H45="threat",$S45=0.5,$R45=0.05),$D45 &amp; ";","")</f>
        <v/>
      </c>
      <c r="AF45" s="58">
        <f>IF(AND($H45="threat",$S45=0.5,$R45=0.1),$D45 &amp; ";","")</f>
        <v/>
      </c>
      <c r="AG45" s="58">
        <f>IF(AND($H45="threat",$S45=0.5,$R45=0.2),$D45 &amp; ";","")</f>
        <v/>
      </c>
      <c r="AH45" s="58">
        <f>IF(AND($H45="threat",$S45=0.5,$R45=0.4),$D45 &amp; ";","")</f>
        <v/>
      </c>
      <c r="AI45" s="58">
        <f>IF(AND($H45="threat",$S45=0.5,$R45=0.8),$D45 &amp; ";","")</f>
        <v/>
      </c>
      <c r="AJ45" s="58">
        <f>IF(AND($H45="threat",$S45=0.3,$R45=0.05),$D45 &amp; ";","")</f>
        <v/>
      </c>
      <c r="AK45" s="58">
        <f>IF(AND($H45="threat",$S45=0.3,$R45=0.1),$D45 &amp; ";","")</f>
        <v/>
      </c>
      <c r="AL45" s="58">
        <f>IF(AND($H45="threat",$S45=0.3,$R45=0.2),$D45 &amp; ";","")</f>
        <v/>
      </c>
      <c r="AM45" s="58">
        <f>IF(AND($H45="threat",$S45=0.3,$R45=0.4),$D45 &amp; ";","")</f>
        <v/>
      </c>
      <c r="AN45" s="58">
        <f>IF(AND($H45="threat",$S45=0.3,$R45=0.8),$D45 &amp; ";","")</f>
        <v/>
      </c>
      <c r="AO45" s="58">
        <f>IF(AND($H45="threat",$S45=0.1,$R45=0.05),$D45 &amp; ";","")</f>
        <v/>
      </c>
      <c r="AP45" s="58">
        <f>IF(AND($H45="threat",$S45=0.1,$R45=0.1),$D45 &amp; ";","")</f>
        <v/>
      </c>
      <c r="AQ45" s="58">
        <f>IF(AND($H45="threat",$S45=0.1,$R45=0.2),$D45 &amp; ";","")</f>
        <v/>
      </c>
      <c r="AR45" s="58">
        <f>IF(AND($H45="threat",$S45=0.1,$R45=0.4),$D45 &amp; ";","")</f>
        <v/>
      </c>
      <c r="AS45" s="58">
        <f>IF(AND($H45="threat",$S45=0.1,$R45=0.8),$D45 &amp; ";","")</f>
        <v/>
      </c>
      <c r="AT45" s="39" t="n"/>
      <c r="AU45" s="58">
        <f>IF(AND($H45="opportunity",$S45=0.9,$R45=0.8),$D45 &amp; ";","")</f>
        <v/>
      </c>
      <c r="AV45" s="58">
        <f>IF(AND($H45="opportunity",$S45=0.9,$R45=0.4),$D45 &amp; ";","")</f>
        <v/>
      </c>
      <c r="AW45" s="58">
        <f>IF(AND($H45="opportunity",$S45=0.9,$R45=0.2),$D45 &amp; ";","")</f>
        <v/>
      </c>
      <c r="AX45" s="58">
        <f>IF(AND($H45="opportunity",$S45=0.9,$R45=0.1),$D45 &amp; ";","")</f>
        <v/>
      </c>
      <c r="AY45" s="58">
        <f>IF(AND($H45="opportunity",$S45=0.9,$R45=0.05),$D45 &amp; ";","")</f>
        <v/>
      </c>
      <c r="AZ45" s="58">
        <f>IF(AND($H45="opportunity",$S45=0.7,$R45=0.8),$D45 &amp; ";","")</f>
        <v/>
      </c>
      <c r="BA45" s="58">
        <f>IF(AND($H45="opportunity",$S45=0.7,$R45=0.4),$D45 &amp; ";","")</f>
        <v/>
      </c>
      <c r="BB45" s="58">
        <f>IF(AND($H45="opportunity",$S45=0.7,$R45=0.2),$D45 &amp; ";","")</f>
        <v/>
      </c>
      <c r="BC45" s="58">
        <f>IF(AND($H45="opportunity",$S45=0.7,$R45=0.1),$D45 &amp; ";","")</f>
        <v/>
      </c>
      <c r="BD45" s="58">
        <f>IF(AND($H45="opportunity",$S45=0.7,$R45=0.05),$D45 &amp; ";","")</f>
        <v/>
      </c>
      <c r="BE45" s="58">
        <f>IF(AND($H45="opportunity",$S45=0.5,$R45=0.8),$D45 &amp; ";","")</f>
        <v/>
      </c>
      <c r="BF45" s="58">
        <f>IF(AND($H45="opportunity",$S45=0.5,$R45=0.4),$D45 &amp; ";","")</f>
        <v/>
      </c>
      <c r="BG45" s="58">
        <f>IF(AND($H45="opportunity",$S45=0.5,$R45=0.2),$D45 &amp; ";","")</f>
        <v/>
      </c>
      <c r="BH45" s="58">
        <f>IF(AND($H45="opportunity",$S45=0.5,$R45=0.1),$D45 &amp; ";","")</f>
        <v/>
      </c>
      <c r="BI45" s="58">
        <f>IF(AND($H45="opportunity",$S45=0.5,$R45=0.05),$D45 &amp; ";","")</f>
        <v/>
      </c>
      <c r="BJ45" s="58">
        <f>IF(AND($H45="opportunity",$S45=0.3,$R45=0.8),$D45 &amp; ";","")</f>
        <v/>
      </c>
      <c r="BK45" s="58">
        <f>IF(AND($H45="opportunity",$S45=0.3,$R45=0.4),$D45 &amp; ";","")</f>
        <v/>
      </c>
      <c r="BL45" s="58">
        <f>IF(AND($H45="opportunity",$S45=0.3,$R45=0.2),$D45 &amp; ";","")</f>
        <v/>
      </c>
      <c r="BM45" s="58">
        <f>IF(AND($H45="opportunity",$S45=0.3,$R45=0.1),$D45 &amp; ";","")</f>
        <v/>
      </c>
      <c r="BN45" s="58">
        <f>IF(AND($H45="opportunity",$S45=0.3,$R45=0.05),$D45 &amp; ";","")</f>
        <v/>
      </c>
      <c r="BO45" s="58">
        <f>IF(AND($H45="opportunity",$S45=0.1,$R45=0.8),$D45 &amp; ";","")</f>
        <v/>
      </c>
      <c r="BP45" s="58">
        <f>IF(AND($H45="opportunity",$S45=0.1,$R45=0.4),$D45 &amp; ";","")</f>
        <v/>
      </c>
      <c r="BQ45" s="58">
        <f>IF(AND($H45="opportunity",$S45=0.1,$R45=0.2),$D45 &amp; ";","")</f>
        <v/>
      </c>
      <c r="BR45" s="58">
        <f>IF(AND($H45="opportunity",$S45=0.1,$R45=0.1),$D45 &amp; ";","")</f>
        <v/>
      </c>
      <c r="BS45" s="58">
        <f>IF(AND($H45="opportunity",$S45=0.1,$R45=0.05),$D45 &amp; ";","")</f>
        <v/>
      </c>
      <c r="BV45" s="57">
        <f>INDIRECT(ADDRESS(ROW()-22,COLUMN()-45,1,1,"Risk Register"))</f>
        <v/>
      </c>
      <c r="BW45" s="58">
        <f>INDIRECT(ADDRESS(ROW()-22,COLUMN()-44,1,1,"Risk Register"))</f>
        <v/>
      </c>
      <c r="BX45" s="59">
        <f>IF(AND($H45="threat",$P45&lt;=0.05),"gn",IF(AND($H45="threat",$P45&lt;=0.14),"y",IF(AND($H45="threat", $P45&gt;=0.15),"r",IF(AND($H45="opportunity",$P45&lt;=0.05),"gn",IF(AND($H45="opportunity",$P45&lt;=0.14),"lb",IF(AND($H45="opportunity",$P45&gt;=0.15),"db","z"))))))</f>
        <v/>
      </c>
      <c r="BY45" s="58">
        <f>IF(AND($H45="threat",$BW45=0.9,$BV45=0.05),$D45 &amp; ";","")</f>
        <v/>
      </c>
      <c r="BZ45" s="58">
        <f>IF(AND($H45="threat",$BW45=0.9,$BV45=0.1),$D45 &amp; ";","")</f>
        <v/>
      </c>
      <c r="CA45" s="58">
        <f>IF(AND($H45="threat",$BW45=0.9,$BV45=0.2),$D45 &amp; ";","")</f>
        <v/>
      </c>
      <c r="CB45" s="58">
        <f>IF(AND($H45="threat",$BW45=0.9,$BV45=0.4),$D45 &amp; ";","")</f>
        <v/>
      </c>
      <c r="CC45" s="58">
        <f>IF(AND($H45="threat",$BW45=0.9,$BV45=0.8),$D45 &amp; ";","")</f>
        <v/>
      </c>
      <c r="CD45" s="58">
        <f>IF(AND($H45="threat",$BW45=0.7,$BV45=0.05),$D45 &amp; ";","")</f>
        <v/>
      </c>
      <c r="CE45" s="58">
        <f>IF(AND($H45="threat",$BW45=0.7,$BV45=0.1),$D45 &amp; ";","")</f>
        <v/>
      </c>
      <c r="CF45" s="58">
        <f>IF(AND($H45="threat",$BW45=0.7,$BV45=0.2),$D45 &amp; ";","")</f>
        <v/>
      </c>
      <c r="CG45" s="58">
        <f>IF(AND($H45="threat",$BW45=0.7,$BV45=0.4),$D45 &amp; ";","")</f>
        <v/>
      </c>
      <c r="CH45" s="58">
        <f>IF(AND($H45="threat",$BW45=0.7,$BV45=0.8),$D45 &amp; ";","")</f>
        <v/>
      </c>
      <c r="CI45" s="58">
        <f>IF(AND($H45="threat",$BW45=0.5,$BV45=0.05),$D45 &amp; ";","")</f>
        <v/>
      </c>
      <c r="CJ45" s="58">
        <f>IF(AND($H45="threat",$BW45=0.5,$BV45=0.1),$D45 &amp; ";","")</f>
        <v/>
      </c>
      <c r="CK45" s="58">
        <f>IF(AND($H45="threat",$BW45=0.5,$BV45=0.2),$D45 &amp; ";","")</f>
        <v/>
      </c>
      <c r="CL45" s="58">
        <f>IF(AND($H45="threat",$BW45=0.5,$BV45=0.4),$D45 &amp; ";","")</f>
        <v/>
      </c>
      <c r="CM45" s="58">
        <f>IF(AND($H45="threat",$BW45=0.5,$BV45=0.8),$D45 &amp; ";","")</f>
        <v/>
      </c>
      <c r="CN45" s="58">
        <f>IF(AND($H45="threat",$BW45=0.3,$BV45=0.05),$D45 &amp; ";","")</f>
        <v/>
      </c>
      <c r="CO45" s="58">
        <f>IF(AND($H45="threat",$BW45=0.3,$BV45=0.1),$D45 &amp; ";","")</f>
        <v/>
      </c>
      <c r="CP45" s="58">
        <f>IF(AND($H45="threat",$BW45=0.3,$BV45=0.2),$D45 &amp; ";","")</f>
        <v/>
      </c>
      <c r="CQ45" s="58">
        <f>IF(AND($H45="threat",$BW45=0.3,$BV45=0.4),$D45 &amp; ";","")</f>
        <v/>
      </c>
      <c r="CR45" s="58">
        <f>IF(AND($H45="threat",$BW45=0.3,$BV45=0.8),$D45 &amp; ";","")</f>
        <v/>
      </c>
      <c r="CS45" s="58">
        <f>IF(AND($H45="threat",$BW45=0.1,$BV45=0.05),$D45 &amp; ";","")</f>
        <v/>
      </c>
      <c r="CT45" s="58">
        <f>IF(AND($H45="threat",$BW45=0.1,$BV45=0.1),$D45 &amp; ";","")</f>
        <v/>
      </c>
      <c r="CU45" s="58">
        <f>IF(AND($H45="threat",$BW45=0.1,$BV45=0.2),$D45 &amp; ";","")</f>
        <v/>
      </c>
      <c r="CV45" s="58">
        <f>IF(AND($H45="threat",$BW45=0.1,$BV45=0.4),$D45 &amp; ";","")</f>
        <v/>
      </c>
      <c r="CW45" s="58">
        <f>IF(AND($H45="threat",$BW45=0.1,$BV45=0.8),$D45 &amp; ";","")</f>
        <v/>
      </c>
      <c r="CX45" s="39" t="n"/>
      <c r="CY45" s="58">
        <f>IF(AND($H45="opportunity",$BW45=0.9,$BV45=0.8),$D45 &amp; ";","")</f>
        <v/>
      </c>
      <c r="CZ45" s="58">
        <f>IF(AND($H45="opportunity",$BW45=0.9,$BV45=0.4),$D45 &amp; ";","")</f>
        <v/>
      </c>
      <c r="DA45" s="58">
        <f>IF(AND($H45="opportunity",$BW45=0.9,$BV45=0.2),$D45 &amp; ";","")</f>
        <v/>
      </c>
      <c r="DB45" s="58">
        <f>IF(AND($H45="opportunity",$BW45=0.9,$BV45=0.1),$D45 &amp; ";","")</f>
        <v/>
      </c>
      <c r="DC45" s="58">
        <f>IF(AND($H45="opportunity",$BW45=0.9,$BV45=0.05),$D45 &amp; ";","")</f>
        <v/>
      </c>
      <c r="DD45" s="58">
        <f>IF(AND($H45="opportunity",$BW45=0.7,$BV45=0.8),$D45 &amp; ";","")</f>
        <v/>
      </c>
      <c r="DE45" s="58">
        <f>IF(AND($H45="opportunity",$BW45=0.7,$BV45=0.4),$D45 &amp; ";","")</f>
        <v/>
      </c>
      <c r="DF45" s="58">
        <f>IF(AND($H45="opportunity",$BW45=0.7,$BV45=0.2),$D45 &amp; ";","")</f>
        <v/>
      </c>
      <c r="DG45" s="58">
        <f>IF(AND($H45="opportunity",$BW45=0.7,$BV45=0.1),$D45 &amp; ";","")</f>
        <v/>
      </c>
      <c r="DH45" s="58">
        <f>IF(AND($H45="opportunity",$BW45=0.7,$BV45=0.05),$D45 &amp; ";","")</f>
        <v/>
      </c>
      <c r="DI45" s="58">
        <f>IF(AND($H45="opportunity",$BW45=0.5,$BV45=0.8),$D45 &amp; ";","")</f>
        <v/>
      </c>
      <c r="DJ45" s="58">
        <f>IF(AND($H45="opportunity",$BW45=0.5,$BV45=0.4),$D45 &amp; ";","")</f>
        <v/>
      </c>
      <c r="DK45" s="58">
        <f>IF(AND($H45="opportunity",$BW45=0.5,$BV45=0.2),$D45 &amp; ";","")</f>
        <v/>
      </c>
      <c r="DL45" s="58">
        <f>IF(AND($H45="opportunity",$BW45=0.5,$BV45=0.1),$D45 &amp; ";","")</f>
        <v/>
      </c>
      <c r="DM45" s="58">
        <f>IF(AND($H45="opportunity",$BW45=0.5,$BV45=0.05),$D45 &amp; ";","")</f>
        <v/>
      </c>
      <c r="DN45" s="58">
        <f>IF(AND($H45="opportunity",$BW45=0.3,$BV45=0.8),$D45 &amp; ";","")</f>
        <v/>
      </c>
      <c r="DO45" s="58">
        <f>IF(AND($H45="opportunity",$BW45=0.3,$BV45=0.4),$D45 &amp; ";","")</f>
        <v/>
      </c>
      <c r="DP45" s="58">
        <f>IF(AND($H45="opportunity",$BW45=0.3,$BV45=0.2),$D45 &amp; ";","")</f>
        <v/>
      </c>
      <c r="DQ45" s="58">
        <f>IF(AND($H45="opportunity",$BW45=0.3,$BV45=0.1),$D45 &amp; ";","")</f>
        <v/>
      </c>
      <c r="DR45" s="58">
        <f>IF(AND($H45="opportunity",$BW45=0.3,$BV45=0.05),$D45 &amp; ";","")</f>
        <v/>
      </c>
      <c r="DS45" s="58">
        <f>IF(AND($H45="opportunity",$BW45=0.1,$BV45=0.8),$D45 &amp; ";","")</f>
        <v/>
      </c>
      <c r="DT45" s="58">
        <f>IF(AND($H45="opportunity",$BW45=0.1,$BV45=0.4),$D45 &amp; ";","")</f>
        <v/>
      </c>
      <c r="DU45" s="58">
        <f>IF(AND($H45="opportunity",$BW45=0.1,$BV45=0.2),$D45 &amp; ";","")</f>
        <v/>
      </c>
      <c r="DV45" s="58">
        <f>IF(AND($H45="opportunity",$BW45=0.1,$BV45=0.1),$D45 &amp; ";","")</f>
        <v/>
      </c>
      <c r="DW45" s="58">
        <f>IF(AND($H45="opportunity",$BW45=0.1,$BV45=0.05),$D45 &amp; ";","")</f>
        <v/>
      </c>
    </row>
    <row r="46">
      <c r="D46" s="60">
        <f>INDIRECT(ADDRESS(ROW()-22,COLUMN()-2,1,1,"Risk Register"))</f>
        <v/>
      </c>
      <c r="E46" s="143">
        <f>INDIRECT(ADDRESS(ROW()-22,COLUMN()-1,1,1,"Risk Register"))</f>
        <v/>
      </c>
      <c r="G46" s="56">
        <f>INDIRECT(ADDRESS(ROW()-22,COLUMN()+10,1,1,"Risk Register"))</f>
        <v/>
      </c>
      <c r="H46" s="60">
        <f>INDIRECT(ADDRESS(ROW()-22,COLUMN()+8,1,1,"Risk Register"))</f>
        <v/>
      </c>
      <c r="I46" s="54">
        <f>INDIRECT(ADDRESS(ROW()-22,COLUMN()+3,1,1,"Risk Register"))</f>
        <v/>
      </c>
      <c r="J46" s="143">
        <f>INDIRECT(ADDRESS(ROW()-22,COLUMN()+12,1,1,"Risk Register"))</f>
        <v/>
      </c>
      <c r="K46" s="143">
        <f>INDIRECT(ADDRESS(ROW()-22,COLUMN()-2,1,1,"Risk Register"))</f>
        <v/>
      </c>
      <c r="L46" s="176">
        <f>INDIRECT(ADDRESS(ROW()-22,COLUMN()+15,1,1,"Risk Register"))</f>
        <v/>
      </c>
      <c r="M46" s="54">
        <f>INDIRECT(ADDRESS(ROW()-22,COLUMN()+13,1,1,"Risk Register"))</f>
        <v/>
      </c>
      <c r="N46" s="143">
        <f>INDIRECT(ADDRESS(ROW()-22,COLUMN()-9,1,1,"Risk Register"))</f>
        <v/>
      </c>
      <c r="O46" s="143">
        <f>INDIRECT(ADDRESS(ROW()-22,COLUMN()-8,1,1,"Risk Register"))</f>
        <v/>
      </c>
      <c r="P46" s="56">
        <f>INDIRECT(ADDRESS(ROW()-22,COLUMN()+18,1,1,"Risk Register"))</f>
        <v/>
      </c>
      <c r="R46" s="57">
        <f>INDIRECT(ADDRESS(ROW()-22,COLUMN()-5,1,1,"Risk Register"))</f>
        <v/>
      </c>
      <c r="S46" s="58">
        <f>INDIRECT(ADDRESS(ROW()-22,COLUMN()-4,1,1,"Risk Register"))</f>
        <v/>
      </c>
      <c r="T46" s="59">
        <f>IF(AND($H46="threat",$G46&lt;=0.05),"gn",IF(AND($H46="threat",$G46&lt;=0.14),"y",IF(AND($H46="threat", $G46&gt;=0.15),"r",IF(AND($H46="opportunity",$G46&lt;=0.05),"gn",IF(AND($H46="opportunity",$G46&lt;=0.14),"lb",IF(AND($H46="opportunity",$G46&gt;=0.15),"db","z"))))))</f>
        <v/>
      </c>
      <c r="U46" s="58">
        <f>IF(AND($H46="threat",$S46=0.9,$R46=0.05),$D46 &amp; ";","")</f>
        <v/>
      </c>
      <c r="V46" s="58">
        <f>IF(AND($H46="threat",$S46=0.9,$R46=0.1),$D46 &amp; ";","")</f>
        <v/>
      </c>
      <c r="W46" s="58">
        <f>IF(AND($H46="threat",$S46=0.9,$R46=0.2),$D46 &amp; ";","")</f>
        <v/>
      </c>
      <c r="X46" s="58">
        <f>IF(AND($H46="threat",$S46=0.9,$R46=0.4),$D46 &amp; ";","")</f>
        <v/>
      </c>
      <c r="Y46" s="58">
        <f>IF(AND($H46="threat",$S46=0.9,$R46=0.8),$D46 &amp; ";","")</f>
        <v/>
      </c>
      <c r="Z46" s="58">
        <f>IF(AND($H46="threat",$S46=0.7,$R46=0.05),$D46 &amp; ";","")</f>
        <v/>
      </c>
      <c r="AA46" s="58">
        <f>IF(AND($H46="threat",$S46=0.7,$R46=0.1),$D46 &amp; ";","")</f>
        <v/>
      </c>
      <c r="AB46" s="58">
        <f>IF(AND($H46="threat",$S46=0.7,$R46=0.2),$D46 &amp; ";","")</f>
        <v/>
      </c>
      <c r="AC46" s="58">
        <f>IF(AND($H46="threat",$S46=0.7,$R46=0.4),$D46 &amp; ";","")</f>
        <v/>
      </c>
      <c r="AD46" s="58">
        <f>IF(AND($H46="threat",$S46=0.7,$R46=0.8),$D46 &amp; ";","")</f>
        <v/>
      </c>
      <c r="AE46" s="58">
        <f>IF(AND($H46="threat",$S46=0.5,$R46=0.05),$D46 &amp; ";","")</f>
        <v/>
      </c>
      <c r="AF46" s="58">
        <f>IF(AND($H46="threat",$S46=0.5,$R46=0.1),$D46 &amp; ";","")</f>
        <v/>
      </c>
      <c r="AG46" s="58">
        <f>IF(AND($H46="threat",$S46=0.5,$R46=0.2),$D46 &amp; ";","")</f>
        <v/>
      </c>
      <c r="AH46" s="58">
        <f>IF(AND($H46="threat",$S46=0.5,$R46=0.4),$D46 &amp; ";","")</f>
        <v/>
      </c>
      <c r="AI46" s="58">
        <f>IF(AND($H46="threat",$S46=0.5,$R46=0.8),$D46 &amp; ";","")</f>
        <v/>
      </c>
      <c r="AJ46" s="58">
        <f>IF(AND($H46="threat",$S46=0.3,$R46=0.05),$D46 &amp; ";","")</f>
        <v/>
      </c>
      <c r="AK46" s="58">
        <f>IF(AND($H46="threat",$S46=0.3,$R46=0.1),$D46 &amp; ";","")</f>
        <v/>
      </c>
      <c r="AL46" s="58">
        <f>IF(AND($H46="threat",$S46=0.3,$R46=0.2),$D46 &amp; ";","")</f>
        <v/>
      </c>
      <c r="AM46" s="58">
        <f>IF(AND($H46="threat",$S46=0.3,$R46=0.4),$D46 &amp; ";","")</f>
        <v/>
      </c>
      <c r="AN46" s="58">
        <f>IF(AND($H46="threat",$S46=0.3,$R46=0.8),$D46 &amp; ";","")</f>
        <v/>
      </c>
      <c r="AO46" s="58">
        <f>IF(AND($H46="threat",$S46=0.1,$R46=0.05),$D46 &amp; ";","")</f>
        <v/>
      </c>
      <c r="AP46" s="58">
        <f>IF(AND($H46="threat",$S46=0.1,$R46=0.1),$D46 &amp; ";","")</f>
        <v/>
      </c>
      <c r="AQ46" s="58">
        <f>IF(AND($H46="threat",$S46=0.1,$R46=0.2),$D46 &amp; ";","")</f>
        <v/>
      </c>
      <c r="AR46" s="58">
        <f>IF(AND($H46="threat",$S46=0.1,$R46=0.4),$D46 &amp; ";","")</f>
        <v/>
      </c>
      <c r="AS46" s="58">
        <f>IF(AND($H46="threat",$S46=0.1,$R46=0.8),$D46 &amp; ";","")</f>
        <v/>
      </c>
      <c r="AT46" s="39" t="n"/>
      <c r="AU46" s="58">
        <f>IF(AND($H46="opportunity",$S46=0.9,$R46=0.8),$D46 &amp; ";","")</f>
        <v/>
      </c>
      <c r="AV46" s="58">
        <f>IF(AND($H46="opportunity",$S46=0.9,$R46=0.4),$D46 &amp; ";","")</f>
        <v/>
      </c>
      <c r="AW46" s="58">
        <f>IF(AND($H46="opportunity",$S46=0.9,$R46=0.2),$D46 &amp; ";","")</f>
        <v/>
      </c>
      <c r="AX46" s="58">
        <f>IF(AND($H46="opportunity",$S46=0.9,$R46=0.1),$D46 &amp; ";","")</f>
        <v/>
      </c>
      <c r="AY46" s="58">
        <f>IF(AND($H46="opportunity",$S46=0.9,$R46=0.05),$D46 &amp; ";","")</f>
        <v/>
      </c>
      <c r="AZ46" s="58">
        <f>IF(AND($H46="opportunity",$S46=0.7,$R46=0.8),$D46 &amp; ";","")</f>
        <v/>
      </c>
      <c r="BA46" s="58">
        <f>IF(AND($H46="opportunity",$S46=0.7,$R46=0.4),$D46 &amp; ";","")</f>
        <v/>
      </c>
      <c r="BB46" s="58">
        <f>IF(AND($H46="opportunity",$S46=0.7,$R46=0.2),$D46 &amp; ";","")</f>
        <v/>
      </c>
      <c r="BC46" s="58">
        <f>IF(AND($H46="opportunity",$S46=0.7,$R46=0.1),$D46 &amp; ";","")</f>
        <v/>
      </c>
      <c r="BD46" s="58">
        <f>IF(AND($H46="opportunity",$S46=0.7,$R46=0.05),$D46 &amp; ";","")</f>
        <v/>
      </c>
      <c r="BE46" s="58">
        <f>IF(AND($H46="opportunity",$S46=0.5,$R46=0.8),$D46 &amp; ";","")</f>
        <v/>
      </c>
      <c r="BF46" s="58">
        <f>IF(AND($H46="opportunity",$S46=0.5,$R46=0.4),$D46 &amp; ";","")</f>
        <v/>
      </c>
      <c r="BG46" s="58">
        <f>IF(AND($H46="opportunity",$S46=0.5,$R46=0.2),$D46 &amp; ";","")</f>
        <v/>
      </c>
      <c r="BH46" s="58">
        <f>IF(AND($H46="opportunity",$S46=0.5,$R46=0.1),$D46 &amp; ";","")</f>
        <v/>
      </c>
      <c r="BI46" s="58">
        <f>IF(AND($H46="opportunity",$S46=0.5,$R46=0.05),$D46 &amp; ";","")</f>
        <v/>
      </c>
      <c r="BJ46" s="58">
        <f>IF(AND($H46="opportunity",$S46=0.3,$R46=0.8),$D46 &amp; ";","")</f>
        <v/>
      </c>
      <c r="BK46" s="58">
        <f>IF(AND($H46="opportunity",$S46=0.3,$R46=0.4),$D46 &amp; ";","")</f>
        <v/>
      </c>
      <c r="BL46" s="58">
        <f>IF(AND($H46="opportunity",$S46=0.3,$R46=0.2),$D46 &amp; ";","")</f>
        <v/>
      </c>
      <c r="BM46" s="58">
        <f>IF(AND($H46="opportunity",$S46=0.3,$R46=0.1),$D46 &amp; ";","")</f>
        <v/>
      </c>
      <c r="BN46" s="58">
        <f>IF(AND($H46="opportunity",$S46=0.3,$R46=0.05),$D46 &amp; ";","")</f>
        <v/>
      </c>
      <c r="BO46" s="58">
        <f>IF(AND($H46="opportunity",$S46=0.1,$R46=0.8),$D46 &amp; ";","")</f>
        <v/>
      </c>
      <c r="BP46" s="58">
        <f>IF(AND($H46="opportunity",$S46=0.1,$R46=0.4),$D46 &amp; ";","")</f>
        <v/>
      </c>
      <c r="BQ46" s="58">
        <f>IF(AND($H46="opportunity",$S46=0.1,$R46=0.2),$D46 &amp; ";","")</f>
        <v/>
      </c>
      <c r="BR46" s="58">
        <f>IF(AND($H46="opportunity",$S46=0.1,$R46=0.1),$D46 &amp; ";","")</f>
        <v/>
      </c>
      <c r="BS46" s="58">
        <f>IF(AND($H46="opportunity",$S46=0.1,$R46=0.05),$D46 &amp; ";","")</f>
        <v/>
      </c>
      <c r="BV46" s="57">
        <f>INDIRECT(ADDRESS(ROW()-22,COLUMN()-45,1,1,"Risk Register"))</f>
        <v/>
      </c>
      <c r="BW46" s="58">
        <f>INDIRECT(ADDRESS(ROW()-22,COLUMN()-44,1,1,"Risk Register"))</f>
        <v/>
      </c>
      <c r="BX46" s="59">
        <f>IF(AND($H46="threat",$P46&lt;=0.05),"gn",IF(AND($H46="threat",$P46&lt;=0.14),"y",IF(AND($H46="threat", $P46&gt;=0.15),"r",IF(AND($H46="opportunity",$P46&lt;=0.05),"gn",IF(AND($H46="opportunity",$P46&lt;=0.14),"lb",IF(AND($H46="opportunity",$P46&gt;=0.15),"db","z"))))))</f>
        <v/>
      </c>
      <c r="BY46" s="58">
        <f>IF(AND($H46="threat",$BW46=0.9,$BV46=0.05),$D46 &amp; ";","")</f>
        <v/>
      </c>
      <c r="BZ46" s="58">
        <f>IF(AND($H46="threat",$BW46=0.9,$BV46=0.1),$D46 &amp; ";","")</f>
        <v/>
      </c>
      <c r="CA46" s="58">
        <f>IF(AND($H46="threat",$BW46=0.9,$BV46=0.2),$D46 &amp; ";","")</f>
        <v/>
      </c>
      <c r="CB46" s="58">
        <f>IF(AND($H46="threat",$BW46=0.9,$BV46=0.4),$D46 &amp; ";","")</f>
        <v/>
      </c>
      <c r="CC46" s="58">
        <f>IF(AND($H46="threat",$BW46=0.9,$BV46=0.8),$D46 &amp; ";","")</f>
        <v/>
      </c>
      <c r="CD46" s="58">
        <f>IF(AND($H46="threat",$BW46=0.7,$BV46=0.05),$D46 &amp; ";","")</f>
        <v/>
      </c>
      <c r="CE46" s="58">
        <f>IF(AND($H46="threat",$BW46=0.7,$BV46=0.1),$D46 &amp; ";","")</f>
        <v/>
      </c>
      <c r="CF46" s="58">
        <f>IF(AND($H46="threat",$BW46=0.7,$BV46=0.2),$D46 &amp; ";","")</f>
        <v/>
      </c>
      <c r="CG46" s="58">
        <f>IF(AND($H46="threat",$BW46=0.7,$BV46=0.4),$D46 &amp; ";","")</f>
        <v/>
      </c>
      <c r="CH46" s="58">
        <f>IF(AND($H46="threat",$BW46=0.7,$BV46=0.8),$D46 &amp; ";","")</f>
        <v/>
      </c>
      <c r="CI46" s="58">
        <f>IF(AND($H46="threat",$BW46=0.5,$BV46=0.05),$D46 &amp; ";","")</f>
        <v/>
      </c>
      <c r="CJ46" s="58">
        <f>IF(AND($H46="threat",$BW46=0.5,$BV46=0.1),$D46 &amp; ";","")</f>
        <v/>
      </c>
      <c r="CK46" s="58">
        <f>IF(AND($H46="threat",$BW46=0.5,$BV46=0.2),$D46 &amp; ";","")</f>
        <v/>
      </c>
      <c r="CL46" s="58">
        <f>IF(AND($H46="threat",$BW46=0.5,$BV46=0.4),$D46 &amp; ";","")</f>
        <v/>
      </c>
      <c r="CM46" s="58">
        <f>IF(AND($H46="threat",$BW46=0.5,$BV46=0.8),$D46 &amp; ";","")</f>
        <v/>
      </c>
      <c r="CN46" s="58">
        <f>IF(AND($H46="threat",$BW46=0.3,$BV46=0.05),$D46 &amp; ";","")</f>
        <v/>
      </c>
      <c r="CO46" s="58">
        <f>IF(AND($H46="threat",$BW46=0.3,$BV46=0.1),$D46 &amp; ";","")</f>
        <v/>
      </c>
      <c r="CP46" s="58">
        <f>IF(AND($H46="threat",$BW46=0.3,$BV46=0.2),$D46 &amp; ";","")</f>
        <v/>
      </c>
      <c r="CQ46" s="58">
        <f>IF(AND($H46="threat",$BW46=0.3,$BV46=0.4),$D46 &amp; ";","")</f>
        <v/>
      </c>
      <c r="CR46" s="58">
        <f>IF(AND($H46="threat",$BW46=0.3,$BV46=0.8),$D46 &amp; ";","")</f>
        <v/>
      </c>
      <c r="CS46" s="58">
        <f>IF(AND($H46="threat",$BW46=0.1,$BV46=0.05),$D46 &amp; ";","")</f>
        <v/>
      </c>
      <c r="CT46" s="58">
        <f>IF(AND($H46="threat",$BW46=0.1,$BV46=0.1),$D46 &amp; ";","")</f>
        <v/>
      </c>
      <c r="CU46" s="58">
        <f>IF(AND($H46="threat",$BW46=0.1,$BV46=0.2),$D46 &amp; ";","")</f>
        <v/>
      </c>
      <c r="CV46" s="58">
        <f>IF(AND($H46="threat",$BW46=0.1,$BV46=0.4),$D46 &amp; ";","")</f>
        <v/>
      </c>
      <c r="CW46" s="58">
        <f>IF(AND($H46="threat",$BW46=0.1,$BV46=0.8),$D46 &amp; ";","")</f>
        <v/>
      </c>
      <c r="CX46" s="39" t="n"/>
      <c r="CY46" s="58">
        <f>IF(AND($H46="opportunity",$BW46=0.9,$BV46=0.8),$D46 &amp; ";","")</f>
        <v/>
      </c>
      <c r="CZ46" s="58">
        <f>IF(AND($H46="opportunity",$BW46=0.9,$BV46=0.4),$D46 &amp; ";","")</f>
        <v/>
      </c>
      <c r="DA46" s="58">
        <f>IF(AND($H46="opportunity",$BW46=0.9,$BV46=0.2),$D46 &amp; ";","")</f>
        <v/>
      </c>
      <c r="DB46" s="58">
        <f>IF(AND($H46="opportunity",$BW46=0.9,$BV46=0.1),$D46 &amp; ";","")</f>
        <v/>
      </c>
      <c r="DC46" s="58">
        <f>IF(AND($H46="opportunity",$BW46=0.9,$BV46=0.05),$D46 &amp; ";","")</f>
        <v/>
      </c>
      <c r="DD46" s="58">
        <f>IF(AND($H46="opportunity",$BW46=0.7,$BV46=0.8),$D46 &amp; ";","")</f>
        <v/>
      </c>
      <c r="DE46" s="58">
        <f>IF(AND($H46="opportunity",$BW46=0.7,$BV46=0.4),$D46 &amp; ";","")</f>
        <v/>
      </c>
      <c r="DF46" s="58">
        <f>IF(AND($H46="opportunity",$BW46=0.7,$BV46=0.2),$D46 &amp; ";","")</f>
        <v/>
      </c>
      <c r="DG46" s="58">
        <f>IF(AND($H46="opportunity",$BW46=0.7,$BV46=0.1),$D46 &amp; ";","")</f>
        <v/>
      </c>
      <c r="DH46" s="58">
        <f>IF(AND($H46="opportunity",$BW46=0.7,$BV46=0.05),$D46 &amp; ";","")</f>
        <v/>
      </c>
      <c r="DI46" s="58">
        <f>IF(AND($H46="opportunity",$BW46=0.5,$BV46=0.8),$D46 &amp; ";","")</f>
        <v/>
      </c>
      <c r="DJ46" s="58">
        <f>IF(AND($H46="opportunity",$BW46=0.5,$BV46=0.4),$D46 &amp; ";","")</f>
        <v/>
      </c>
      <c r="DK46" s="58">
        <f>IF(AND($H46="opportunity",$BW46=0.5,$BV46=0.2),$D46 &amp; ";","")</f>
        <v/>
      </c>
      <c r="DL46" s="58">
        <f>IF(AND($H46="opportunity",$BW46=0.5,$BV46=0.1),$D46 &amp; ";","")</f>
        <v/>
      </c>
      <c r="DM46" s="58">
        <f>IF(AND($H46="opportunity",$BW46=0.5,$BV46=0.05),$D46 &amp; ";","")</f>
        <v/>
      </c>
      <c r="DN46" s="58">
        <f>IF(AND($H46="opportunity",$BW46=0.3,$BV46=0.8),$D46 &amp; ";","")</f>
        <v/>
      </c>
      <c r="DO46" s="58">
        <f>IF(AND($H46="opportunity",$BW46=0.3,$BV46=0.4),$D46 &amp; ";","")</f>
        <v/>
      </c>
      <c r="DP46" s="58">
        <f>IF(AND($H46="opportunity",$BW46=0.3,$BV46=0.2),$D46 &amp; ";","")</f>
        <v/>
      </c>
      <c r="DQ46" s="58">
        <f>IF(AND($H46="opportunity",$BW46=0.3,$BV46=0.1),$D46 &amp; ";","")</f>
        <v/>
      </c>
      <c r="DR46" s="58">
        <f>IF(AND($H46="opportunity",$BW46=0.3,$BV46=0.05),$D46 &amp; ";","")</f>
        <v/>
      </c>
      <c r="DS46" s="58">
        <f>IF(AND($H46="opportunity",$BW46=0.1,$BV46=0.8),$D46 &amp; ";","")</f>
        <v/>
      </c>
      <c r="DT46" s="58">
        <f>IF(AND($H46="opportunity",$BW46=0.1,$BV46=0.4),$D46 &amp; ";","")</f>
        <v/>
      </c>
      <c r="DU46" s="58">
        <f>IF(AND($H46="opportunity",$BW46=0.1,$BV46=0.2),$D46 &amp; ";","")</f>
        <v/>
      </c>
      <c r="DV46" s="58">
        <f>IF(AND($H46="opportunity",$BW46=0.1,$BV46=0.1),$D46 &amp; ";","")</f>
        <v/>
      </c>
      <c r="DW46" s="58">
        <f>IF(AND($H46="opportunity",$BW46=0.1,$BV46=0.05),$D46 &amp; ";","")</f>
        <v/>
      </c>
    </row>
    <row r="47">
      <c r="D47" s="60">
        <f>INDIRECT(ADDRESS(ROW()-22,COLUMN()-2,1,1,"Risk Register"))</f>
        <v/>
      </c>
      <c r="E47" s="143">
        <f>INDIRECT(ADDRESS(ROW()-22,COLUMN()-1,1,1,"Risk Register"))</f>
        <v/>
      </c>
      <c r="G47" s="56">
        <f>INDIRECT(ADDRESS(ROW()-22,COLUMN()+10,1,1,"Risk Register"))</f>
        <v/>
      </c>
      <c r="H47" s="60">
        <f>INDIRECT(ADDRESS(ROW()-22,COLUMN()+8,1,1,"Risk Register"))</f>
        <v/>
      </c>
      <c r="I47" s="54">
        <f>INDIRECT(ADDRESS(ROW()-22,COLUMN()+3,1,1,"Risk Register"))</f>
        <v/>
      </c>
      <c r="J47" s="143">
        <f>INDIRECT(ADDRESS(ROW()-22,COLUMN()+12,1,1,"Risk Register"))</f>
        <v/>
      </c>
      <c r="K47" s="143">
        <f>INDIRECT(ADDRESS(ROW()-22,COLUMN()-2,1,1,"Risk Register"))</f>
        <v/>
      </c>
      <c r="L47" s="176">
        <f>INDIRECT(ADDRESS(ROW()-22,COLUMN()+15,1,1,"Risk Register"))</f>
        <v/>
      </c>
      <c r="M47" s="54">
        <f>INDIRECT(ADDRESS(ROW()-22,COLUMN()+13,1,1,"Risk Register"))</f>
        <v/>
      </c>
      <c r="N47" s="143">
        <f>INDIRECT(ADDRESS(ROW()-22,COLUMN()-9,1,1,"Risk Register"))</f>
        <v/>
      </c>
      <c r="O47" s="143">
        <f>INDIRECT(ADDRESS(ROW()-22,COLUMN()-8,1,1,"Risk Register"))</f>
        <v/>
      </c>
      <c r="P47" s="56">
        <f>INDIRECT(ADDRESS(ROW()-22,COLUMN()+18,1,1,"Risk Register"))</f>
        <v/>
      </c>
      <c r="R47" s="57">
        <f>INDIRECT(ADDRESS(ROW()-22,COLUMN()-5,1,1,"Risk Register"))</f>
        <v/>
      </c>
      <c r="S47" s="58">
        <f>INDIRECT(ADDRESS(ROW()-22,COLUMN()-4,1,1,"Risk Register"))</f>
        <v/>
      </c>
      <c r="T47" s="59">
        <f>IF(AND($H47="threat",$G47&lt;=0.05),"gn",IF(AND($H47="threat",$G47&lt;=0.14),"y",IF(AND($H47="threat", $G47&gt;=0.15),"r",IF(AND($H47="opportunity",$G47&lt;=0.05),"gn",IF(AND($H47="opportunity",$G47&lt;=0.14),"lb",IF(AND($H47="opportunity",$G47&gt;=0.15),"db","z"))))))</f>
        <v/>
      </c>
      <c r="U47" s="58">
        <f>IF(AND($H47="threat",$S47=0.9,$R47=0.05),$D47 &amp; ";","")</f>
        <v/>
      </c>
      <c r="V47" s="58">
        <f>IF(AND($H47="threat",$S47=0.9,$R47=0.1),$D47 &amp; ";","")</f>
        <v/>
      </c>
      <c r="W47" s="58">
        <f>IF(AND($H47="threat",$S47=0.9,$R47=0.2),$D47 &amp; ";","")</f>
        <v/>
      </c>
      <c r="X47" s="58">
        <f>IF(AND($H47="threat",$S47=0.9,$R47=0.4),$D47 &amp; ";","")</f>
        <v/>
      </c>
      <c r="Y47" s="58">
        <f>IF(AND($H47="threat",$S47=0.9,$R47=0.8),$D47 &amp; ";","")</f>
        <v/>
      </c>
      <c r="Z47" s="58">
        <f>IF(AND($H47="threat",$S47=0.7,$R47=0.05),$D47 &amp; ";","")</f>
        <v/>
      </c>
      <c r="AA47" s="58">
        <f>IF(AND($H47="threat",$S47=0.7,$R47=0.1),$D47 &amp; ";","")</f>
        <v/>
      </c>
      <c r="AB47" s="58">
        <f>IF(AND($H47="threat",$S47=0.7,$R47=0.2),$D47 &amp; ";","")</f>
        <v/>
      </c>
      <c r="AC47" s="58">
        <f>IF(AND($H47="threat",$S47=0.7,$R47=0.4),$D47 &amp; ";","")</f>
        <v/>
      </c>
      <c r="AD47" s="58">
        <f>IF(AND($H47="threat",$S47=0.7,$R47=0.8),$D47 &amp; ";","")</f>
        <v/>
      </c>
      <c r="AE47" s="58">
        <f>IF(AND($H47="threat",$S47=0.5,$R47=0.05),$D47 &amp; ";","")</f>
        <v/>
      </c>
      <c r="AF47" s="58">
        <f>IF(AND($H47="threat",$S47=0.5,$R47=0.1),$D47 &amp; ";","")</f>
        <v/>
      </c>
      <c r="AG47" s="58">
        <f>IF(AND($H47="threat",$S47=0.5,$R47=0.2),$D47 &amp; ";","")</f>
        <v/>
      </c>
      <c r="AH47" s="58">
        <f>IF(AND($H47="threat",$S47=0.5,$R47=0.4),$D47 &amp; ";","")</f>
        <v/>
      </c>
      <c r="AI47" s="58">
        <f>IF(AND($H47="threat",$S47=0.5,$R47=0.8),$D47 &amp; ";","")</f>
        <v/>
      </c>
      <c r="AJ47" s="58">
        <f>IF(AND($H47="threat",$S47=0.3,$R47=0.05),$D47 &amp; ";","")</f>
        <v/>
      </c>
      <c r="AK47" s="58">
        <f>IF(AND($H47="threat",$S47=0.3,$R47=0.1),$D47 &amp; ";","")</f>
        <v/>
      </c>
      <c r="AL47" s="58">
        <f>IF(AND($H47="threat",$S47=0.3,$R47=0.2),$D47 &amp; ";","")</f>
        <v/>
      </c>
      <c r="AM47" s="58">
        <f>IF(AND($H47="threat",$S47=0.3,$R47=0.4),$D47 &amp; ";","")</f>
        <v/>
      </c>
      <c r="AN47" s="58">
        <f>IF(AND($H47="threat",$S47=0.3,$R47=0.8),$D47 &amp; ";","")</f>
        <v/>
      </c>
      <c r="AO47" s="58">
        <f>IF(AND($H47="threat",$S47=0.1,$R47=0.05),$D47 &amp; ";","")</f>
        <v/>
      </c>
      <c r="AP47" s="58">
        <f>IF(AND($H47="threat",$S47=0.1,$R47=0.1),$D47 &amp; ";","")</f>
        <v/>
      </c>
      <c r="AQ47" s="58">
        <f>IF(AND($H47="threat",$S47=0.1,$R47=0.2),$D47 &amp; ";","")</f>
        <v/>
      </c>
      <c r="AR47" s="58">
        <f>IF(AND($H47="threat",$S47=0.1,$R47=0.4),$D47 &amp; ";","")</f>
        <v/>
      </c>
      <c r="AS47" s="58">
        <f>IF(AND($H47="threat",$S47=0.1,$R47=0.8),$D47 &amp; ";","")</f>
        <v/>
      </c>
      <c r="AT47" s="39" t="n"/>
      <c r="AU47" s="58">
        <f>IF(AND($H47="opportunity",$S47=0.9,$R47=0.8),$D47 &amp; ";","")</f>
        <v/>
      </c>
      <c r="AV47" s="58">
        <f>IF(AND($H47="opportunity",$S47=0.9,$R47=0.4),$D47 &amp; ";","")</f>
        <v/>
      </c>
      <c r="AW47" s="58">
        <f>IF(AND($H47="opportunity",$S47=0.9,$R47=0.2),$D47 &amp; ";","")</f>
        <v/>
      </c>
      <c r="AX47" s="58">
        <f>IF(AND($H47="opportunity",$S47=0.9,$R47=0.1),$D47 &amp; ";","")</f>
        <v/>
      </c>
      <c r="AY47" s="58">
        <f>IF(AND($H47="opportunity",$S47=0.9,$R47=0.05),$D47 &amp; ";","")</f>
        <v/>
      </c>
      <c r="AZ47" s="58">
        <f>IF(AND($H47="opportunity",$S47=0.7,$R47=0.8),$D47 &amp; ";","")</f>
        <v/>
      </c>
      <c r="BA47" s="58">
        <f>IF(AND($H47="opportunity",$S47=0.7,$R47=0.4),$D47 &amp; ";","")</f>
        <v/>
      </c>
      <c r="BB47" s="58">
        <f>IF(AND($H47="opportunity",$S47=0.7,$R47=0.2),$D47 &amp; ";","")</f>
        <v/>
      </c>
      <c r="BC47" s="58">
        <f>IF(AND($H47="opportunity",$S47=0.7,$R47=0.1),$D47 &amp; ";","")</f>
        <v/>
      </c>
      <c r="BD47" s="58">
        <f>IF(AND($H47="opportunity",$S47=0.7,$R47=0.05),$D47 &amp; ";","")</f>
        <v/>
      </c>
      <c r="BE47" s="58">
        <f>IF(AND($H47="opportunity",$S47=0.5,$R47=0.8),$D47 &amp; ";","")</f>
        <v/>
      </c>
      <c r="BF47" s="58">
        <f>IF(AND($H47="opportunity",$S47=0.5,$R47=0.4),$D47 &amp; ";","")</f>
        <v/>
      </c>
      <c r="BG47" s="58">
        <f>IF(AND($H47="opportunity",$S47=0.5,$R47=0.2),$D47 &amp; ";","")</f>
        <v/>
      </c>
      <c r="BH47" s="58">
        <f>IF(AND($H47="opportunity",$S47=0.5,$R47=0.1),$D47 &amp; ";","")</f>
        <v/>
      </c>
      <c r="BI47" s="58">
        <f>IF(AND($H47="opportunity",$S47=0.5,$R47=0.05),$D47 &amp; ";","")</f>
        <v/>
      </c>
      <c r="BJ47" s="58">
        <f>IF(AND($H47="opportunity",$S47=0.3,$R47=0.8),$D47 &amp; ";","")</f>
        <v/>
      </c>
      <c r="BK47" s="58">
        <f>IF(AND($H47="opportunity",$S47=0.3,$R47=0.4),$D47 &amp; ";","")</f>
        <v/>
      </c>
      <c r="BL47" s="58">
        <f>IF(AND($H47="opportunity",$S47=0.3,$R47=0.2),$D47 &amp; ";","")</f>
        <v/>
      </c>
      <c r="BM47" s="58">
        <f>IF(AND($H47="opportunity",$S47=0.3,$R47=0.1),$D47 &amp; ";","")</f>
        <v/>
      </c>
      <c r="BN47" s="58">
        <f>IF(AND($H47="opportunity",$S47=0.3,$R47=0.05),$D47 &amp; ";","")</f>
        <v/>
      </c>
      <c r="BO47" s="58">
        <f>IF(AND($H47="opportunity",$S47=0.1,$R47=0.8),$D47 &amp; ";","")</f>
        <v/>
      </c>
      <c r="BP47" s="58">
        <f>IF(AND($H47="opportunity",$S47=0.1,$R47=0.4),$D47 &amp; ";","")</f>
        <v/>
      </c>
      <c r="BQ47" s="58">
        <f>IF(AND($H47="opportunity",$S47=0.1,$R47=0.2),$D47 &amp; ";","")</f>
        <v/>
      </c>
      <c r="BR47" s="58">
        <f>IF(AND($H47="opportunity",$S47=0.1,$R47=0.1),$D47 &amp; ";","")</f>
        <v/>
      </c>
      <c r="BS47" s="58">
        <f>IF(AND($H47="opportunity",$S47=0.1,$R47=0.05),$D47 &amp; ";","")</f>
        <v/>
      </c>
      <c r="BV47" s="57">
        <f>INDIRECT(ADDRESS(ROW()-22,COLUMN()-45,1,1,"Risk Register"))</f>
        <v/>
      </c>
      <c r="BW47" s="58">
        <f>INDIRECT(ADDRESS(ROW()-22,COLUMN()-44,1,1,"Risk Register"))</f>
        <v/>
      </c>
      <c r="BX47" s="59">
        <f>IF(AND($H47="threat",$P47&lt;=0.05),"gn",IF(AND($H47="threat",$P47&lt;=0.14),"y",IF(AND($H47="threat", $P47&gt;=0.15),"r",IF(AND($H47="opportunity",$P47&lt;=0.05),"gn",IF(AND($H47="opportunity",$P47&lt;=0.14),"lb",IF(AND($H47="opportunity",$P47&gt;=0.15),"db","z"))))))</f>
        <v/>
      </c>
      <c r="BY47" s="58">
        <f>IF(AND($H47="threat",$BW47=0.9,$BV47=0.05),$D47 &amp; ";","")</f>
        <v/>
      </c>
      <c r="BZ47" s="58">
        <f>IF(AND($H47="threat",$BW47=0.9,$BV47=0.1),$D47 &amp; ";","")</f>
        <v/>
      </c>
      <c r="CA47" s="58">
        <f>IF(AND($H47="threat",$BW47=0.9,$BV47=0.2),$D47 &amp; ";","")</f>
        <v/>
      </c>
      <c r="CB47" s="58">
        <f>IF(AND($H47="threat",$BW47=0.9,$BV47=0.4),$D47 &amp; ";","")</f>
        <v/>
      </c>
      <c r="CC47" s="58">
        <f>IF(AND($H47="threat",$BW47=0.9,$BV47=0.8),$D47 &amp; ";","")</f>
        <v/>
      </c>
      <c r="CD47" s="58">
        <f>IF(AND($H47="threat",$BW47=0.7,$BV47=0.05),$D47 &amp; ";","")</f>
        <v/>
      </c>
      <c r="CE47" s="58">
        <f>IF(AND($H47="threat",$BW47=0.7,$BV47=0.1),$D47 &amp; ";","")</f>
        <v/>
      </c>
      <c r="CF47" s="58">
        <f>IF(AND($H47="threat",$BW47=0.7,$BV47=0.2),$D47 &amp; ";","")</f>
        <v/>
      </c>
      <c r="CG47" s="58">
        <f>IF(AND($H47="threat",$BW47=0.7,$BV47=0.4),$D47 &amp; ";","")</f>
        <v/>
      </c>
      <c r="CH47" s="58">
        <f>IF(AND($H47="threat",$BW47=0.7,$BV47=0.8),$D47 &amp; ";","")</f>
        <v/>
      </c>
      <c r="CI47" s="58">
        <f>IF(AND($H47="threat",$BW47=0.5,$BV47=0.05),$D47 &amp; ";","")</f>
        <v/>
      </c>
      <c r="CJ47" s="58">
        <f>IF(AND($H47="threat",$BW47=0.5,$BV47=0.1),$D47 &amp; ";","")</f>
        <v/>
      </c>
      <c r="CK47" s="58">
        <f>IF(AND($H47="threat",$BW47=0.5,$BV47=0.2),$D47 &amp; ";","")</f>
        <v/>
      </c>
      <c r="CL47" s="58">
        <f>IF(AND($H47="threat",$BW47=0.5,$BV47=0.4),$D47 &amp; ";","")</f>
        <v/>
      </c>
      <c r="CM47" s="58">
        <f>IF(AND($H47="threat",$BW47=0.5,$BV47=0.8),$D47 &amp; ";","")</f>
        <v/>
      </c>
      <c r="CN47" s="58">
        <f>IF(AND($H47="threat",$BW47=0.3,$BV47=0.05),$D47 &amp; ";","")</f>
        <v/>
      </c>
      <c r="CO47" s="58">
        <f>IF(AND($H47="threat",$BW47=0.3,$BV47=0.1),$D47 &amp; ";","")</f>
        <v/>
      </c>
      <c r="CP47" s="58">
        <f>IF(AND($H47="threat",$BW47=0.3,$BV47=0.2),$D47 &amp; ";","")</f>
        <v/>
      </c>
      <c r="CQ47" s="58">
        <f>IF(AND($H47="threat",$BW47=0.3,$BV47=0.4),$D47 &amp; ";","")</f>
        <v/>
      </c>
      <c r="CR47" s="58">
        <f>IF(AND($H47="threat",$BW47=0.3,$BV47=0.8),$D47 &amp; ";","")</f>
        <v/>
      </c>
      <c r="CS47" s="58">
        <f>IF(AND($H47="threat",$BW47=0.1,$BV47=0.05),$D47 &amp; ";","")</f>
        <v/>
      </c>
      <c r="CT47" s="58">
        <f>IF(AND($H47="threat",$BW47=0.1,$BV47=0.1),$D47 &amp; ";","")</f>
        <v/>
      </c>
      <c r="CU47" s="58">
        <f>IF(AND($H47="threat",$BW47=0.1,$BV47=0.2),$D47 &amp; ";","")</f>
        <v/>
      </c>
      <c r="CV47" s="58">
        <f>IF(AND($H47="threat",$BW47=0.1,$BV47=0.4),$D47 &amp; ";","")</f>
        <v/>
      </c>
      <c r="CW47" s="58">
        <f>IF(AND($H47="threat",$BW47=0.1,$BV47=0.8),$D47 &amp; ";","")</f>
        <v/>
      </c>
      <c r="CX47" s="39" t="n"/>
      <c r="CY47" s="58">
        <f>IF(AND($H47="opportunity",$BW47=0.9,$BV47=0.8),$D47 &amp; ";","")</f>
        <v/>
      </c>
      <c r="CZ47" s="58">
        <f>IF(AND($H47="opportunity",$BW47=0.9,$BV47=0.4),$D47 &amp; ";","")</f>
        <v/>
      </c>
      <c r="DA47" s="58">
        <f>IF(AND($H47="opportunity",$BW47=0.9,$BV47=0.2),$D47 &amp; ";","")</f>
        <v/>
      </c>
      <c r="DB47" s="58">
        <f>IF(AND($H47="opportunity",$BW47=0.9,$BV47=0.1),$D47 &amp; ";","")</f>
        <v/>
      </c>
      <c r="DC47" s="58">
        <f>IF(AND($H47="opportunity",$BW47=0.9,$BV47=0.05),$D47 &amp; ";","")</f>
        <v/>
      </c>
      <c r="DD47" s="58">
        <f>IF(AND($H47="opportunity",$BW47=0.7,$BV47=0.8),$D47 &amp; ";","")</f>
        <v/>
      </c>
      <c r="DE47" s="58">
        <f>IF(AND($H47="opportunity",$BW47=0.7,$BV47=0.4),$D47 &amp; ";","")</f>
        <v/>
      </c>
      <c r="DF47" s="58">
        <f>IF(AND($H47="opportunity",$BW47=0.7,$BV47=0.2),$D47 &amp; ";","")</f>
        <v/>
      </c>
      <c r="DG47" s="58">
        <f>IF(AND($H47="opportunity",$BW47=0.7,$BV47=0.1),$D47 &amp; ";","")</f>
        <v/>
      </c>
      <c r="DH47" s="58">
        <f>IF(AND($H47="opportunity",$BW47=0.7,$BV47=0.05),$D47 &amp; ";","")</f>
        <v/>
      </c>
      <c r="DI47" s="58">
        <f>IF(AND($H47="opportunity",$BW47=0.5,$BV47=0.8),$D47 &amp; ";","")</f>
        <v/>
      </c>
      <c r="DJ47" s="58">
        <f>IF(AND($H47="opportunity",$BW47=0.5,$BV47=0.4),$D47 &amp; ";","")</f>
        <v/>
      </c>
      <c r="DK47" s="58">
        <f>IF(AND($H47="opportunity",$BW47=0.5,$BV47=0.2),$D47 &amp; ";","")</f>
        <v/>
      </c>
      <c r="DL47" s="58">
        <f>IF(AND($H47="opportunity",$BW47=0.5,$BV47=0.1),$D47 &amp; ";","")</f>
        <v/>
      </c>
      <c r="DM47" s="58">
        <f>IF(AND($H47="opportunity",$BW47=0.5,$BV47=0.05),$D47 &amp; ";","")</f>
        <v/>
      </c>
      <c r="DN47" s="58">
        <f>IF(AND($H47="opportunity",$BW47=0.3,$BV47=0.8),$D47 &amp; ";","")</f>
        <v/>
      </c>
      <c r="DO47" s="58">
        <f>IF(AND($H47="opportunity",$BW47=0.3,$BV47=0.4),$D47 &amp; ";","")</f>
        <v/>
      </c>
      <c r="DP47" s="58">
        <f>IF(AND($H47="opportunity",$BW47=0.3,$BV47=0.2),$D47 &amp; ";","")</f>
        <v/>
      </c>
      <c r="DQ47" s="58">
        <f>IF(AND($H47="opportunity",$BW47=0.3,$BV47=0.1),$D47 &amp; ";","")</f>
        <v/>
      </c>
      <c r="DR47" s="58">
        <f>IF(AND($H47="opportunity",$BW47=0.3,$BV47=0.05),$D47 &amp; ";","")</f>
        <v/>
      </c>
      <c r="DS47" s="58">
        <f>IF(AND($H47="opportunity",$BW47=0.1,$BV47=0.8),$D47 &amp; ";","")</f>
        <v/>
      </c>
      <c r="DT47" s="58">
        <f>IF(AND($H47="opportunity",$BW47=0.1,$BV47=0.4),$D47 &amp; ";","")</f>
        <v/>
      </c>
      <c r="DU47" s="58">
        <f>IF(AND($H47="opportunity",$BW47=0.1,$BV47=0.2),$D47 &amp; ";","")</f>
        <v/>
      </c>
      <c r="DV47" s="58">
        <f>IF(AND($H47="opportunity",$BW47=0.1,$BV47=0.1),$D47 &amp; ";","")</f>
        <v/>
      </c>
      <c r="DW47" s="58">
        <f>IF(AND($H47="opportunity",$BW47=0.1,$BV47=0.05),$D47 &amp; ";","")</f>
        <v/>
      </c>
    </row>
    <row r="48">
      <c r="D48" s="60">
        <f>INDIRECT(ADDRESS(ROW()-22,COLUMN()-2,1,1,"Risk Register"))</f>
        <v/>
      </c>
      <c r="E48" s="143">
        <f>INDIRECT(ADDRESS(ROW()-22,COLUMN()-1,1,1,"Risk Register"))</f>
        <v/>
      </c>
      <c r="G48" s="56">
        <f>INDIRECT(ADDRESS(ROW()-22,COLUMN()+10,1,1,"Risk Register"))</f>
        <v/>
      </c>
      <c r="H48" s="60">
        <f>INDIRECT(ADDRESS(ROW()-22,COLUMN()+8,1,1,"Risk Register"))</f>
        <v/>
      </c>
      <c r="I48" s="54">
        <f>INDIRECT(ADDRESS(ROW()-22,COLUMN()+3,1,1,"Risk Register"))</f>
        <v/>
      </c>
      <c r="J48" s="143">
        <f>INDIRECT(ADDRESS(ROW()-22,COLUMN()+12,1,1,"Risk Register"))</f>
        <v/>
      </c>
      <c r="K48" s="143">
        <f>INDIRECT(ADDRESS(ROW()-22,COLUMN()-2,1,1,"Risk Register"))</f>
        <v/>
      </c>
      <c r="L48" s="176">
        <f>INDIRECT(ADDRESS(ROW()-22,COLUMN()+15,1,1,"Risk Register"))</f>
        <v/>
      </c>
      <c r="M48" s="54">
        <f>INDIRECT(ADDRESS(ROW()-22,COLUMN()+13,1,1,"Risk Register"))</f>
        <v/>
      </c>
      <c r="N48" s="143">
        <f>INDIRECT(ADDRESS(ROW()-22,COLUMN()-9,1,1,"Risk Register"))</f>
        <v/>
      </c>
      <c r="O48" s="143">
        <f>INDIRECT(ADDRESS(ROW()-22,COLUMN()-8,1,1,"Risk Register"))</f>
        <v/>
      </c>
      <c r="P48" s="56">
        <f>INDIRECT(ADDRESS(ROW()-22,COLUMN()+18,1,1,"Risk Register"))</f>
        <v/>
      </c>
      <c r="R48" s="57">
        <f>INDIRECT(ADDRESS(ROW()-22,COLUMN()-5,1,1,"Risk Register"))</f>
        <v/>
      </c>
      <c r="S48" s="58">
        <f>INDIRECT(ADDRESS(ROW()-22,COLUMN()-4,1,1,"Risk Register"))</f>
        <v/>
      </c>
      <c r="T48" s="59">
        <f>IF(AND($H48="threat",$G48&lt;=0.05),"gn",IF(AND($H48="threat",$G48&lt;=0.14),"y",IF(AND($H48="threat", $G48&gt;=0.15),"r",IF(AND($H48="opportunity",$G48&lt;=0.05),"gn",IF(AND($H48="opportunity",$G48&lt;=0.14),"lb",IF(AND($H48="opportunity",$G48&gt;=0.15),"db","z"))))))</f>
        <v/>
      </c>
      <c r="U48" s="58">
        <f>IF(AND($H48="threat",$S48=0.9,$R48=0.05),$D48 &amp; ";","")</f>
        <v/>
      </c>
      <c r="V48" s="58">
        <f>IF(AND($H48="threat",$S48=0.9,$R48=0.1),$D48 &amp; ";","")</f>
        <v/>
      </c>
      <c r="W48" s="58">
        <f>IF(AND($H48="threat",$S48=0.9,$R48=0.2),$D48 &amp; ";","")</f>
        <v/>
      </c>
      <c r="X48" s="58">
        <f>IF(AND($H48="threat",$S48=0.9,$R48=0.4),$D48 &amp; ";","")</f>
        <v/>
      </c>
      <c r="Y48" s="58">
        <f>IF(AND($H48="threat",$S48=0.9,$R48=0.8),$D48 &amp; ";","")</f>
        <v/>
      </c>
      <c r="Z48" s="58">
        <f>IF(AND($H48="threat",$S48=0.7,$R48=0.05),$D48 &amp; ";","")</f>
        <v/>
      </c>
      <c r="AA48" s="58">
        <f>IF(AND($H48="threat",$S48=0.7,$R48=0.1),$D48 &amp; ";","")</f>
        <v/>
      </c>
      <c r="AB48" s="58">
        <f>IF(AND($H48="threat",$S48=0.7,$R48=0.2),$D48 &amp; ";","")</f>
        <v/>
      </c>
      <c r="AC48" s="58">
        <f>IF(AND($H48="threat",$S48=0.7,$R48=0.4),$D48 &amp; ";","")</f>
        <v/>
      </c>
      <c r="AD48" s="58">
        <f>IF(AND($H48="threat",$S48=0.7,$R48=0.8),$D48 &amp; ";","")</f>
        <v/>
      </c>
      <c r="AE48" s="58">
        <f>IF(AND($H48="threat",$S48=0.5,$R48=0.05),$D48 &amp; ";","")</f>
        <v/>
      </c>
      <c r="AF48" s="58">
        <f>IF(AND($H48="threat",$S48=0.5,$R48=0.1),$D48 &amp; ";","")</f>
        <v/>
      </c>
      <c r="AG48" s="58">
        <f>IF(AND($H48="threat",$S48=0.5,$R48=0.2),$D48 &amp; ";","")</f>
        <v/>
      </c>
      <c r="AH48" s="58">
        <f>IF(AND($H48="threat",$S48=0.5,$R48=0.4),$D48 &amp; ";","")</f>
        <v/>
      </c>
      <c r="AI48" s="58">
        <f>IF(AND($H48="threat",$S48=0.5,$R48=0.8),$D48 &amp; ";","")</f>
        <v/>
      </c>
      <c r="AJ48" s="58">
        <f>IF(AND($H48="threat",$S48=0.3,$R48=0.05),$D48 &amp; ";","")</f>
        <v/>
      </c>
      <c r="AK48" s="58">
        <f>IF(AND($H48="threat",$S48=0.3,$R48=0.1),$D48 &amp; ";","")</f>
        <v/>
      </c>
      <c r="AL48" s="58">
        <f>IF(AND($H48="threat",$S48=0.3,$R48=0.2),$D48 &amp; ";","")</f>
        <v/>
      </c>
      <c r="AM48" s="58">
        <f>IF(AND($H48="threat",$S48=0.3,$R48=0.4),$D48 &amp; ";","")</f>
        <v/>
      </c>
      <c r="AN48" s="58">
        <f>IF(AND($H48="threat",$S48=0.3,$R48=0.8),$D48 &amp; ";","")</f>
        <v/>
      </c>
      <c r="AO48" s="58">
        <f>IF(AND($H48="threat",$S48=0.1,$R48=0.05),$D48 &amp; ";","")</f>
        <v/>
      </c>
      <c r="AP48" s="58">
        <f>IF(AND($H48="threat",$S48=0.1,$R48=0.1),$D48 &amp; ";","")</f>
        <v/>
      </c>
      <c r="AQ48" s="58">
        <f>IF(AND($H48="threat",$S48=0.1,$R48=0.2),$D48 &amp; ";","")</f>
        <v/>
      </c>
      <c r="AR48" s="58">
        <f>IF(AND($H48="threat",$S48=0.1,$R48=0.4),$D48 &amp; ";","")</f>
        <v/>
      </c>
      <c r="AS48" s="58">
        <f>IF(AND($H48="threat",$S48=0.1,$R48=0.8),$D48 &amp; ";","")</f>
        <v/>
      </c>
      <c r="AT48" s="39" t="n"/>
      <c r="AU48" s="58">
        <f>IF(AND($H48="opportunity",$S48=0.9,$R48=0.8),$D48 &amp; ";","")</f>
        <v/>
      </c>
      <c r="AV48" s="58">
        <f>IF(AND($H48="opportunity",$S48=0.9,$R48=0.4),$D48 &amp; ";","")</f>
        <v/>
      </c>
      <c r="AW48" s="58">
        <f>IF(AND($H48="opportunity",$S48=0.9,$R48=0.2),$D48 &amp; ";","")</f>
        <v/>
      </c>
      <c r="AX48" s="58">
        <f>IF(AND($H48="opportunity",$S48=0.9,$R48=0.1),$D48 &amp; ";","")</f>
        <v/>
      </c>
      <c r="AY48" s="58">
        <f>IF(AND($H48="opportunity",$S48=0.9,$R48=0.05),$D48 &amp; ";","")</f>
        <v/>
      </c>
      <c r="AZ48" s="58">
        <f>IF(AND($H48="opportunity",$S48=0.7,$R48=0.8),$D48 &amp; ";","")</f>
        <v/>
      </c>
      <c r="BA48" s="58">
        <f>IF(AND($H48="opportunity",$S48=0.7,$R48=0.4),$D48 &amp; ";","")</f>
        <v/>
      </c>
      <c r="BB48" s="58">
        <f>IF(AND($H48="opportunity",$S48=0.7,$R48=0.2),$D48 &amp; ";","")</f>
        <v/>
      </c>
      <c r="BC48" s="58">
        <f>IF(AND($H48="opportunity",$S48=0.7,$R48=0.1),$D48 &amp; ";","")</f>
        <v/>
      </c>
      <c r="BD48" s="58">
        <f>IF(AND($H48="opportunity",$S48=0.7,$R48=0.05),$D48 &amp; ";","")</f>
        <v/>
      </c>
      <c r="BE48" s="58">
        <f>IF(AND($H48="opportunity",$S48=0.5,$R48=0.8),$D48 &amp; ";","")</f>
        <v/>
      </c>
      <c r="BF48" s="58">
        <f>IF(AND($H48="opportunity",$S48=0.5,$R48=0.4),$D48 &amp; ";","")</f>
        <v/>
      </c>
      <c r="BG48" s="58">
        <f>IF(AND($H48="opportunity",$S48=0.5,$R48=0.2),$D48 &amp; ";","")</f>
        <v/>
      </c>
      <c r="BH48" s="58">
        <f>IF(AND($H48="opportunity",$S48=0.5,$R48=0.1),$D48 &amp; ";","")</f>
        <v/>
      </c>
      <c r="BI48" s="58">
        <f>IF(AND($H48="opportunity",$S48=0.5,$R48=0.05),$D48 &amp; ";","")</f>
        <v/>
      </c>
      <c r="BJ48" s="58">
        <f>IF(AND($H48="opportunity",$S48=0.3,$R48=0.8),$D48 &amp; ";","")</f>
        <v/>
      </c>
      <c r="BK48" s="58">
        <f>IF(AND($H48="opportunity",$S48=0.3,$R48=0.4),$D48 &amp; ";","")</f>
        <v/>
      </c>
      <c r="BL48" s="58">
        <f>IF(AND($H48="opportunity",$S48=0.3,$R48=0.2),$D48 &amp; ";","")</f>
        <v/>
      </c>
      <c r="BM48" s="58">
        <f>IF(AND($H48="opportunity",$S48=0.3,$R48=0.1),$D48 &amp; ";","")</f>
        <v/>
      </c>
      <c r="BN48" s="58">
        <f>IF(AND($H48="opportunity",$S48=0.3,$R48=0.05),$D48 &amp; ";","")</f>
        <v/>
      </c>
      <c r="BO48" s="58">
        <f>IF(AND($H48="opportunity",$S48=0.1,$R48=0.8),$D48 &amp; ";","")</f>
        <v/>
      </c>
      <c r="BP48" s="58">
        <f>IF(AND($H48="opportunity",$S48=0.1,$R48=0.4),$D48 &amp; ";","")</f>
        <v/>
      </c>
      <c r="BQ48" s="58">
        <f>IF(AND($H48="opportunity",$S48=0.1,$R48=0.2),$D48 &amp; ";","")</f>
        <v/>
      </c>
      <c r="BR48" s="58">
        <f>IF(AND($H48="opportunity",$S48=0.1,$R48=0.1),$D48 &amp; ";","")</f>
        <v/>
      </c>
      <c r="BS48" s="58">
        <f>IF(AND($H48="opportunity",$S48=0.1,$R48=0.05),$D48 &amp; ";","")</f>
        <v/>
      </c>
      <c r="BV48" s="57">
        <f>INDIRECT(ADDRESS(ROW()-22,COLUMN()-45,1,1,"Risk Register"))</f>
        <v/>
      </c>
      <c r="BW48" s="58">
        <f>INDIRECT(ADDRESS(ROW()-22,COLUMN()-44,1,1,"Risk Register"))</f>
        <v/>
      </c>
      <c r="BX48" s="59">
        <f>IF(AND($H48="threat",$P48&lt;=0.05),"gn",IF(AND($H48="threat",$P48&lt;=0.14),"y",IF(AND($H48="threat", $P48&gt;=0.15),"r",IF(AND($H48="opportunity",$P48&lt;=0.05),"gn",IF(AND($H48="opportunity",$P48&lt;=0.14),"lb",IF(AND($H48="opportunity",$P48&gt;=0.15),"db","z"))))))</f>
        <v/>
      </c>
      <c r="BY48" s="58">
        <f>IF(AND($H48="threat",$BW48=0.9,$BV48=0.05),$D48 &amp; ";","")</f>
        <v/>
      </c>
      <c r="BZ48" s="58">
        <f>IF(AND($H48="threat",$BW48=0.9,$BV48=0.1),$D48 &amp; ";","")</f>
        <v/>
      </c>
      <c r="CA48" s="58">
        <f>IF(AND($H48="threat",$BW48=0.9,$BV48=0.2),$D48 &amp; ";","")</f>
        <v/>
      </c>
      <c r="CB48" s="58">
        <f>IF(AND($H48="threat",$BW48=0.9,$BV48=0.4),$D48 &amp; ";","")</f>
        <v/>
      </c>
      <c r="CC48" s="58">
        <f>IF(AND($H48="threat",$BW48=0.9,$BV48=0.8),$D48 &amp; ";","")</f>
        <v/>
      </c>
      <c r="CD48" s="58">
        <f>IF(AND($H48="threat",$BW48=0.7,$BV48=0.05),$D48 &amp; ";","")</f>
        <v/>
      </c>
      <c r="CE48" s="58">
        <f>IF(AND($H48="threat",$BW48=0.7,$BV48=0.1),$D48 &amp; ";","")</f>
        <v/>
      </c>
      <c r="CF48" s="58">
        <f>IF(AND($H48="threat",$BW48=0.7,$BV48=0.2),$D48 &amp; ";","")</f>
        <v/>
      </c>
      <c r="CG48" s="58">
        <f>IF(AND($H48="threat",$BW48=0.7,$BV48=0.4),$D48 &amp; ";","")</f>
        <v/>
      </c>
      <c r="CH48" s="58">
        <f>IF(AND($H48="threat",$BW48=0.7,$BV48=0.8),$D48 &amp; ";","")</f>
        <v/>
      </c>
      <c r="CI48" s="58">
        <f>IF(AND($H48="threat",$BW48=0.5,$BV48=0.05),$D48 &amp; ";","")</f>
        <v/>
      </c>
      <c r="CJ48" s="58">
        <f>IF(AND($H48="threat",$BW48=0.5,$BV48=0.1),$D48 &amp; ";","")</f>
        <v/>
      </c>
      <c r="CK48" s="58">
        <f>IF(AND($H48="threat",$BW48=0.5,$BV48=0.2),$D48 &amp; ";","")</f>
        <v/>
      </c>
      <c r="CL48" s="58">
        <f>IF(AND($H48="threat",$BW48=0.5,$BV48=0.4),$D48 &amp; ";","")</f>
        <v/>
      </c>
      <c r="CM48" s="58">
        <f>IF(AND($H48="threat",$BW48=0.5,$BV48=0.8),$D48 &amp; ";","")</f>
        <v/>
      </c>
      <c r="CN48" s="58">
        <f>IF(AND($H48="threat",$BW48=0.3,$BV48=0.05),$D48 &amp; ";","")</f>
        <v/>
      </c>
      <c r="CO48" s="58">
        <f>IF(AND($H48="threat",$BW48=0.3,$BV48=0.1),$D48 &amp; ";","")</f>
        <v/>
      </c>
      <c r="CP48" s="58">
        <f>IF(AND($H48="threat",$BW48=0.3,$BV48=0.2),$D48 &amp; ";","")</f>
        <v/>
      </c>
      <c r="CQ48" s="58">
        <f>IF(AND($H48="threat",$BW48=0.3,$BV48=0.4),$D48 &amp; ";","")</f>
        <v/>
      </c>
      <c r="CR48" s="58">
        <f>IF(AND($H48="threat",$BW48=0.3,$BV48=0.8),$D48 &amp; ";","")</f>
        <v/>
      </c>
      <c r="CS48" s="58">
        <f>IF(AND($H48="threat",$BW48=0.1,$BV48=0.05),$D48 &amp; ";","")</f>
        <v/>
      </c>
      <c r="CT48" s="58">
        <f>IF(AND($H48="threat",$BW48=0.1,$BV48=0.1),$D48 &amp; ";","")</f>
        <v/>
      </c>
      <c r="CU48" s="58">
        <f>IF(AND($H48="threat",$BW48=0.1,$BV48=0.2),$D48 &amp; ";","")</f>
        <v/>
      </c>
      <c r="CV48" s="58">
        <f>IF(AND($H48="threat",$BW48=0.1,$BV48=0.4),$D48 &amp; ";","")</f>
        <v/>
      </c>
      <c r="CW48" s="58">
        <f>IF(AND($H48="threat",$BW48=0.1,$BV48=0.8),$D48 &amp; ";","")</f>
        <v/>
      </c>
      <c r="CX48" s="39" t="n"/>
      <c r="CY48" s="58">
        <f>IF(AND($H48="opportunity",$BW48=0.9,$BV48=0.8),$D48 &amp; ";","")</f>
        <v/>
      </c>
      <c r="CZ48" s="58">
        <f>IF(AND($H48="opportunity",$BW48=0.9,$BV48=0.4),$D48 &amp; ";","")</f>
        <v/>
      </c>
      <c r="DA48" s="58">
        <f>IF(AND($H48="opportunity",$BW48=0.9,$BV48=0.2),$D48 &amp; ";","")</f>
        <v/>
      </c>
      <c r="DB48" s="58">
        <f>IF(AND($H48="opportunity",$BW48=0.9,$BV48=0.1),$D48 &amp; ";","")</f>
        <v/>
      </c>
      <c r="DC48" s="58">
        <f>IF(AND($H48="opportunity",$BW48=0.9,$BV48=0.05),$D48 &amp; ";","")</f>
        <v/>
      </c>
      <c r="DD48" s="58">
        <f>IF(AND($H48="opportunity",$BW48=0.7,$BV48=0.8),$D48 &amp; ";","")</f>
        <v/>
      </c>
      <c r="DE48" s="58">
        <f>IF(AND($H48="opportunity",$BW48=0.7,$BV48=0.4),$D48 &amp; ";","")</f>
        <v/>
      </c>
      <c r="DF48" s="58">
        <f>IF(AND($H48="opportunity",$BW48=0.7,$BV48=0.2),$D48 &amp; ";","")</f>
        <v/>
      </c>
      <c r="DG48" s="58">
        <f>IF(AND($H48="opportunity",$BW48=0.7,$BV48=0.1),$D48 &amp; ";","")</f>
        <v/>
      </c>
      <c r="DH48" s="58">
        <f>IF(AND($H48="opportunity",$BW48=0.7,$BV48=0.05),$D48 &amp; ";","")</f>
        <v/>
      </c>
      <c r="DI48" s="58">
        <f>IF(AND($H48="opportunity",$BW48=0.5,$BV48=0.8),$D48 &amp; ";","")</f>
        <v/>
      </c>
      <c r="DJ48" s="58">
        <f>IF(AND($H48="opportunity",$BW48=0.5,$BV48=0.4),$D48 &amp; ";","")</f>
        <v/>
      </c>
      <c r="DK48" s="58">
        <f>IF(AND($H48="opportunity",$BW48=0.5,$BV48=0.2),$D48 &amp; ";","")</f>
        <v/>
      </c>
      <c r="DL48" s="58">
        <f>IF(AND($H48="opportunity",$BW48=0.5,$BV48=0.1),$D48 &amp; ";","")</f>
        <v/>
      </c>
      <c r="DM48" s="58">
        <f>IF(AND($H48="opportunity",$BW48=0.5,$BV48=0.05),$D48 &amp; ";","")</f>
        <v/>
      </c>
      <c r="DN48" s="58">
        <f>IF(AND($H48="opportunity",$BW48=0.3,$BV48=0.8),$D48 &amp; ";","")</f>
        <v/>
      </c>
      <c r="DO48" s="58">
        <f>IF(AND($H48="opportunity",$BW48=0.3,$BV48=0.4),$D48 &amp; ";","")</f>
        <v/>
      </c>
      <c r="DP48" s="58">
        <f>IF(AND($H48="opportunity",$BW48=0.3,$BV48=0.2),$D48 &amp; ";","")</f>
        <v/>
      </c>
      <c r="DQ48" s="58">
        <f>IF(AND($H48="opportunity",$BW48=0.3,$BV48=0.1),$D48 &amp; ";","")</f>
        <v/>
      </c>
      <c r="DR48" s="58">
        <f>IF(AND($H48="opportunity",$BW48=0.3,$BV48=0.05),$D48 &amp; ";","")</f>
        <v/>
      </c>
      <c r="DS48" s="58">
        <f>IF(AND($H48="opportunity",$BW48=0.1,$BV48=0.8),$D48 &amp; ";","")</f>
        <v/>
      </c>
      <c r="DT48" s="58">
        <f>IF(AND($H48="opportunity",$BW48=0.1,$BV48=0.4),$D48 &amp; ";","")</f>
        <v/>
      </c>
      <c r="DU48" s="58">
        <f>IF(AND($H48="opportunity",$BW48=0.1,$BV48=0.2),$D48 &amp; ";","")</f>
        <v/>
      </c>
      <c r="DV48" s="58">
        <f>IF(AND($H48="opportunity",$BW48=0.1,$BV48=0.1),$D48 &amp; ";","")</f>
        <v/>
      </c>
      <c r="DW48" s="58">
        <f>IF(AND($H48="opportunity",$BW48=0.1,$BV48=0.05),$D48 &amp; ";","")</f>
        <v/>
      </c>
    </row>
    <row r="49">
      <c r="D49" s="60">
        <f>INDIRECT(ADDRESS(ROW()-22,COLUMN()-2,1,1,"Risk Register"))</f>
        <v/>
      </c>
      <c r="E49" s="143">
        <f>INDIRECT(ADDRESS(ROW()-22,COLUMN()-1,1,1,"Risk Register"))</f>
        <v/>
      </c>
      <c r="G49" s="56">
        <f>INDIRECT(ADDRESS(ROW()-22,COLUMN()+10,1,1,"Risk Register"))</f>
        <v/>
      </c>
      <c r="H49" s="60">
        <f>INDIRECT(ADDRESS(ROW()-22,COLUMN()+8,1,1,"Risk Register"))</f>
        <v/>
      </c>
      <c r="I49" s="54">
        <f>INDIRECT(ADDRESS(ROW()-22,COLUMN()+3,1,1,"Risk Register"))</f>
        <v/>
      </c>
      <c r="J49" s="143">
        <f>INDIRECT(ADDRESS(ROW()-22,COLUMN()+12,1,1,"Risk Register"))</f>
        <v/>
      </c>
      <c r="K49" s="143">
        <f>INDIRECT(ADDRESS(ROW()-22,COLUMN()-2,1,1,"Risk Register"))</f>
        <v/>
      </c>
      <c r="L49" s="176">
        <f>INDIRECT(ADDRESS(ROW()-22,COLUMN()+15,1,1,"Risk Register"))</f>
        <v/>
      </c>
      <c r="M49" s="54">
        <f>INDIRECT(ADDRESS(ROW()-22,COLUMN()+13,1,1,"Risk Register"))</f>
        <v/>
      </c>
      <c r="N49" s="143">
        <f>INDIRECT(ADDRESS(ROW()-22,COLUMN()-9,1,1,"Risk Register"))</f>
        <v/>
      </c>
      <c r="O49" s="143">
        <f>INDIRECT(ADDRESS(ROW()-22,COLUMN()-8,1,1,"Risk Register"))</f>
        <v/>
      </c>
      <c r="P49" s="56">
        <f>INDIRECT(ADDRESS(ROW()-22,COLUMN()+18,1,1,"Risk Register"))</f>
        <v/>
      </c>
      <c r="R49" s="57">
        <f>INDIRECT(ADDRESS(ROW()-22,COLUMN()-5,1,1,"Risk Register"))</f>
        <v/>
      </c>
      <c r="S49" s="58">
        <f>INDIRECT(ADDRESS(ROW()-22,COLUMN()-4,1,1,"Risk Register"))</f>
        <v/>
      </c>
      <c r="T49" s="59">
        <f>IF(AND($H49="threat",$G49&lt;=0.05),"gn",IF(AND($H49="threat",$G49&lt;=0.14),"y",IF(AND($H49="threat", $G49&gt;=0.15),"r",IF(AND($H49="opportunity",$G49&lt;=0.05),"gn",IF(AND($H49="opportunity",$G49&lt;=0.14),"lb",IF(AND($H49="opportunity",$G49&gt;=0.15),"db","z"))))))</f>
        <v/>
      </c>
      <c r="U49" s="58">
        <f>IF(AND($H49="threat",$S49=0.9,$R49=0.05),$D49 &amp; ";","")</f>
        <v/>
      </c>
      <c r="V49" s="58">
        <f>IF(AND($H49="threat",$S49=0.9,$R49=0.1),$D49 &amp; ";","")</f>
        <v/>
      </c>
      <c r="W49" s="58">
        <f>IF(AND($H49="threat",$S49=0.9,$R49=0.2),$D49 &amp; ";","")</f>
        <v/>
      </c>
      <c r="X49" s="58">
        <f>IF(AND($H49="threat",$S49=0.9,$R49=0.4),$D49 &amp; ";","")</f>
        <v/>
      </c>
      <c r="Y49" s="58">
        <f>IF(AND($H49="threat",$S49=0.9,$R49=0.8),$D49 &amp; ";","")</f>
        <v/>
      </c>
      <c r="Z49" s="58">
        <f>IF(AND($H49="threat",$S49=0.7,$R49=0.05),$D49 &amp; ";","")</f>
        <v/>
      </c>
      <c r="AA49" s="58">
        <f>IF(AND($H49="threat",$S49=0.7,$R49=0.1),$D49 &amp; ";","")</f>
        <v/>
      </c>
      <c r="AB49" s="58">
        <f>IF(AND($H49="threat",$S49=0.7,$R49=0.2),$D49 &amp; ";","")</f>
        <v/>
      </c>
      <c r="AC49" s="58">
        <f>IF(AND($H49="threat",$S49=0.7,$R49=0.4),$D49 &amp; ";","")</f>
        <v/>
      </c>
      <c r="AD49" s="58">
        <f>IF(AND($H49="threat",$S49=0.7,$R49=0.8),$D49 &amp; ";","")</f>
        <v/>
      </c>
      <c r="AE49" s="58">
        <f>IF(AND($H49="threat",$S49=0.5,$R49=0.05),$D49 &amp; ";","")</f>
        <v/>
      </c>
      <c r="AF49" s="58">
        <f>IF(AND($H49="threat",$S49=0.5,$R49=0.1),$D49 &amp; ";","")</f>
        <v/>
      </c>
      <c r="AG49" s="58">
        <f>IF(AND($H49="threat",$S49=0.5,$R49=0.2),$D49 &amp; ";","")</f>
        <v/>
      </c>
      <c r="AH49" s="58">
        <f>IF(AND($H49="threat",$S49=0.5,$R49=0.4),$D49 &amp; ";","")</f>
        <v/>
      </c>
      <c r="AI49" s="58">
        <f>IF(AND($H49="threat",$S49=0.5,$R49=0.8),$D49 &amp; ";","")</f>
        <v/>
      </c>
      <c r="AJ49" s="58">
        <f>IF(AND($H49="threat",$S49=0.3,$R49=0.05),$D49 &amp; ";","")</f>
        <v/>
      </c>
      <c r="AK49" s="58">
        <f>IF(AND($H49="threat",$S49=0.3,$R49=0.1),$D49 &amp; ";","")</f>
        <v/>
      </c>
      <c r="AL49" s="58">
        <f>IF(AND($H49="threat",$S49=0.3,$R49=0.2),$D49 &amp; ";","")</f>
        <v/>
      </c>
      <c r="AM49" s="58">
        <f>IF(AND($H49="threat",$S49=0.3,$R49=0.4),$D49 &amp; ";","")</f>
        <v/>
      </c>
      <c r="AN49" s="58">
        <f>IF(AND($H49="threat",$S49=0.3,$R49=0.8),$D49 &amp; ";","")</f>
        <v/>
      </c>
      <c r="AO49" s="58">
        <f>IF(AND($H49="threat",$S49=0.1,$R49=0.05),$D49 &amp; ";","")</f>
        <v/>
      </c>
      <c r="AP49" s="58">
        <f>IF(AND($H49="threat",$S49=0.1,$R49=0.1),$D49 &amp; ";","")</f>
        <v/>
      </c>
      <c r="AQ49" s="58">
        <f>IF(AND($H49="threat",$S49=0.1,$R49=0.2),$D49 &amp; ";","")</f>
        <v/>
      </c>
      <c r="AR49" s="58">
        <f>IF(AND($H49="threat",$S49=0.1,$R49=0.4),$D49 &amp; ";","")</f>
        <v/>
      </c>
      <c r="AS49" s="58">
        <f>IF(AND($H49="threat",$S49=0.1,$R49=0.8),$D49 &amp; ";","")</f>
        <v/>
      </c>
      <c r="AT49" s="39" t="n"/>
      <c r="AU49" s="58">
        <f>IF(AND($H49="opportunity",$S49=0.9,$R49=0.8),$D49 &amp; ";","")</f>
        <v/>
      </c>
      <c r="AV49" s="58">
        <f>IF(AND($H49="opportunity",$S49=0.9,$R49=0.4),$D49 &amp; ";","")</f>
        <v/>
      </c>
      <c r="AW49" s="58">
        <f>IF(AND($H49="opportunity",$S49=0.9,$R49=0.2),$D49 &amp; ";","")</f>
        <v/>
      </c>
      <c r="AX49" s="58">
        <f>IF(AND($H49="opportunity",$S49=0.9,$R49=0.1),$D49 &amp; ";","")</f>
        <v/>
      </c>
      <c r="AY49" s="58">
        <f>IF(AND($H49="opportunity",$S49=0.9,$R49=0.05),$D49 &amp; ";","")</f>
        <v/>
      </c>
      <c r="AZ49" s="58">
        <f>IF(AND($H49="opportunity",$S49=0.7,$R49=0.8),$D49 &amp; ";","")</f>
        <v/>
      </c>
      <c r="BA49" s="58">
        <f>IF(AND($H49="opportunity",$S49=0.7,$R49=0.4),$D49 &amp; ";","")</f>
        <v/>
      </c>
      <c r="BB49" s="58">
        <f>IF(AND($H49="opportunity",$S49=0.7,$R49=0.2),$D49 &amp; ";","")</f>
        <v/>
      </c>
      <c r="BC49" s="58">
        <f>IF(AND($H49="opportunity",$S49=0.7,$R49=0.1),$D49 &amp; ";","")</f>
        <v/>
      </c>
      <c r="BD49" s="58">
        <f>IF(AND($H49="opportunity",$S49=0.7,$R49=0.05),$D49 &amp; ";","")</f>
        <v/>
      </c>
      <c r="BE49" s="58">
        <f>IF(AND($H49="opportunity",$S49=0.5,$R49=0.8),$D49 &amp; ";","")</f>
        <v/>
      </c>
      <c r="BF49" s="58">
        <f>IF(AND($H49="opportunity",$S49=0.5,$R49=0.4),$D49 &amp; ";","")</f>
        <v/>
      </c>
      <c r="BG49" s="58">
        <f>IF(AND($H49="opportunity",$S49=0.5,$R49=0.2),$D49 &amp; ";","")</f>
        <v/>
      </c>
      <c r="BH49" s="58">
        <f>IF(AND($H49="opportunity",$S49=0.5,$R49=0.1),$D49 &amp; ";","")</f>
        <v/>
      </c>
      <c r="BI49" s="58">
        <f>IF(AND($H49="opportunity",$S49=0.5,$R49=0.05),$D49 &amp; ";","")</f>
        <v/>
      </c>
      <c r="BJ49" s="58">
        <f>IF(AND($H49="opportunity",$S49=0.3,$R49=0.8),$D49 &amp; ";","")</f>
        <v/>
      </c>
      <c r="BK49" s="58">
        <f>IF(AND($H49="opportunity",$S49=0.3,$R49=0.4),$D49 &amp; ";","")</f>
        <v/>
      </c>
      <c r="BL49" s="58">
        <f>IF(AND($H49="opportunity",$S49=0.3,$R49=0.2),$D49 &amp; ";","")</f>
        <v/>
      </c>
      <c r="BM49" s="58">
        <f>IF(AND($H49="opportunity",$S49=0.3,$R49=0.1),$D49 &amp; ";","")</f>
        <v/>
      </c>
      <c r="BN49" s="58">
        <f>IF(AND($H49="opportunity",$S49=0.3,$R49=0.05),$D49 &amp; ";","")</f>
        <v/>
      </c>
      <c r="BO49" s="58">
        <f>IF(AND($H49="opportunity",$S49=0.1,$R49=0.8),$D49 &amp; ";","")</f>
        <v/>
      </c>
      <c r="BP49" s="58">
        <f>IF(AND($H49="opportunity",$S49=0.1,$R49=0.4),$D49 &amp; ";","")</f>
        <v/>
      </c>
      <c r="BQ49" s="58">
        <f>IF(AND($H49="opportunity",$S49=0.1,$R49=0.2),$D49 &amp; ";","")</f>
        <v/>
      </c>
      <c r="BR49" s="58">
        <f>IF(AND($H49="opportunity",$S49=0.1,$R49=0.1),$D49 &amp; ";","")</f>
        <v/>
      </c>
      <c r="BS49" s="58">
        <f>IF(AND($H49="opportunity",$S49=0.1,$R49=0.05),$D49 &amp; ";","")</f>
        <v/>
      </c>
      <c r="BV49" s="57">
        <f>INDIRECT(ADDRESS(ROW()-22,COLUMN()-45,1,1,"Risk Register"))</f>
        <v/>
      </c>
      <c r="BW49" s="58">
        <f>INDIRECT(ADDRESS(ROW()-22,COLUMN()-44,1,1,"Risk Register"))</f>
        <v/>
      </c>
      <c r="BX49" s="59">
        <f>IF(AND($H49="threat",$P49&lt;=0.05),"gn",IF(AND($H49="threat",$P49&lt;=0.14),"y",IF(AND($H49="threat", $P49&gt;=0.15),"r",IF(AND($H49="opportunity",$P49&lt;=0.05),"gn",IF(AND($H49="opportunity",$P49&lt;=0.14),"lb",IF(AND($H49="opportunity",$P49&gt;=0.15),"db","z"))))))</f>
        <v/>
      </c>
      <c r="BY49" s="58">
        <f>IF(AND($H49="threat",$BW49=0.9,$BV49=0.05),$D49 &amp; ";","")</f>
        <v/>
      </c>
      <c r="BZ49" s="58">
        <f>IF(AND($H49="threat",$BW49=0.9,$BV49=0.1),$D49 &amp; ";","")</f>
        <v/>
      </c>
      <c r="CA49" s="58">
        <f>IF(AND($H49="threat",$BW49=0.9,$BV49=0.2),$D49 &amp; ";","")</f>
        <v/>
      </c>
      <c r="CB49" s="58">
        <f>IF(AND($H49="threat",$BW49=0.9,$BV49=0.4),$D49 &amp; ";","")</f>
        <v/>
      </c>
      <c r="CC49" s="58">
        <f>IF(AND($H49="threat",$BW49=0.9,$BV49=0.8),$D49 &amp; ";","")</f>
        <v/>
      </c>
      <c r="CD49" s="58">
        <f>IF(AND($H49="threat",$BW49=0.7,$BV49=0.05),$D49 &amp; ";","")</f>
        <v/>
      </c>
      <c r="CE49" s="58">
        <f>IF(AND($H49="threat",$BW49=0.7,$BV49=0.1),$D49 &amp; ";","")</f>
        <v/>
      </c>
      <c r="CF49" s="58">
        <f>IF(AND($H49="threat",$BW49=0.7,$BV49=0.2),$D49 &amp; ";","")</f>
        <v/>
      </c>
      <c r="CG49" s="58">
        <f>IF(AND($H49="threat",$BW49=0.7,$BV49=0.4),$D49 &amp; ";","")</f>
        <v/>
      </c>
      <c r="CH49" s="58">
        <f>IF(AND($H49="threat",$BW49=0.7,$BV49=0.8),$D49 &amp; ";","")</f>
        <v/>
      </c>
      <c r="CI49" s="58">
        <f>IF(AND($H49="threat",$BW49=0.5,$BV49=0.05),$D49 &amp; ";","")</f>
        <v/>
      </c>
      <c r="CJ49" s="58">
        <f>IF(AND($H49="threat",$BW49=0.5,$BV49=0.1),$D49 &amp; ";","")</f>
        <v/>
      </c>
      <c r="CK49" s="58">
        <f>IF(AND($H49="threat",$BW49=0.5,$BV49=0.2),$D49 &amp; ";","")</f>
        <v/>
      </c>
      <c r="CL49" s="58">
        <f>IF(AND($H49="threat",$BW49=0.5,$BV49=0.4),$D49 &amp; ";","")</f>
        <v/>
      </c>
      <c r="CM49" s="58">
        <f>IF(AND($H49="threat",$BW49=0.5,$BV49=0.8),$D49 &amp; ";","")</f>
        <v/>
      </c>
      <c r="CN49" s="58">
        <f>IF(AND($H49="threat",$BW49=0.3,$BV49=0.05),$D49 &amp; ";","")</f>
        <v/>
      </c>
      <c r="CO49" s="58">
        <f>IF(AND($H49="threat",$BW49=0.3,$BV49=0.1),$D49 &amp; ";","")</f>
        <v/>
      </c>
      <c r="CP49" s="58">
        <f>IF(AND($H49="threat",$BW49=0.3,$BV49=0.2),$D49 &amp; ";","")</f>
        <v/>
      </c>
      <c r="CQ49" s="58">
        <f>IF(AND($H49="threat",$BW49=0.3,$BV49=0.4),$D49 &amp; ";","")</f>
        <v/>
      </c>
      <c r="CR49" s="58">
        <f>IF(AND($H49="threat",$BW49=0.3,$BV49=0.8),$D49 &amp; ";","")</f>
        <v/>
      </c>
      <c r="CS49" s="58">
        <f>IF(AND($H49="threat",$BW49=0.1,$BV49=0.05),$D49 &amp; ";","")</f>
        <v/>
      </c>
      <c r="CT49" s="58">
        <f>IF(AND($H49="threat",$BW49=0.1,$BV49=0.1),$D49 &amp; ";","")</f>
        <v/>
      </c>
      <c r="CU49" s="58">
        <f>IF(AND($H49="threat",$BW49=0.1,$BV49=0.2),$D49 &amp; ";","")</f>
        <v/>
      </c>
      <c r="CV49" s="58">
        <f>IF(AND($H49="threat",$BW49=0.1,$BV49=0.4),$D49 &amp; ";","")</f>
        <v/>
      </c>
      <c r="CW49" s="58">
        <f>IF(AND($H49="threat",$BW49=0.1,$BV49=0.8),$D49 &amp; ";","")</f>
        <v/>
      </c>
      <c r="CX49" s="39" t="n"/>
      <c r="CY49" s="58">
        <f>IF(AND($H49="opportunity",$BW49=0.9,$BV49=0.8),$D49 &amp; ";","")</f>
        <v/>
      </c>
      <c r="CZ49" s="58">
        <f>IF(AND($H49="opportunity",$BW49=0.9,$BV49=0.4),$D49 &amp; ";","")</f>
        <v/>
      </c>
      <c r="DA49" s="58">
        <f>IF(AND($H49="opportunity",$BW49=0.9,$BV49=0.2),$D49 &amp; ";","")</f>
        <v/>
      </c>
      <c r="DB49" s="58">
        <f>IF(AND($H49="opportunity",$BW49=0.9,$BV49=0.1),$D49 &amp; ";","")</f>
        <v/>
      </c>
      <c r="DC49" s="58">
        <f>IF(AND($H49="opportunity",$BW49=0.9,$BV49=0.05),$D49 &amp; ";","")</f>
        <v/>
      </c>
      <c r="DD49" s="58">
        <f>IF(AND($H49="opportunity",$BW49=0.7,$BV49=0.8),$D49 &amp; ";","")</f>
        <v/>
      </c>
      <c r="DE49" s="58">
        <f>IF(AND($H49="opportunity",$BW49=0.7,$BV49=0.4),$D49 &amp; ";","")</f>
        <v/>
      </c>
      <c r="DF49" s="58">
        <f>IF(AND($H49="opportunity",$BW49=0.7,$BV49=0.2),$D49 &amp; ";","")</f>
        <v/>
      </c>
      <c r="DG49" s="58">
        <f>IF(AND($H49="opportunity",$BW49=0.7,$BV49=0.1),$D49 &amp; ";","")</f>
        <v/>
      </c>
      <c r="DH49" s="58">
        <f>IF(AND($H49="opportunity",$BW49=0.7,$BV49=0.05),$D49 &amp; ";","")</f>
        <v/>
      </c>
      <c r="DI49" s="58">
        <f>IF(AND($H49="opportunity",$BW49=0.5,$BV49=0.8),$D49 &amp; ";","")</f>
        <v/>
      </c>
      <c r="DJ49" s="58">
        <f>IF(AND($H49="opportunity",$BW49=0.5,$BV49=0.4),$D49 &amp; ";","")</f>
        <v/>
      </c>
      <c r="DK49" s="58">
        <f>IF(AND($H49="opportunity",$BW49=0.5,$BV49=0.2),$D49 &amp; ";","")</f>
        <v/>
      </c>
      <c r="DL49" s="58">
        <f>IF(AND($H49="opportunity",$BW49=0.5,$BV49=0.1),$D49 &amp; ";","")</f>
        <v/>
      </c>
      <c r="DM49" s="58">
        <f>IF(AND($H49="opportunity",$BW49=0.5,$BV49=0.05),$D49 &amp; ";","")</f>
        <v/>
      </c>
      <c r="DN49" s="58">
        <f>IF(AND($H49="opportunity",$BW49=0.3,$BV49=0.8),$D49 &amp; ";","")</f>
        <v/>
      </c>
      <c r="DO49" s="58">
        <f>IF(AND($H49="opportunity",$BW49=0.3,$BV49=0.4),$D49 &amp; ";","")</f>
        <v/>
      </c>
      <c r="DP49" s="58">
        <f>IF(AND($H49="opportunity",$BW49=0.3,$BV49=0.2),$D49 &amp; ";","")</f>
        <v/>
      </c>
      <c r="DQ49" s="58">
        <f>IF(AND($H49="opportunity",$BW49=0.3,$BV49=0.1),$D49 &amp; ";","")</f>
        <v/>
      </c>
      <c r="DR49" s="58">
        <f>IF(AND($H49="opportunity",$BW49=0.3,$BV49=0.05),$D49 &amp; ";","")</f>
        <v/>
      </c>
      <c r="DS49" s="58">
        <f>IF(AND($H49="opportunity",$BW49=0.1,$BV49=0.8),$D49 &amp; ";","")</f>
        <v/>
      </c>
      <c r="DT49" s="58">
        <f>IF(AND($H49="opportunity",$BW49=0.1,$BV49=0.4),$D49 &amp; ";","")</f>
        <v/>
      </c>
      <c r="DU49" s="58">
        <f>IF(AND($H49="opportunity",$BW49=0.1,$BV49=0.2),$D49 &amp; ";","")</f>
        <v/>
      </c>
      <c r="DV49" s="58">
        <f>IF(AND($H49="opportunity",$BW49=0.1,$BV49=0.1),$D49 &amp; ";","")</f>
        <v/>
      </c>
      <c r="DW49" s="58">
        <f>IF(AND($H49="opportunity",$BW49=0.1,$BV49=0.05),$D49 &amp; ";","")</f>
        <v/>
      </c>
    </row>
    <row r="50">
      <c r="D50" s="60">
        <f>INDIRECT(ADDRESS(ROW()-22,COLUMN()-2,1,1,"Risk Register"))</f>
        <v/>
      </c>
      <c r="E50" s="143">
        <f>INDIRECT(ADDRESS(ROW()-22,COLUMN()-1,1,1,"Risk Register"))</f>
        <v/>
      </c>
      <c r="G50" s="56">
        <f>INDIRECT(ADDRESS(ROW()-22,COLUMN()+10,1,1,"Risk Register"))</f>
        <v/>
      </c>
      <c r="H50" s="60">
        <f>INDIRECT(ADDRESS(ROW()-22,COLUMN()+8,1,1,"Risk Register"))</f>
        <v/>
      </c>
      <c r="I50" s="54">
        <f>INDIRECT(ADDRESS(ROW()-22,COLUMN()+3,1,1,"Risk Register"))</f>
        <v/>
      </c>
      <c r="J50" s="143">
        <f>INDIRECT(ADDRESS(ROW()-22,COLUMN()+12,1,1,"Risk Register"))</f>
        <v/>
      </c>
      <c r="K50" s="143">
        <f>INDIRECT(ADDRESS(ROW()-22,COLUMN()-2,1,1,"Risk Register"))</f>
        <v/>
      </c>
      <c r="L50" s="176">
        <f>INDIRECT(ADDRESS(ROW()-22,COLUMN()+15,1,1,"Risk Register"))</f>
        <v/>
      </c>
      <c r="M50" s="54">
        <f>INDIRECT(ADDRESS(ROW()-22,COLUMN()+13,1,1,"Risk Register"))</f>
        <v/>
      </c>
      <c r="N50" s="143">
        <f>INDIRECT(ADDRESS(ROW()-22,COLUMN()-9,1,1,"Risk Register"))</f>
        <v/>
      </c>
      <c r="O50" s="143">
        <f>INDIRECT(ADDRESS(ROW()-22,COLUMN()-8,1,1,"Risk Register"))</f>
        <v/>
      </c>
      <c r="P50" s="56">
        <f>INDIRECT(ADDRESS(ROW()-22,COLUMN()+18,1,1,"Risk Register"))</f>
        <v/>
      </c>
      <c r="R50" s="57">
        <f>INDIRECT(ADDRESS(ROW()-22,COLUMN()-5,1,1,"Risk Register"))</f>
        <v/>
      </c>
      <c r="S50" s="58">
        <f>INDIRECT(ADDRESS(ROW()-22,COLUMN()-4,1,1,"Risk Register"))</f>
        <v/>
      </c>
      <c r="T50" s="59">
        <f>IF(AND($H50="threat",$G50&lt;=0.05),"gn",IF(AND($H50="threat",$G50&lt;=0.14),"y",IF(AND($H50="threat", $G50&gt;=0.15),"r",IF(AND($H50="opportunity",$G50&lt;=0.05),"gn",IF(AND($H50="opportunity",$G50&lt;=0.14),"lb",IF(AND($H50="opportunity",$G50&gt;=0.15),"db","z"))))))</f>
        <v/>
      </c>
      <c r="U50" s="58">
        <f>IF(AND($H50="threat",$S50=0.9,$R50=0.05),$D50 &amp; ";","")</f>
        <v/>
      </c>
      <c r="V50" s="58">
        <f>IF(AND($H50="threat",$S50=0.9,$R50=0.1),$D50 &amp; ";","")</f>
        <v/>
      </c>
      <c r="W50" s="58">
        <f>IF(AND($H50="threat",$S50=0.9,$R50=0.2),$D50 &amp; ";","")</f>
        <v/>
      </c>
      <c r="X50" s="58">
        <f>IF(AND($H50="threat",$S50=0.9,$R50=0.4),$D50 &amp; ";","")</f>
        <v/>
      </c>
      <c r="Y50" s="58">
        <f>IF(AND($H50="threat",$S50=0.9,$R50=0.8),$D50 &amp; ";","")</f>
        <v/>
      </c>
      <c r="Z50" s="58">
        <f>IF(AND($H50="threat",$S50=0.7,$R50=0.05),$D50 &amp; ";","")</f>
        <v/>
      </c>
      <c r="AA50" s="58">
        <f>IF(AND($H50="threat",$S50=0.7,$R50=0.1),$D50 &amp; ";","")</f>
        <v/>
      </c>
      <c r="AB50" s="58">
        <f>IF(AND($H50="threat",$S50=0.7,$R50=0.2),$D50 &amp; ";","")</f>
        <v/>
      </c>
      <c r="AC50" s="58">
        <f>IF(AND($H50="threat",$S50=0.7,$R50=0.4),$D50 &amp; ";","")</f>
        <v/>
      </c>
      <c r="AD50" s="58">
        <f>IF(AND($H50="threat",$S50=0.7,$R50=0.8),$D50 &amp; ";","")</f>
        <v/>
      </c>
      <c r="AE50" s="58">
        <f>IF(AND($H50="threat",$S50=0.5,$R50=0.05),$D50 &amp; ";","")</f>
        <v/>
      </c>
      <c r="AF50" s="58">
        <f>IF(AND($H50="threat",$S50=0.5,$R50=0.1),$D50 &amp; ";","")</f>
        <v/>
      </c>
      <c r="AG50" s="58">
        <f>IF(AND($H50="threat",$S50=0.5,$R50=0.2),$D50 &amp; ";","")</f>
        <v/>
      </c>
      <c r="AH50" s="58">
        <f>IF(AND($H50="threat",$S50=0.5,$R50=0.4),$D50 &amp; ";","")</f>
        <v/>
      </c>
      <c r="AI50" s="58">
        <f>IF(AND($H50="threat",$S50=0.5,$R50=0.8),$D50 &amp; ";","")</f>
        <v/>
      </c>
      <c r="AJ50" s="58">
        <f>IF(AND($H50="threat",$S50=0.3,$R50=0.05),$D50 &amp; ";","")</f>
        <v/>
      </c>
      <c r="AK50" s="58">
        <f>IF(AND($H50="threat",$S50=0.3,$R50=0.1),$D50 &amp; ";","")</f>
        <v/>
      </c>
      <c r="AL50" s="58">
        <f>IF(AND($H50="threat",$S50=0.3,$R50=0.2),$D50 &amp; ";","")</f>
        <v/>
      </c>
      <c r="AM50" s="58">
        <f>IF(AND($H50="threat",$S50=0.3,$R50=0.4),$D50 &amp; ";","")</f>
        <v/>
      </c>
      <c r="AN50" s="58">
        <f>IF(AND($H50="threat",$S50=0.3,$R50=0.8),$D50 &amp; ";","")</f>
        <v/>
      </c>
      <c r="AO50" s="58">
        <f>IF(AND($H50="threat",$S50=0.1,$R50=0.05),$D50 &amp; ";","")</f>
        <v/>
      </c>
      <c r="AP50" s="58">
        <f>IF(AND($H50="threat",$S50=0.1,$R50=0.1),$D50 &amp; ";","")</f>
        <v/>
      </c>
      <c r="AQ50" s="58">
        <f>IF(AND($H50="threat",$S50=0.1,$R50=0.2),$D50 &amp; ";","")</f>
        <v/>
      </c>
      <c r="AR50" s="58">
        <f>IF(AND($H50="threat",$S50=0.1,$R50=0.4),$D50 &amp; ";","")</f>
        <v/>
      </c>
      <c r="AS50" s="58">
        <f>IF(AND($H50="threat",$S50=0.1,$R50=0.8),$D50 &amp; ";","")</f>
        <v/>
      </c>
      <c r="AT50" s="39" t="n"/>
      <c r="AU50" s="58">
        <f>IF(AND($H50="opportunity",$S50=0.9,$R50=0.8),$D50 &amp; ";","")</f>
        <v/>
      </c>
      <c r="AV50" s="58">
        <f>IF(AND($H50="opportunity",$S50=0.9,$R50=0.4),$D50 &amp; ";","")</f>
        <v/>
      </c>
      <c r="AW50" s="58">
        <f>IF(AND($H50="opportunity",$S50=0.9,$R50=0.2),$D50 &amp; ";","")</f>
        <v/>
      </c>
      <c r="AX50" s="58">
        <f>IF(AND($H50="opportunity",$S50=0.9,$R50=0.1),$D50 &amp; ";","")</f>
        <v/>
      </c>
      <c r="AY50" s="58">
        <f>IF(AND($H50="opportunity",$S50=0.9,$R50=0.05),$D50 &amp; ";","")</f>
        <v/>
      </c>
      <c r="AZ50" s="58">
        <f>IF(AND($H50="opportunity",$S50=0.7,$R50=0.8),$D50 &amp; ";","")</f>
        <v/>
      </c>
      <c r="BA50" s="58">
        <f>IF(AND($H50="opportunity",$S50=0.7,$R50=0.4),$D50 &amp; ";","")</f>
        <v/>
      </c>
      <c r="BB50" s="58">
        <f>IF(AND($H50="opportunity",$S50=0.7,$R50=0.2),$D50 &amp; ";","")</f>
        <v/>
      </c>
      <c r="BC50" s="58">
        <f>IF(AND($H50="opportunity",$S50=0.7,$R50=0.1),$D50 &amp; ";","")</f>
        <v/>
      </c>
      <c r="BD50" s="58">
        <f>IF(AND($H50="opportunity",$S50=0.7,$R50=0.05),$D50 &amp; ";","")</f>
        <v/>
      </c>
      <c r="BE50" s="58">
        <f>IF(AND($H50="opportunity",$S50=0.5,$R50=0.8),$D50 &amp; ";","")</f>
        <v/>
      </c>
      <c r="BF50" s="58">
        <f>IF(AND($H50="opportunity",$S50=0.5,$R50=0.4),$D50 &amp; ";","")</f>
        <v/>
      </c>
      <c r="BG50" s="58">
        <f>IF(AND($H50="opportunity",$S50=0.5,$R50=0.2),$D50 &amp; ";","")</f>
        <v/>
      </c>
      <c r="BH50" s="58">
        <f>IF(AND($H50="opportunity",$S50=0.5,$R50=0.1),$D50 &amp; ";","")</f>
        <v/>
      </c>
      <c r="BI50" s="58">
        <f>IF(AND($H50="opportunity",$S50=0.5,$R50=0.05),$D50 &amp; ";","")</f>
        <v/>
      </c>
      <c r="BJ50" s="58">
        <f>IF(AND($H50="opportunity",$S50=0.3,$R50=0.8),$D50 &amp; ";","")</f>
        <v/>
      </c>
      <c r="BK50" s="58">
        <f>IF(AND($H50="opportunity",$S50=0.3,$R50=0.4),$D50 &amp; ";","")</f>
        <v/>
      </c>
      <c r="BL50" s="58">
        <f>IF(AND($H50="opportunity",$S50=0.3,$R50=0.2),$D50 &amp; ";","")</f>
        <v/>
      </c>
      <c r="BM50" s="58">
        <f>IF(AND($H50="opportunity",$S50=0.3,$R50=0.1),$D50 &amp; ";","")</f>
        <v/>
      </c>
      <c r="BN50" s="58">
        <f>IF(AND($H50="opportunity",$S50=0.3,$R50=0.05),$D50 &amp; ";","")</f>
        <v/>
      </c>
      <c r="BO50" s="58">
        <f>IF(AND($H50="opportunity",$S50=0.1,$R50=0.8),$D50 &amp; ";","")</f>
        <v/>
      </c>
      <c r="BP50" s="58">
        <f>IF(AND($H50="opportunity",$S50=0.1,$R50=0.4),$D50 &amp; ";","")</f>
        <v/>
      </c>
      <c r="BQ50" s="58">
        <f>IF(AND($H50="opportunity",$S50=0.1,$R50=0.2),$D50 &amp; ";","")</f>
        <v/>
      </c>
      <c r="BR50" s="58">
        <f>IF(AND($H50="opportunity",$S50=0.1,$R50=0.1),$D50 &amp; ";","")</f>
        <v/>
      </c>
      <c r="BS50" s="58">
        <f>IF(AND($H50="opportunity",$S50=0.1,$R50=0.05),$D50 &amp; ";","")</f>
        <v/>
      </c>
      <c r="BV50" s="57">
        <f>INDIRECT(ADDRESS(ROW()-22,COLUMN()-45,1,1,"Risk Register"))</f>
        <v/>
      </c>
      <c r="BW50" s="58">
        <f>INDIRECT(ADDRESS(ROW()-22,COLUMN()-44,1,1,"Risk Register"))</f>
        <v/>
      </c>
      <c r="BX50" s="59">
        <f>IF(AND($H50="threat",$P50&lt;=0.05),"gn",IF(AND($H50="threat",$P50&lt;=0.14),"y",IF(AND($H50="threat", $P50&gt;=0.15),"r",IF(AND($H50="opportunity",$P50&lt;=0.05),"gn",IF(AND($H50="opportunity",$P50&lt;=0.14),"lb",IF(AND($H50="opportunity",$P50&gt;=0.15),"db","z"))))))</f>
        <v/>
      </c>
      <c r="BY50" s="58">
        <f>IF(AND($H50="threat",$BW50=0.9,$BV50=0.05),$D50 &amp; ";","")</f>
        <v/>
      </c>
      <c r="BZ50" s="58">
        <f>IF(AND($H50="threat",$BW50=0.9,$BV50=0.1),$D50 &amp; ";","")</f>
        <v/>
      </c>
      <c r="CA50" s="58">
        <f>IF(AND($H50="threat",$BW50=0.9,$BV50=0.2),$D50 &amp; ";","")</f>
        <v/>
      </c>
      <c r="CB50" s="58">
        <f>IF(AND($H50="threat",$BW50=0.9,$BV50=0.4),$D50 &amp; ";","")</f>
        <v/>
      </c>
      <c r="CC50" s="58">
        <f>IF(AND($H50="threat",$BW50=0.9,$BV50=0.8),$D50 &amp; ";","")</f>
        <v/>
      </c>
      <c r="CD50" s="58">
        <f>IF(AND($H50="threat",$BW50=0.7,$BV50=0.05),$D50 &amp; ";","")</f>
        <v/>
      </c>
      <c r="CE50" s="58">
        <f>IF(AND($H50="threat",$BW50=0.7,$BV50=0.1),$D50 &amp; ";","")</f>
        <v/>
      </c>
      <c r="CF50" s="58">
        <f>IF(AND($H50="threat",$BW50=0.7,$BV50=0.2),$D50 &amp; ";","")</f>
        <v/>
      </c>
      <c r="CG50" s="58">
        <f>IF(AND($H50="threat",$BW50=0.7,$BV50=0.4),$D50 &amp; ";","")</f>
        <v/>
      </c>
      <c r="CH50" s="58">
        <f>IF(AND($H50="threat",$BW50=0.7,$BV50=0.8),$D50 &amp; ";","")</f>
        <v/>
      </c>
      <c r="CI50" s="58">
        <f>IF(AND($H50="threat",$BW50=0.5,$BV50=0.05),$D50 &amp; ";","")</f>
        <v/>
      </c>
      <c r="CJ50" s="58">
        <f>IF(AND($H50="threat",$BW50=0.5,$BV50=0.1),$D50 &amp; ";","")</f>
        <v/>
      </c>
      <c r="CK50" s="58">
        <f>IF(AND($H50="threat",$BW50=0.5,$BV50=0.2),$D50 &amp; ";","")</f>
        <v/>
      </c>
      <c r="CL50" s="58">
        <f>IF(AND($H50="threat",$BW50=0.5,$BV50=0.4),$D50 &amp; ";","")</f>
        <v/>
      </c>
      <c r="CM50" s="58">
        <f>IF(AND($H50="threat",$BW50=0.5,$BV50=0.8),$D50 &amp; ";","")</f>
        <v/>
      </c>
      <c r="CN50" s="58">
        <f>IF(AND($H50="threat",$BW50=0.3,$BV50=0.05),$D50 &amp; ";","")</f>
        <v/>
      </c>
      <c r="CO50" s="58">
        <f>IF(AND($H50="threat",$BW50=0.3,$BV50=0.1),$D50 &amp; ";","")</f>
        <v/>
      </c>
      <c r="CP50" s="58">
        <f>IF(AND($H50="threat",$BW50=0.3,$BV50=0.2),$D50 &amp; ";","")</f>
        <v/>
      </c>
      <c r="CQ50" s="58">
        <f>IF(AND($H50="threat",$BW50=0.3,$BV50=0.4),$D50 &amp; ";","")</f>
        <v/>
      </c>
      <c r="CR50" s="58">
        <f>IF(AND($H50="threat",$BW50=0.3,$BV50=0.8),$D50 &amp; ";","")</f>
        <v/>
      </c>
      <c r="CS50" s="58">
        <f>IF(AND($H50="threat",$BW50=0.1,$BV50=0.05),$D50 &amp; ";","")</f>
        <v/>
      </c>
      <c r="CT50" s="58">
        <f>IF(AND($H50="threat",$BW50=0.1,$BV50=0.1),$D50 &amp; ";","")</f>
        <v/>
      </c>
      <c r="CU50" s="58">
        <f>IF(AND($H50="threat",$BW50=0.1,$BV50=0.2),$D50 &amp; ";","")</f>
        <v/>
      </c>
      <c r="CV50" s="58">
        <f>IF(AND($H50="threat",$BW50=0.1,$BV50=0.4),$D50 &amp; ";","")</f>
        <v/>
      </c>
      <c r="CW50" s="58">
        <f>IF(AND($H50="threat",$BW50=0.1,$BV50=0.8),$D50 &amp; ";","")</f>
        <v/>
      </c>
      <c r="CX50" s="39" t="n"/>
      <c r="CY50" s="58">
        <f>IF(AND($H50="opportunity",$BW50=0.9,$BV50=0.8),$D50 &amp; ";","")</f>
        <v/>
      </c>
      <c r="CZ50" s="58">
        <f>IF(AND($H50="opportunity",$BW50=0.9,$BV50=0.4),$D50 &amp; ";","")</f>
        <v/>
      </c>
      <c r="DA50" s="58">
        <f>IF(AND($H50="opportunity",$BW50=0.9,$BV50=0.2),$D50 &amp; ";","")</f>
        <v/>
      </c>
      <c r="DB50" s="58">
        <f>IF(AND($H50="opportunity",$BW50=0.9,$BV50=0.1),$D50 &amp; ";","")</f>
        <v/>
      </c>
      <c r="DC50" s="58">
        <f>IF(AND($H50="opportunity",$BW50=0.9,$BV50=0.05),$D50 &amp; ";","")</f>
        <v/>
      </c>
      <c r="DD50" s="58">
        <f>IF(AND($H50="opportunity",$BW50=0.7,$BV50=0.8),$D50 &amp; ";","")</f>
        <v/>
      </c>
      <c r="DE50" s="58">
        <f>IF(AND($H50="opportunity",$BW50=0.7,$BV50=0.4),$D50 &amp; ";","")</f>
        <v/>
      </c>
      <c r="DF50" s="58">
        <f>IF(AND($H50="opportunity",$BW50=0.7,$BV50=0.2),$D50 &amp; ";","")</f>
        <v/>
      </c>
      <c r="DG50" s="58">
        <f>IF(AND($H50="opportunity",$BW50=0.7,$BV50=0.1),$D50 &amp; ";","")</f>
        <v/>
      </c>
      <c r="DH50" s="58">
        <f>IF(AND($H50="opportunity",$BW50=0.7,$BV50=0.05),$D50 &amp; ";","")</f>
        <v/>
      </c>
      <c r="DI50" s="58">
        <f>IF(AND($H50="opportunity",$BW50=0.5,$BV50=0.8),$D50 &amp; ";","")</f>
        <v/>
      </c>
      <c r="DJ50" s="58">
        <f>IF(AND($H50="opportunity",$BW50=0.5,$BV50=0.4),$D50 &amp; ";","")</f>
        <v/>
      </c>
      <c r="DK50" s="58">
        <f>IF(AND($H50="opportunity",$BW50=0.5,$BV50=0.2),$D50 &amp; ";","")</f>
        <v/>
      </c>
      <c r="DL50" s="58">
        <f>IF(AND($H50="opportunity",$BW50=0.5,$BV50=0.1),$D50 &amp; ";","")</f>
        <v/>
      </c>
      <c r="DM50" s="58">
        <f>IF(AND($H50="opportunity",$BW50=0.5,$BV50=0.05),$D50 &amp; ";","")</f>
        <v/>
      </c>
      <c r="DN50" s="58">
        <f>IF(AND($H50="opportunity",$BW50=0.3,$BV50=0.8),$D50 &amp; ";","")</f>
        <v/>
      </c>
      <c r="DO50" s="58">
        <f>IF(AND($H50="opportunity",$BW50=0.3,$BV50=0.4),$D50 &amp; ";","")</f>
        <v/>
      </c>
      <c r="DP50" s="58">
        <f>IF(AND($H50="opportunity",$BW50=0.3,$BV50=0.2),$D50 &amp; ";","")</f>
        <v/>
      </c>
      <c r="DQ50" s="58">
        <f>IF(AND($H50="opportunity",$BW50=0.3,$BV50=0.1),$D50 &amp; ";","")</f>
        <v/>
      </c>
      <c r="DR50" s="58">
        <f>IF(AND($H50="opportunity",$BW50=0.3,$BV50=0.05),$D50 &amp; ";","")</f>
        <v/>
      </c>
      <c r="DS50" s="58">
        <f>IF(AND($H50="opportunity",$BW50=0.1,$BV50=0.8),$D50 &amp; ";","")</f>
        <v/>
      </c>
      <c r="DT50" s="58">
        <f>IF(AND($H50="opportunity",$BW50=0.1,$BV50=0.4),$D50 &amp; ";","")</f>
        <v/>
      </c>
      <c r="DU50" s="58">
        <f>IF(AND($H50="opportunity",$BW50=0.1,$BV50=0.2),$D50 &amp; ";","")</f>
        <v/>
      </c>
      <c r="DV50" s="58">
        <f>IF(AND($H50="opportunity",$BW50=0.1,$BV50=0.1),$D50 &amp; ";","")</f>
        <v/>
      </c>
      <c r="DW50" s="58">
        <f>IF(AND($H50="opportunity",$BW50=0.1,$BV50=0.05),$D50 &amp; ";","")</f>
        <v/>
      </c>
    </row>
    <row r="51">
      <c r="D51" s="60">
        <f>INDIRECT(ADDRESS(ROW()-22,COLUMN()-2,1,1,"Risk Register"))</f>
        <v/>
      </c>
      <c r="E51" s="143">
        <f>INDIRECT(ADDRESS(ROW()-22,COLUMN()-1,1,1,"Risk Register"))</f>
        <v/>
      </c>
      <c r="G51" s="56">
        <f>INDIRECT(ADDRESS(ROW()-22,COLUMN()+10,1,1,"Risk Register"))</f>
        <v/>
      </c>
      <c r="H51" s="60">
        <f>INDIRECT(ADDRESS(ROW()-22,COLUMN()+8,1,1,"Risk Register"))</f>
        <v/>
      </c>
      <c r="I51" s="54">
        <f>INDIRECT(ADDRESS(ROW()-22,COLUMN()+3,1,1,"Risk Register"))</f>
        <v/>
      </c>
      <c r="J51" s="143">
        <f>INDIRECT(ADDRESS(ROW()-22,COLUMN()+12,1,1,"Risk Register"))</f>
        <v/>
      </c>
      <c r="K51" s="143">
        <f>INDIRECT(ADDRESS(ROW()-22,COLUMN()-2,1,1,"Risk Register"))</f>
        <v/>
      </c>
      <c r="L51" s="176">
        <f>INDIRECT(ADDRESS(ROW()-22,COLUMN()+15,1,1,"Risk Register"))</f>
        <v/>
      </c>
      <c r="M51" s="54">
        <f>INDIRECT(ADDRESS(ROW()-22,COLUMN()+13,1,1,"Risk Register"))</f>
        <v/>
      </c>
      <c r="N51" s="143">
        <f>INDIRECT(ADDRESS(ROW()-22,COLUMN()-9,1,1,"Risk Register"))</f>
        <v/>
      </c>
      <c r="O51" s="143">
        <f>INDIRECT(ADDRESS(ROW()-22,COLUMN()-8,1,1,"Risk Register"))</f>
        <v/>
      </c>
      <c r="P51" s="56">
        <f>INDIRECT(ADDRESS(ROW()-22,COLUMN()+18,1,1,"Risk Register"))</f>
        <v/>
      </c>
      <c r="R51" s="57">
        <f>INDIRECT(ADDRESS(ROW()-22,COLUMN()-5,1,1,"Risk Register"))</f>
        <v/>
      </c>
      <c r="S51" s="58">
        <f>INDIRECT(ADDRESS(ROW()-22,COLUMN()-4,1,1,"Risk Register"))</f>
        <v/>
      </c>
      <c r="T51" s="59">
        <f>IF(AND($H51="threat",$G51&lt;=0.05),"gn",IF(AND($H51="threat",$G51&lt;=0.14),"y",IF(AND($H51="threat", $G51&gt;=0.15),"r",IF(AND($H51="opportunity",$G51&lt;=0.05),"gn",IF(AND($H51="opportunity",$G51&lt;=0.14),"lb",IF(AND($H51="opportunity",$G51&gt;=0.15),"db","z"))))))</f>
        <v/>
      </c>
      <c r="U51" s="58">
        <f>IF(AND($H51="threat",$S51=0.9,$R51=0.05),$D51 &amp; ";","")</f>
        <v/>
      </c>
      <c r="V51" s="58">
        <f>IF(AND($H51="threat",$S51=0.9,$R51=0.1),$D51 &amp; ";","")</f>
        <v/>
      </c>
      <c r="W51" s="58">
        <f>IF(AND($H51="threat",$S51=0.9,$R51=0.2),$D51 &amp; ";","")</f>
        <v/>
      </c>
      <c r="X51" s="58">
        <f>IF(AND($H51="threat",$S51=0.9,$R51=0.4),$D51 &amp; ";","")</f>
        <v/>
      </c>
      <c r="Y51" s="58">
        <f>IF(AND($H51="threat",$S51=0.9,$R51=0.8),$D51 &amp; ";","")</f>
        <v/>
      </c>
      <c r="Z51" s="58">
        <f>IF(AND($H51="threat",$S51=0.7,$R51=0.05),$D51 &amp; ";","")</f>
        <v/>
      </c>
      <c r="AA51" s="58">
        <f>IF(AND($H51="threat",$S51=0.7,$R51=0.1),$D51 &amp; ";","")</f>
        <v/>
      </c>
      <c r="AB51" s="58">
        <f>IF(AND($H51="threat",$S51=0.7,$R51=0.2),$D51 &amp; ";","")</f>
        <v/>
      </c>
      <c r="AC51" s="58">
        <f>IF(AND($H51="threat",$S51=0.7,$R51=0.4),$D51 &amp; ";","")</f>
        <v/>
      </c>
      <c r="AD51" s="58">
        <f>IF(AND($H51="threat",$S51=0.7,$R51=0.8),$D51 &amp; ";","")</f>
        <v/>
      </c>
      <c r="AE51" s="58">
        <f>IF(AND($H51="threat",$S51=0.5,$R51=0.05),$D51 &amp; ";","")</f>
        <v/>
      </c>
      <c r="AF51" s="58">
        <f>IF(AND($H51="threat",$S51=0.5,$R51=0.1),$D51 &amp; ";","")</f>
        <v/>
      </c>
      <c r="AG51" s="58">
        <f>IF(AND($H51="threat",$S51=0.5,$R51=0.2),$D51 &amp; ";","")</f>
        <v/>
      </c>
      <c r="AH51" s="58">
        <f>IF(AND($H51="threat",$S51=0.5,$R51=0.4),$D51 &amp; ";","")</f>
        <v/>
      </c>
      <c r="AI51" s="58">
        <f>IF(AND($H51="threat",$S51=0.5,$R51=0.8),$D51 &amp; ";","")</f>
        <v/>
      </c>
      <c r="AJ51" s="58">
        <f>IF(AND($H51="threat",$S51=0.3,$R51=0.05),$D51 &amp; ";","")</f>
        <v/>
      </c>
      <c r="AK51" s="58">
        <f>IF(AND($H51="threat",$S51=0.3,$R51=0.1),$D51 &amp; ";","")</f>
        <v/>
      </c>
      <c r="AL51" s="58">
        <f>IF(AND($H51="threat",$S51=0.3,$R51=0.2),$D51 &amp; ";","")</f>
        <v/>
      </c>
      <c r="AM51" s="58">
        <f>IF(AND($H51="threat",$S51=0.3,$R51=0.4),$D51 &amp; ";","")</f>
        <v/>
      </c>
      <c r="AN51" s="58">
        <f>IF(AND($H51="threat",$S51=0.3,$R51=0.8),$D51 &amp; ";","")</f>
        <v/>
      </c>
      <c r="AO51" s="58">
        <f>IF(AND($H51="threat",$S51=0.1,$R51=0.05),$D51 &amp; ";","")</f>
        <v/>
      </c>
      <c r="AP51" s="58">
        <f>IF(AND($H51="threat",$S51=0.1,$R51=0.1),$D51 &amp; ";","")</f>
        <v/>
      </c>
      <c r="AQ51" s="58">
        <f>IF(AND($H51="threat",$S51=0.1,$R51=0.2),$D51 &amp; ";","")</f>
        <v/>
      </c>
      <c r="AR51" s="58">
        <f>IF(AND($H51="threat",$S51=0.1,$R51=0.4),$D51 &amp; ";","")</f>
        <v/>
      </c>
      <c r="AS51" s="58">
        <f>IF(AND($H51="threat",$S51=0.1,$R51=0.8),$D51 &amp; ";","")</f>
        <v/>
      </c>
      <c r="AT51" s="39" t="n"/>
      <c r="AU51" s="58">
        <f>IF(AND($H51="opportunity",$S51=0.9,$R51=0.8),$D51 &amp; ";","")</f>
        <v/>
      </c>
      <c r="AV51" s="58">
        <f>IF(AND($H51="opportunity",$S51=0.9,$R51=0.4),$D51 &amp; ";","")</f>
        <v/>
      </c>
      <c r="AW51" s="58">
        <f>IF(AND($H51="opportunity",$S51=0.9,$R51=0.2),$D51 &amp; ";","")</f>
        <v/>
      </c>
      <c r="AX51" s="58">
        <f>IF(AND($H51="opportunity",$S51=0.9,$R51=0.1),$D51 &amp; ";","")</f>
        <v/>
      </c>
      <c r="AY51" s="58">
        <f>IF(AND($H51="opportunity",$S51=0.9,$R51=0.05),$D51 &amp; ";","")</f>
        <v/>
      </c>
      <c r="AZ51" s="58">
        <f>IF(AND($H51="opportunity",$S51=0.7,$R51=0.8),$D51 &amp; ";","")</f>
        <v/>
      </c>
      <c r="BA51" s="58">
        <f>IF(AND($H51="opportunity",$S51=0.7,$R51=0.4),$D51 &amp; ";","")</f>
        <v/>
      </c>
      <c r="BB51" s="58">
        <f>IF(AND($H51="opportunity",$S51=0.7,$R51=0.2),$D51 &amp; ";","")</f>
        <v/>
      </c>
      <c r="BC51" s="58">
        <f>IF(AND($H51="opportunity",$S51=0.7,$R51=0.1),$D51 &amp; ";","")</f>
        <v/>
      </c>
      <c r="BD51" s="58">
        <f>IF(AND($H51="opportunity",$S51=0.7,$R51=0.05),$D51 &amp; ";","")</f>
        <v/>
      </c>
      <c r="BE51" s="58">
        <f>IF(AND($H51="opportunity",$S51=0.5,$R51=0.8),$D51 &amp; ";","")</f>
        <v/>
      </c>
      <c r="BF51" s="58">
        <f>IF(AND($H51="opportunity",$S51=0.5,$R51=0.4),$D51 &amp; ";","")</f>
        <v/>
      </c>
      <c r="BG51" s="58">
        <f>IF(AND($H51="opportunity",$S51=0.5,$R51=0.2),$D51 &amp; ";","")</f>
        <v/>
      </c>
      <c r="BH51" s="58">
        <f>IF(AND($H51="opportunity",$S51=0.5,$R51=0.1),$D51 &amp; ";","")</f>
        <v/>
      </c>
      <c r="BI51" s="58">
        <f>IF(AND($H51="opportunity",$S51=0.5,$R51=0.05),$D51 &amp; ";","")</f>
        <v/>
      </c>
      <c r="BJ51" s="58">
        <f>IF(AND($H51="opportunity",$S51=0.3,$R51=0.8),$D51 &amp; ";","")</f>
        <v/>
      </c>
      <c r="BK51" s="58">
        <f>IF(AND($H51="opportunity",$S51=0.3,$R51=0.4),$D51 &amp; ";","")</f>
        <v/>
      </c>
      <c r="BL51" s="58">
        <f>IF(AND($H51="opportunity",$S51=0.3,$R51=0.2),$D51 &amp; ";","")</f>
        <v/>
      </c>
      <c r="BM51" s="58">
        <f>IF(AND($H51="opportunity",$S51=0.3,$R51=0.1),$D51 &amp; ";","")</f>
        <v/>
      </c>
      <c r="BN51" s="58">
        <f>IF(AND($H51="opportunity",$S51=0.3,$R51=0.05),$D51 &amp; ";","")</f>
        <v/>
      </c>
      <c r="BO51" s="58">
        <f>IF(AND($H51="opportunity",$S51=0.1,$R51=0.8),$D51 &amp; ";","")</f>
        <v/>
      </c>
      <c r="BP51" s="58">
        <f>IF(AND($H51="opportunity",$S51=0.1,$R51=0.4),$D51 &amp; ";","")</f>
        <v/>
      </c>
      <c r="BQ51" s="58">
        <f>IF(AND($H51="opportunity",$S51=0.1,$R51=0.2),$D51 &amp; ";","")</f>
        <v/>
      </c>
      <c r="BR51" s="58">
        <f>IF(AND($H51="opportunity",$S51=0.1,$R51=0.1),$D51 &amp; ";","")</f>
        <v/>
      </c>
      <c r="BS51" s="58">
        <f>IF(AND($H51="opportunity",$S51=0.1,$R51=0.05),$D51 &amp; ";","")</f>
        <v/>
      </c>
      <c r="BV51" s="57">
        <f>INDIRECT(ADDRESS(ROW()-22,COLUMN()-45,1,1,"Risk Register"))</f>
        <v/>
      </c>
      <c r="BW51" s="58">
        <f>INDIRECT(ADDRESS(ROW()-22,COLUMN()-44,1,1,"Risk Register"))</f>
        <v/>
      </c>
      <c r="BX51" s="59">
        <f>IF(AND($H51="threat",$P51&lt;=0.05),"gn",IF(AND($H51="threat",$P51&lt;=0.14),"y",IF(AND($H51="threat", $P51&gt;=0.15),"r",IF(AND($H51="opportunity",$P51&lt;=0.05),"gn",IF(AND($H51="opportunity",$P51&lt;=0.14),"lb",IF(AND($H51="opportunity",$P51&gt;=0.15),"db","z"))))))</f>
        <v/>
      </c>
      <c r="BY51" s="58">
        <f>IF(AND($H51="threat",$BW51=0.9,$BV51=0.05),$D51 &amp; ";","")</f>
        <v/>
      </c>
      <c r="BZ51" s="58">
        <f>IF(AND($H51="threat",$BW51=0.9,$BV51=0.1),$D51 &amp; ";","")</f>
        <v/>
      </c>
      <c r="CA51" s="58">
        <f>IF(AND($H51="threat",$BW51=0.9,$BV51=0.2),$D51 &amp; ";","")</f>
        <v/>
      </c>
      <c r="CB51" s="58">
        <f>IF(AND($H51="threat",$BW51=0.9,$BV51=0.4),$D51 &amp; ";","")</f>
        <v/>
      </c>
      <c r="CC51" s="58">
        <f>IF(AND($H51="threat",$BW51=0.9,$BV51=0.8),$D51 &amp; ";","")</f>
        <v/>
      </c>
      <c r="CD51" s="58">
        <f>IF(AND($H51="threat",$BW51=0.7,$BV51=0.05),$D51 &amp; ";","")</f>
        <v/>
      </c>
      <c r="CE51" s="58">
        <f>IF(AND($H51="threat",$BW51=0.7,$BV51=0.1),$D51 &amp; ";","")</f>
        <v/>
      </c>
      <c r="CF51" s="58">
        <f>IF(AND($H51="threat",$BW51=0.7,$BV51=0.2),$D51 &amp; ";","")</f>
        <v/>
      </c>
      <c r="CG51" s="58">
        <f>IF(AND($H51="threat",$BW51=0.7,$BV51=0.4),$D51 &amp; ";","")</f>
        <v/>
      </c>
      <c r="CH51" s="58">
        <f>IF(AND($H51="threat",$BW51=0.7,$BV51=0.8),$D51 &amp; ";","")</f>
        <v/>
      </c>
      <c r="CI51" s="58">
        <f>IF(AND($H51="threat",$BW51=0.5,$BV51=0.05),$D51 &amp; ";","")</f>
        <v/>
      </c>
      <c r="CJ51" s="58">
        <f>IF(AND($H51="threat",$BW51=0.5,$BV51=0.1),$D51 &amp; ";","")</f>
        <v/>
      </c>
      <c r="CK51" s="58">
        <f>IF(AND($H51="threat",$BW51=0.5,$BV51=0.2),$D51 &amp; ";","")</f>
        <v/>
      </c>
      <c r="CL51" s="58">
        <f>IF(AND($H51="threat",$BW51=0.5,$BV51=0.4),$D51 &amp; ";","")</f>
        <v/>
      </c>
      <c r="CM51" s="58">
        <f>IF(AND($H51="threat",$BW51=0.5,$BV51=0.8),$D51 &amp; ";","")</f>
        <v/>
      </c>
      <c r="CN51" s="58">
        <f>IF(AND($H51="threat",$BW51=0.3,$BV51=0.05),$D51 &amp; ";","")</f>
        <v/>
      </c>
      <c r="CO51" s="58">
        <f>IF(AND($H51="threat",$BW51=0.3,$BV51=0.1),$D51 &amp; ";","")</f>
        <v/>
      </c>
      <c r="CP51" s="58">
        <f>IF(AND($H51="threat",$BW51=0.3,$BV51=0.2),$D51 &amp; ";","")</f>
        <v/>
      </c>
      <c r="CQ51" s="58">
        <f>IF(AND($H51="threat",$BW51=0.3,$BV51=0.4),$D51 &amp; ";","")</f>
        <v/>
      </c>
      <c r="CR51" s="58">
        <f>IF(AND($H51="threat",$BW51=0.3,$BV51=0.8),$D51 &amp; ";","")</f>
        <v/>
      </c>
      <c r="CS51" s="58">
        <f>IF(AND($H51="threat",$BW51=0.1,$BV51=0.05),$D51 &amp; ";","")</f>
        <v/>
      </c>
      <c r="CT51" s="58">
        <f>IF(AND($H51="threat",$BW51=0.1,$BV51=0.1),$D51 &amp; ";","")</f>
        <v/>
      </c>
      <c r="CU51" s="58">
        <f>IF(AND($H51="threat",$BW51=0.1,$BV51=0.2),$D51 &amp; ";","")</f>
        <v/>
      </c>
      <c r="CV51" s="58">
        <f>IF(AND($H51="threat",$BW51=0.1,$BV51=0.4),$D51 &amp; ";","")</f>
        <v/>
      </c>
      <c r="CW51" s="58">
        <f>IF(AND($H51="threat",$BW51=0.1,$BV51=0.8),$D51 &amp; ";","")</f>
        <v/>
      </c>
      <c r="CX51" s="39" t="n"/>
      <c r="CY51" s="58">
        <f>IF(AND($H51="opportunity",$BW51=0.9,$BV51=0.8),$D51 &amp; ";","")</f>
        <v/>
      </c>
      <c r="CZ51" s="58">
        <f>IF(AND($H51="opportunity",$BW51=0.9,$BV51=0.4),$D51 &amp; ";","")</f>
        <v/>
      </c>
      <c r="DA51" s="58">
        <f>IF(AND($H51="opportunity",$BW51=0.9,$BV51=0.2),$D51 &amp; ";","")</f>
        <v/>
      </c>
      <c r="DB51" s="58">
        <f>IF(AND($H51="opportunity",$BW51=0.9,$BV51=0.1),$D51 &amp; ";","")</f>
        <v/>
      </c>
      <c r="DC51" s="58">
        <f>IF(AND($H51="opportunity",$BW51=0.9,$BV51=0.05),$D51 &amp; ";","")</f>
        <v/>
      </c>
      <c r="DD51" s="58">
        <f>IF(AND($H51="opportunity",$BW51=0.7,$BV51=0.8),$D51 &amp; ";","")</f>
        <v/>
      </c>
      <c r="DE51" s="58">
        <f>IF(AND($H51="opportunity",$BW51=0.7,$BV51=0.4),$D51 &amp; ";","")</f>
        <v/>
      </c>
      <c r="DF51" s="58">
        <f>IF(AND($H51="opportunity",$BW51=0.7,$BV51=0.2),$D51 &amp; ";","")</f>
        <v/>
      </c>
      <c r="DG51" s="58">
        <f>IF(AND($H51="opportunity",$BW51=0.7,$BV51=0.1),$D51 &amp; ";","")</f>
        <v/>
      </c>
      <c r="DH51" s="58">
        <f>IF(AND($H51="opportunity",$BW51=0.7,$BV51=0.05),$D51 &amp; ";","")</f>
        <v/>
      </c>
      <c r="DI51" s="58">
        <f>IF(AND($H51="opportunity",$BW51=0.5,$BV51=0.8),$D51 &amp; ";","")</f>
        <v/>
      </c>
      <c r="DJ51" s="58">
        <f>IF(AND($H51="opportunity",$BW51=0.5,$BV51=0.4),$D51 &amp; ";","")</f>
        <v/>
      </c>
      <c r="DK51" s="58">
        <f>IF(AND($H51="opportunity",$BW51=0.5,$BV51=0.2),$D51 &amp; ";","")</f>
        <v/>
      </c>
      <c r="DL51" s="58">
        <f>IF(AND($H51="opportunity",$BW51=0.5,$BV51=0.1),$D51 &amp; ";","")</f>
        <v/>
      </c>
      <c r="DM51" s="58">
        <f>IF(AND($H51="opportunity",$BW51=0.5,$BV51=0.05),$D51 &amp; ";","")</f>
        <v/>
      </c>
      <c r="DN51" s="58">
        <f>IF(AND($H51="opportunity",$BW51=0.3,$BV51=0.8),$D51 &amp; ";","")</f>
        <v/>
      </c>
      <c r="DO51" s="58">
        <f>IF(AND($H51="opportunity",$BW51=0.3,$BV51=0.4),$D51 &amp; ";","")</f>
        <v/>
      </c>
      <c r="DP51" s="58">
        <f>IF(AND($H51="opportunity",$BW51=0.3,$BV51=0.2),$D51 &amp; ";","")</f>
        <v/>
      </c>
      <c r="DQ51" s="58">
        <f>IF(AND($H51="opportunity",$BW51=0.3,$BV51=0.1),$D51 &amp; ";","")</f>
        <v/>
      </c>
      <c r="DR51" s="58">
        <f>IF(AND($H51="opportunity",$BW51=0.3,$BV51=0.05),$D51 &amp; ";","")</f>
        <v/>
      </c>
      <c r="DS51" s="58">
        <f>IF(AND($H51="opportunity",$BW51=0.1,$BV51=0.8),$D51 &amp; ";","")</f>
        <v/>
      </c>
      <c r="DT51" s="58">
        <f>IF(AND($H51="opportunity",$BW51=0.1,$BV51=0.4),$D51 &amp; ";","")</f>
        <v/>
      </c>
      <c r="DU51" s="58">
        <f>IF(AND($H51="opportunity",$BW51=0.1,$BV51=0.2),$D51 &amp; ";","")</f>
        <v/>
      </c>
      <c r="DV51" s="58">
        <f>IF(AND($H51="opportunity",$BW51=0.1,$BV51=0.1),$D51 &amp; ";","")</f>
        <v/>
      </c>
      <c r="DW51" s="58">
        <f>IF(AND($H51="opportunity",$BW51=0.1,$BV51=0.05),$D51 &amp; ";","")</f>
        <v/>
      </c>
    </row>
    <row r="52">
      <c r="D52" s="60">
        <f>INDIRECT(ADDRESS(ROW()-22,COLUMN()-2,1,1,"Risk Register"))</f>
        <v/>
      </c>
      <c r="E52" s="143">
        <f>INDIRECT(ADDRESS(ROW()-22,COLUMN()-1,1,1,"Risk Register"))</f>
        <v/>
      </c>
      <c r="G52" s="56">
        <f>INDIRECT(ADDRESS(ROW()-22,COLUMN()+10,1,1,"Risk Register"))</f>
        <v/>
      </c>
      <c r="H52" s="60">
        <f>INDIRECT(ADDRESS(ROW()-22,COLUMN()+8,1,1,"Risk Register"))</f>
        <v/>
      </c>
      <c r="I52" s="54">
        <f>INDIRECT(ADDRESS(ROW()-22,COLUMN()+3,1,1,"Risk Register"))</f>
        <v/>
      </c>
      <c r="J52" s="143">
        <f>INDIRECT(ADDRESS(ROW()-22,COLUMN()+12,1,1,"Risk Register"))</f>
        <v/>
      </c>
      <c r="K52" s="143">
        <f>INDIRECT(ADDRESS(ROW()-22,COLUMN()-2,1,1,"Risk Register"))</f>
        <v/>
      </c>
      <c r="L52" s="176">
        <f>INDIRECT(ADDRESS(ROW()-22,COLUMN()+15,1,1,"Risk Register"))</f>
        <v/>
      </c>
      <c r="M52" s="54">
        <f>INDIRECT(ADDRESS(ROW()-22,COLUMN()+13,1,1,"Risk Register"))</f>
        <v/>
      </c>
      <c r="N52" s="143">
        <f>INDIRECT(ADDRESS(ROW()-22,COLUMN()-9,1,1,"Risk Register"))</f>
        <v/>
      </c>
      <c r="O52" s="143">
        <f>INDIRECT(ADDRESS(ROW()-22,COLUMN()-8,1,1,"Risk Register"))</f>
        <v/>
      </c>
      <c r="P52" s="56">
        <f>INDIRECT(ADDRESS(ROW()-22,COLUMN()+18,1,1,"Risk Register"))</f>
        <v/>
      </c>
      <c r="R52" s="57">
        <f>INDIRECT(ADDRESS(ROW()-22,COLUMN()-5,1,1,"Risk Register"))</f>
        <v/>
      </c>
      <c r="S52" s="58">
        <f>INDIRECT(ADDRESS(ROW()-22,COLUMN()-4,1,1,"Risk Register"))</f>
        <v/>
      </c>
      <c r="T52" s="59">
        <f>IF(AND($H52="threat",$G52&lt;=0.05),"gn",IF(AND($H52="threat",$G52&lt;=0.14),"y",IF(AND($H52="threat", $G52&gt;=0.15),"r",IF(AND($H52="opportunity",$G52&lt;=0.05),"gn",IF(AND($H52="opportunity",$G52&lt;=0.14),"lb",IF(AND($H52="opportunity",$G52&gt;=0.15),"db","z"))))))</f>
        <v/>
      </c>
      <c r="U52" s="58">
        <f>IF(AND($H52="threat",$S52=0.9,$R52=0.05),$D52 &amp; ";","")</f>
        <v/>
      </c>
      <c r="V52" s="58">
        <f>IF(AND($H52="threat",$S52=0.9,$R52=0.1),$D52 &amp; ";","")</f>
        <v/>
      </c>
      <c r="W52" s="58">
        <f>IF(AND($H52="threat",$S52=0.9,$R52=0.2),$D52 &amp; ";","")</f>
        <v/>
      </c>
      <c r="X52" s="58">
        <f>IF(AND($H52="threat",$S52=0.9,$R52=0.4),$D52 &amp; ";","")</f>
        <v/>
      </c>
      <c r="Y52" s="58">
        <f>IF(AND($H52="threat",$S52=0.9,$R52=0.8),$D52 &amp; ";","")</f>
        <v/>
      </c>
      <c r="Z52" s="58">
        <f>IF(AND($H52="threat",$S52=0.7,$R52=0.05),$D52 &amp; ";","")</f>
        <v/>
      </c>
      <c r="AA52" s="58">
        <f>IF(AND($H52="threat",$S52=0.7,$R52=0.1),$D52 &amp; ";","")</f>
        <v/>
      </c>
      <c r="AB52" s="58">
        <f>IF(AND($H52="threat",$S52=0.7,$R52=0.2),$D52 &amp; ";","")</f>
        <v/>
      </c>
      <c r="AC52" s="58">
        <f>IF(AND($H52="threat",$S52=0.7,$R52=0.4),$D52 &amp; ";","")</f>
        <v/>
      </c>
      <c r="AD52" s="58">
        <f>IF(AND($H52="threat",$S52=0.7,$R52=0.8),$D52 &amp; ";","")</f>
        <v/>
      </c>
      <c r="AE52" s="58">
        <f>IF(AND($H52="threat",$S52=0.5,$R52=0.05),$D52 &amp; ";","")</f>
        <v/>
      </c>
      <c r="AF52" s="58">
        <f>IF(AND($H52="threat",$S52=0.5,$R52=0.1),$D52 &amp; ";","")</f>
        <v/>
      </c>
      <c r="AG52" s="58">
        <f>IF(AND($H52="threat",$S52=0.5,$R52=0.2),$D52 &amp; ";","")</f>
        <v/>
      </c>
      <c r="AH52" s="58">
        <f>IF(AND($H52="threat",$S52=0.5,$R52=0.4),$D52 &amp; ";","")</f>
        <v/>
      </c>
      <c r="AI52" s="58">
        <f>IF(AND($H52="threat",$S52=0.5,$R52=0.8),$D52 &amp; ";","")</f>
        <v/>
      </c>
      <c r="AJ52" s="58">
        <f>IF(AND($H52="threat",$S52=0.3,$R52=0.05),$D52 &amp; ";","")</f>
        <v/>
      </c>
      <c r="AK52" s="58">
        <f>IF(AND($H52="threat",$S52=0.3,$R52=0.1),$D52 &amp; ";","")</f>
        <v/>
      </c>
      <c r="AL52" s="58">
        <f>IF(AND($H52="threat",$S52=0.3,$R52=0.2),$D52 &amp; ";","")</f>
        <v/>
      </c>
      <c r="AM52" s="58">
        <f>IF(AND($H52="threat",$S52=0.3,$R52=0.4),$D52 &amp; ";","")</f>
        <v/>
      </c>
      <c r="AN52" s="58">
        <f>IF(AND($H52="threat",$S52=0.3,$R52=0.8),$D52 &amp; ";","")</f>
        <v/>
      </c>
      <c r="AO52" s="58">
        <f>IF(AND($H52="threat",$S52=0.1,$R52=0.05),$D52 &amp; ";","")</f>
        <v/>
      </c>
      <c r="AP52" s="58">
        <f>IF(AND($H52="threat",$S52=0.1,$R52=0.1),$D52 &amp; ";","")</f>
        <v/>
      </c>
      <c r="AQ52" s="58">
        <f>IF(AND($H52="threat",$S52=0.1,$R52=0.2),$D52 &amp; ";","")</f>
        <v/>
      </c>
      <c r="AR52" s="58">
        <f>IF(AND($H52="threat",$S52=0.1,$R52=0.4),$D52 &amp; ";","")</f>
        <v/>
      </c>
      <c r="AS52" s="58">
        <f>IF(AND($H52="threat",$S52=0.1,$R52=0.8),$D52 &amp; ";","")</f>
        <v/>
      </c>
      <c r="AT52" s="39" t="n"/>
      <c r="AU52" s="58">
        <f>IF(AND($H52="opportunity",$S52=0.9,$R52=0.8),$D52 &amp; ";","")</f>
        <v/>
      </c>
      <c r="AV52" s="58">
        <f>IF(AND($H52="opportunity",$S52=0.9,$R52=0.4),$D52 &amp; ";","")</f>
        <v/>
      </c>
      <c r="AW52" s="58">
        <f>IF(AND($H52="opportunity",$S52=0.9,$R52=0.2),$D52 &amp; ";","")</f>
        <v/>
      </c>
      <c r="AX52" s="58">
        <f>IF(AND($H52="opportunity",$S52=0.9,$R52=0.1),$D52 &amp; ";","")</f>
        <v/>
      </c>
      <c r="AY52" s="58">
        <f>IF(AND($H52="opportunity",$S52=0.9,$R52=0.05),$D52 &amp; ";","")</f>
        <v/>
      </c>
      <c r="AZ52" s="58">
        <f>IF(AND($H52="opportunity",$S52=0.7,$R52=0.8),$D52 &amp; ";","")</f>
        <v/>
      </c>
      <c r="BA52" s="58">
        <f>IF(AND($H52="opportunity",$S52=0.7,$R52=0.4),$D52 &amp; ";","")</f>
        <v/>
      </c>
      <c r="BB52" s="58">
        <f>IF(AND($H52="opportunity",$S52=0.7,$R52=0.2),$D52 &amp; ";","")</f>
        <v/>
      </c>
      <c r="BC52" s="58">
        <f>IF(AND($H52="opportunity",$S52=0.7,$R52=0.1),$D52 &amp; ";","")</f>
        <v/>
      </c>
      <c r="BD52" s="58">
        <f>IF(AND($H52="opportunity",$S52=0.7,$R52=0.05),$D52 &amp; ";","")</f>
        <v/>
      </c>
      <c r="BE52" s="58">
        <f>IF(AND($H52="opportunity",$S52=0.5,$R52=0.8),$D52 &amp; ";","")</f>
        <v/>
      </c>
      <c r="BF52" s="58">
        <f>IF(AND($H52="opportunity",$S52=0.5,$R52=0.4),$D52 &amp; ";","")</f>
        <v/>
      </c>
      <c r="BG52" s="58">
        <f>IF(AND($H52="opportunity",$S52=0.5,$R52=0.2),$D52 &amp; ";","")</f>
        <v/>
      </c>
      <c r="BH52" s="58">
        <f>IF(AND($H52="opportunity",$S52=0.5,$R52=0.1),$D52 &amp; ";","")</f>
        <v/>
      </c>
      <c r="BI52" s="58">
        <f>IF(AND($H52="opportunity",$S52=0.5,$R52=0.05),$D52 &amp; ";","")</f>
        <v/>
      </c>
      <c r="BJ52" s="58">
        <f>IF(AND($H52="opportunity",$S52=0.3,$R52=0.8),$D52 &amp; ";","")</f>
        <v/>
      </c>
      <c r="BK52" s="58">
        <f>IF(AND($H52="opportunity",$S52=0.3,$R52=0.4),$D52 &amp; ";","")</f>
        <v/>
      </c>
      <c r="BL52" s="58">
        <f>IF(AND($H52="opportunity",$S52=0.3,$R52=0.2),$D52 &amp; ";","")</f>
        <v/>
      </c>
      <c r="BM52" s="58">
        <f>IF(AND($H52="opportunity",$S52=0.3,$R52=0.1),$D52 &amp; ";","")</f>
        <v/>
      </c>
      <c r="BN52" s="58">
        <f>IF(AND($H52="opportunity",$S52=0.3,$R52=0.05),$D52 &amp; ";","")</f>
        <v/>
      </c>
      <c r="BO52" s="58">
        <f>IF(AND($H52="opportunity",$S52=0.1,$R52=0.8),$D52 &amp; ";","")</f>
        <v/>
      </c>
      <c r="BP52" s="58">
        <f>IF(AND($H52="opportunity",$S52=0.1,$R52=0.4),$D52 &amp; ";","")</f>
        <v/>
      </c>
      <c r="BQ52" s="58">
        <f>IF(AND($H52="opportunity",$S52=0.1,$R52=0.2),$D52 &amp; ";","")</f>
        <v/>
      </c>
      <c r="BR52" s="58">
        <f>IF(AND($H52="opportunity",$S52=0.1,$R52=0.1),$D52 &amp; ";","")</f>
        <v/>
      </c>
      <c r="BS52" s="58">
        <f>IF(AND($H52="opportunity",$S52=0.1,$R52=0.05),$D52 &amp; ";","")</f>
        <v/>
      </c>
      <c r="BV52" s="57">
        <f>INDIRECT(ADDRESS(ROW()-22,COLUMN()-45,1,1,"Risk Register"))</f>
        <v/>
      </c>
      <c r="BW52" s="58">
        <f>INDIRECT(ADDRESS(ROW()-22,COLUMN()-44,1,1,"Risk Register"))</f>
        <v/>
      </c>
      <c r="BX52" s="59">
        <f>IF(AND($H52="threat",$P52&lt;=0.05),"gn",IF(AND($H52="threat",$P52&lt;=0.14),"y",IF(AND($H52="threat", $P52&gt;=0.15),"r",IF(AND($H52="opportunity",$P52&lt;=0.05),"gn",IF(AND($H52="opportunity",$P52&lt;=0.14),"lb",IF(AND($H52="opportunity",$P52&gt;=0.15),"db","z"))))))</f>
        <v/>
      </c>
      <c r="BY52" s="58">
        <f>IF(AND($H52="threat",$BW52=0.9,$BV52=0.05),$D52 &amp; ";","")</f>
        <v/>
      </c>
      <c r="BZ52" s="58">
        <f>IF(AND($H52="threat",$BW52=0.9,$BV52=0.1),$D52 &amp; ";","")</f>
        <v/>
      </c>
      <c r="CA52" s="58">
        <f>IF(AND($H52="threat",$BW52=0.9,$BV52=0.2),$D52 &amp; ";","")</f>
        <v/>
      </c>
      <c r="CB52" s="58">
        <f>IF(AND($H52="threat",$BW52=0.9,$BV52=0.4),$D52 &amp; ";","")</f>
        <v/>
      </c>
      <c r="CC52" s="58">
        <f>IF(AND($H52="threat",$BW52=0.9,$BV52=0.8),$D52 &amp; ";","")</f>
        <v/>
      </c>
      <c r="CD52" s="58">
        <f>IF(AND($H52="threat",$BW52=0.7,$BV52=0.05),$D52 &amp; ";","")</f>
        <v/>
      </c>
      <c r="CE52" s="58">
        <f>IF(AND($H52="threat",$BW52=0.7,$BV52=0.1),$D52 &amp; ";","")</f>
        <v/>
      </c>
      <c r="CF52" s="58">
        <f>IF(AND($H52="threat",$BW52=0.7,$BV52=0.2),$D52 &amp; ";","")</f>
        <v/>
      </c>
      <c r="CG52" s="58">
        <f>IF(AND($H52="threat",$BW52=0.7,$BV52=0.4),$D52 &amp; ";","")</f>
        <v/>
      </c>
      <c r="CH52" s="58">
        <f>IF(AND($H52="threat",$BW52=0.7,$BV52=0.8),$D52 &amp; ";","")</f>
        <v/>
      </c>
      <c r="CI52" s="58">
        <f>IF(AND($H52="threat",$BW52=0.5,$BV52=0.05),$D52 &amp; ";","")</f>
        <v/>
      </c>
      <c r="CJ52" s="58">
        <f>IF(AND($H52="threat",$BW52=0.5,$BV52=0.1),$D52 &amp; ";","")</f>
        <v/>
      </c>
      <c r="CK52" s="58">
        <f>IF(AND($H52="threat",$BW52=0.5,$BV52=0.2),$D52 &amp; ";","")</f>
        <v/>
      </c>
      <c r="CL52" s="58">
        <f>IF(AND($H52="threat",$BW52=0.5,$BV52=0.4),$D52 &amp; ";","")</f>
        <v/>
      </c>
      <c r="CM52" s="58">
        <f>IF(AND($H52="threat",$BW52=0.5,$BV52=0.8),$D52 &amp; ";","")</f>
        <v/>
      </c>
      <c r="CN52" s="58">
        <f>IF(AND($H52="threat",$BW52=0.3,$BV52=0.05),$D52 &amp; ";","")</f>
        <v/>
      </c>
      <c r="CO52" s="58">
        <f>IF(AND($H52="threat",$BW52=0.3,$BV52=0.1),$D52 &amp; ";","")</f>
        <v/>
      </c>
      <c r="CP52" s="58">
        <f>IF(AND($H52="threat",$BW52=0.3,$BV52=0.2),$D52 &amp; ";","")</f>
        <v/>
      </c>
      <c r="CQ52" s="58">
        <f>IF(AND($H52="threat",$BW52=0.3,$BV52=0.4),$D52 &amp; ";","")</f>
        <v/>
      </c>
      <c r="CR52" s="58">
        <f>IF(AND($H52="threat",$BW52=0.3,$BV52=0.8),$D52 &amp; ";","")</f>
        <v/>
      </c>
      <c r="CS52" s="58">
        <f>IF(AND($H52="threat",$BW52=0.1,$BV52=0.05),$D52 &amp; ";","")</f>
        <v/>
      </c>
      <c r="CT52" s="58">
        <f>IF(AND($H52="threat",$BW52=0.1,$BV52=0.1),$D52 &amp; ";","")</f>
        <v/>
      </c>
      <c r="CU52" s="58">
        <f>IF(AND($H52="threat",$BW52=0.1,$BV52=0.2),$D52 &amp; ";","")</f>
        <v/>
      </c>
      <c r="CV52" s="58">
        <f>IF(AND($H52="threat",$BW52=0.1,$BV52=0.4),$D52 &amp; ";","")</f>
        <v/>
      </c>
      <c r="CW52" s="58">
        <f>IF(AND($H52="threat",$BW52=0.1,$BV52=0.8),$D52 &amp; ";","")</f>
        <v/>
      </c>
      <c r="CX52" s="39" t="n"/>
      <c r="CY52" s="58">
        <f>IF(AND($H52="opportunity",$BW52=0.9,$BV52=0.8),$D52 &amp; ";","")</f>
        <v/>
      </c>
      <c r="CZ52" s="58">
        <f>IF(AND($H52="opportunity",$BW52=0.9,$BV52=0.4),$D52 &amp; ";","")</f>
        <v/>
      </c>
      <c r="DA52" s="58">
        <f>IF(AND($H52="opportunity",$BW52=0.9,$BV52=0.2),$D52 &amp; ";","")</f>
        <v/>
      </c>
      <c r="DB52" s="58">
        <f>IF(AND($H52="opportunity",$BW52=0.9,$BV52=0.1),$D52 &amp; ";","")</f>
        <v/>
      </c>
      <c r="DC52" s="58">
        <f>IF(AND($H52="opportunity",$BW52=0.9,$BV52=0.05),$D52 &amp; ";","")</f>
        <v/>
      </c>
      <c r="DD52" s="58">
        <f>IF(AND($H52="opportunity",$BW52=0.7,$BV52=0.8),$D52 &amp; ";","")</f>
        <v/>
      </c>
      <c r="DE52" s="58">
        <f>IF(AND($H52="opportunity",$BW52=0.7,$BV52=0.4),$D52 &amp; ";","")</f>
        <v/>
      </c>
      <c r="DF52" s="58">
        <f>IF(AND($H52="opportunity",$BW52=0.7,$BV52=0.2),$D52 &amp; ";","")</f>
        <v/>
      </c>
      <c r="DG52" s="58">
        <f>IF(AND($H52="opportunity",$BW52=0.7,$BV52=0.1),$D52 &amp; ";","")</f>
        <v/>
      </c>
      <c r="DH52" s="58">
        <f>IF(AND($H52="opportunity",$BW52=0.7,$BV52=0.05),$D52 &amp; ";","")</f>
        <v/>
      </c>
      <c r="DI52" s="58">
        <f>IF(AND($H52="opportunity",$BW52=0.5,$BV52=0.8),$D52 &amp; ";","")</f>
        <v/>
      </c>
      <c r="DJ52" s="58">
        <f>IF(AND($H52="opportunity",$BW52=0.5,$BV52=0.4),$D52 &amp; ";","")</f>
        <v/>
      </c>
      <c r="DK52" s="58">
        <f>IF(AND($H52="opportunity",$BW52=0.5,$BV52=0.2),$D52 &amp; ";","")</f>
        <v/>
      </c>
      <c r="DL52" s="58">
        <f>IF(AND($H52="opportunity",$BW52=0.5,$BV52=0.1),$D52 &amp; ";","")</f>
        <v/>
      </c>
      <c r="DM52" s="58">
        <f>IF(AND($H52="opportunity",$BW52=0.5,$BV52=0.05),$D52 &amp; ";","")</f>
        <v/>
      </c>
      <c r="DN52" s="58">
        <f>IF(AND($H52="opportunity",$BW52=0.3,$BV52=0.8),$D52 &amp; ";","")</f>
        <v/>
      </c>
      <c r="DO52" s="58">
        <f>IF(AND($H52="opportunity",$BW52=0.3,$BV52=0.4),$D52 &amp; ";","")</f>
        <v/>
      </c>
      <c r="DP52" s="58">
        <f>IF(AND($H52="opportunity",$BW52=0.3,$BV52=0.2),$D52 &amp; ";","")</f>
        <v/>
      </c>
      <c r="DQ52" s="58">
        <f>IF(AND($H52="opportunity",$BW52=0.3,$BV52=0.1),$D52 &amp; ";","")</f>
        <v/>
      </c>
      <c r="DR52" s="58">
        <f>IF(AND($H52="opportunity",$BW52=0.3,$BV52=0.05),$D52 &amp; ";","")</f>
        <v/>
      </c>
      <c r="DS52" s="58">
        <f>IF(AND($H52="opportunity",$BW52=0.1,$BV52=0.8),$D52 &amp; ";","")</f>
        <v/>
      </c>
      <c r="DT52" s="58">
        <f>IF(AND($H52="opportunity",$BW52=0.1,$BV52=0.4),$D52 &amp; ";","")</f>
        <v/>
      </c>
      <c r="DU52" s="58">
        <f>IF(AND($H52="opportunity",$BW52=0.1,$BV52=0.2),$D52 &amp; ";","")</f>
        <v/>
      </c>
      <c r="DV52" s="58">
        <f>IF(AND($H52="opportunity",$BW52=0.1,$BV52=0.1),$D52 &amp; ";","")</f>
        <v/>
      </c>
      <c r="DW52" s="58">
        <f>IF(AND($H52="opportunity",$BW52=0.1,$BV52=0.05),$D52 &amp; ";","")</f>
        <v/>
      </c>
    </row>
    <row r="53">
      <c r="D53" s="60">
        <f>INDIRECT(ADDRESS(ROW()-22,COLUMN()-2,1,1,"Risk Register"))</f>
        <v/>
      </c>
      <c r="E53" s="143">
        <f>INDIRECT(ADDRESS(ROW()-22,COLUMN()-1,1,1,"Risk Register"))</f>
        <v/>
      </c>
      <c r="G53" s="56">
        <f>INDIRECT(ADDRESS(ROW()-22,COLUMN()+10,1,1,"Risk Register"))</f>
        <v/>
      </c>
      <c r="H53" s="60">
        <f>INDIRECT(ADDRESS(ROW()-22,COLUMN()+8,1,1,"Risk Register"))</f>
        <v/>
      </c>
      <c r="I53" s="54">
        <f>INDIRECT(ADDRESS(ROW()-22,COLUMN()+3,1,1,"Risk Register"))</f>
        <v/>
      </c>
      <c r="J53" s="143">
        <f>INDIRECT(ADDRESS(ROW()-22,COLUMN()+12,1,1,"Risk Register"))</f>
        <v/>
      </c>
      <c r="K53" s="143">
        <f>INDIRECT(ADDRESS(ROW()-22,COLUMN()-2,1,1,"Risk Register"))</f>
        <v/>
      </c>
      <c r="L53" s="176">
        <f>INDIRECT(ADDRESS(ROW()-22,COLUMN()+15,1,1,"Risk Register"))</f>
        <v/>
      </c>
      <c r="M53" s="54">
        <f>INDIRECT(ADDRESS(ROW()-22,COLUMN()+13,1,1,"Risk Register"))</f>
        <v/>
      </c>
      <c r="N53" s="143">
        <f>INDIRECT(ADDRESS(ROW()-22,COLUMN()-9,1,1,"Risk Register"))</f>
        <v/>
      </c>
      <c r="O53" s="143">
        <f>INDIRECT(ADDRESS(ROW()-22,COLUMN()-8,1,1,"Risk Register"))</f>
        <v/>
      </c>
      <c r="P53" s="56">
        <f>INDIRECT(ADDRESS(ROW()-22,COLUMN()+18,1,1,"Risk Register"))</f>
        <v/>
      </c>
      <c r="R53" s="57">
        <f>INDIRECT(ADDRESS(ROW()-22,COLUMN()-5,1,1,"Risk Register"))</f>
        <v/>
      </c>
      <c r="S53" s="58">
        <f>INDIRECT(ADDRESS(ROW()-22,COLUMN()-4,1,1,"Risk Register"))</f>
        <v/>
      </c>
      <c r="T53" s="59">
        <f>IF(AND($H53="threat",$G53&lt;=0.05),"gn",IF(AND($H53="threat",$G53&lt;=0.14),"y",IF(AND($H53="threat", $G53&gt;=0.15),"r",IF(AND($H53="opportunity",$G53&lt;=0.05),"gn",IF(AND($H53="opportunity",$G53&lt;=0.14),"lb",IF(AND($H53="opportunity",$G53&gt;=0.15),"db","z"))))))</f>
        <v/>
      </c>
      <c r="U53" s="58">
        <f>IF(AND($H53="threat",$S53=0.9,$R53=0.05),$D53 &amp; ";","")</f>
        <v/>
      </c>
      <c r="V53" s="58">
        <f>IF(AND($H53="threat",$S53=0.9,$R53=0.1),$D53 &amp; ";","")</f>
        <v/>
      </c>
      <c r="W53" s="58">
        <f>IF(AND($H53="threat",$S53=0.9,$R53=0.2),$D53 &amp; ";","")</f>
        <v/>
      </c>
      <c r="X53" s="58">
        <f>IF(AND($H53="threat",$S53=0.9,$R53=0.4),$D53 &amp; ";","")</f>
        <v/>
      </c>
      <c r="Y53" s="58">
        <f>IF(AND($H53="threat",$S53=0.9,$R53=0.8),$D53 &amp; ";","")</f>
        <v/>
      </c>
      <c r="Z53" s="58">
        <f>IF(AND($H53="threat",$S53=0.7,$R53=0.05),$D53 &amp; ";","")</f>
        <v/>
      </c>
      <c r="AA53" s="58">
        <f>IF(AND($H53="threat",$S53=0.7,$R53=0.1),$D53 &amp; ";","")</f>
        <v/>
      </c>
      <c r="AB53" s="58">
        <f>IF(AND($H53="threat",$S53=0.7,$R53=0.2),$D53 &amp; ";","")</f>
        <v/>
      </c>
      <c r="AC53" s="58">
        <f>IF(AND($H53="threat",$S53=0.7,$R53=0.4),$D53 &amp; ";","")</f>
        <v/>
      </c>
      <c r="AD53" s="58">
        <f>IF(AND($H53="threat",$S53=0.7,$R53=0.8),$D53 &amp; ";","")</f>
        <v/>
      </c>
      <c r="AE53" s="58">
        <f>IF(AND($H53="threat",$S53=0.5,$R53=0.05),$D53 &amp; ";","")</f>
        <v/>
      </c>
      <c r="AF53" s="58">
        <f>IF(AND($H53="threat",$S53=0.5,$R53=0.1),$D53 &amp; ";","")</f>
        <v/>
      </c>
      <c r="AG53" s="58">
        <f>IF(AND($H53="threat",$S53=0.5,$R53=0.2),$D53 &amp; ";","")</f>
        <v/>
      </c>
      <c r="AH53" s="58">
        <f>IF(AND($H53="threat",$S53=0.5,$R53=0.4),$D53 &amp; ";","")</f>
        <v/>
      </c>
      <c r="AI53" s="58">
        <f>IF(AND($H53="threat",$S53=0.5,$R53=0.8),$D53 &amp; ";","")</f>
        <v/>
      </c>
      <c r="AJ53" s="58">
        <f>IF(AND($H53="threat",$S53=0.3,$R53=0.05),$D53 &amp; ";","")</f>
        <v/>
      </c>
      <c r="AK53" s="58">
        <f>IF(AND($H53="threat",$S53=0.3,$R53=0.1),$D53 &amp; ";","")</f>
        <v/>
      </c>
      <c r="AL53" s="58">
        <f>IF(AND($H53="threat",$S53=0.3,$R53=0.2),$D53 &amp; ";","")</f>
        <v/>
      </c>
      <c r="AM53" s="58">
        <f>IF(AND($H53="threat",$S53=0.3,$R53=0.4),$D53 &amp; ";","")</f>
        <v/>
      </c>
      <c r="AN53" s="58">
        <f>IF(AND($H53="threat",$S53=0.3,$R53=0.8),$D53 &amp; ";","")</f>
        <v/>
      </c>
      <c r="AO53" s="58">
        <f>IF(AND($H53="threat",$S53=0.1,$R53=0.05),$D53 &amp; ";","")</f>
        <v/>
      </c>
      <c r="AP53" s="58">
        <f>IF(AND($H53="threat",$S53=0.1,$R53=0.1),$D53 &amp; ";","")</f>
        <v/>
      </c>
      <c r="AQ53" s="58">
        <f>IF(AND($H53="threat",$S53=0.1,$R53=0.2),$D53 &amp; ";","")</f>
        <v/>
      </c>
      <c r="AR53" s="58">
        <f>IF(AND($H53="threat",$S53=0.1,$R53=0.4),$D53 &amp; ";","")</f>
        <v/>
      </c>
      <c r="AS53" s="58">
        <f>IF(AND($H53="threat",$S53=0.1,$R53=0.8),$D53 &amp; ";","")</f>
        <v/>
      </c>
      <c r="AT53" s="39" t="n"/>
      <c r="AU53" s="58">
        <f>IF(AND($H53="opportunity",$S53=0.9,$R53=0.8),$D53 &amp; ";","")</f>
        <v/>
      </c>
      <c r="AV53" s="58">
        <f>IF(AND($H53="opportunity",$S53=0.9,$R53=0.4),$D53 &amp; ";","")</f>
        <v/>
      </c>
      <c r="AW53" s="58">
        <f>IF(AND($H53="opportunity",$S53=0.9,$R53=0.2),$D53 &amp; ";","")</f>
        <v/>
      </c>
      <c r="AX53" s="58">
        <f>IF(AND($H53="opportunity",$S53=0.9,$R53=0.1),$D53 &amp; ";","")</f>
        <v/>
      </c>
      <c r="AY53" s="58">
        <f>IF(AND($H53="opportunity",$S53=0.9,$R53=0.05),$D53 &amp; ";","")</f>
        <v/>
      </c>
      <c r="AZ53" s="58">
        <f>IF(AND($H53="opportunity",$S53=0.7,$R53=0.8),$D53 &amp; ";","")</f>
        <v/>
      </c>
      <c r="BA53" s="58">
        <f>IF(AND($H53="opportunity",$S53=0.7,$R53=0.4),$D53 &amp; ";","")</f>
        <v/>
      </c>
      <c r="BB53" s="58">
        <f>IF(AND($H53="opportunity",$S53=0.7,$R53=0.2),$D53 &amp; ";","")</f>
        <v/>
      </c>
      <c r="BC53" s="58">
        <f>IF(AND($H53="opportunity",$S53=0.7,$R53=0.1),$D53 &amp; ";","")</f>
        <v/>
      </c>
      <c r="BD53" s="58">
        <f>IF(AND($H53="opportunity",$S53=0.7,$R53=0.05),$D53 &amp; ";","")</f>
        <v/>
      </c>
      <c r="BE53" s="58">
        <f>IF(AND($H53="opportunity",$S53=0.5,$R53=0.8),$D53 &amp; ";","")</f>
        <v/>
      </c>
      <c r="BF53" s="58">
        <f>IF(AND($H53="opportunity",$S53=0.5,$R53=0.4),$D53 &amp; ";","")</f>
        <v/>
      </c>
      <c r="BG53" s="58">
        <f>IF(AND($H53="opportunity",$S53=0.5,$R53=0.2),$D53 &amp; ";","")</f>
        <v/>
      </c>
      <c r="BH53" s="58">
        <f>IF(AND($H53="opportunity",$S53=0.5,$R53=0.1),$D53 &amp; ";","")</f>
        <v/>
      </c>
      <c r="BI53" s="58">
        <f>IF(AND($H53="opportunity",$S53=0.5,$R53=0.05),$D53 &amp; ";","")</f>
        <v/>
      </c>
      <c r="BJ53" s="58">
        <f>IF(AND($H53="opportunity",$S53=0.3,$R53=0.8),$D53 &amp; ";","")</f>
        <v/>
      </c>
      <c r="BK53" s="58">
        <f>IF(AND($H53="opportunity",$S53=0.3,$R53=0.4),$D53 &amp; ";","")</f>
        <v/>
      </c>
      <c r="BL53" s="58">
        <f>IF(AND($H53="opportunity",$S53=0.3,$R53=0.2),$D53 &amp; ";","")</f>
        <v/>
      </c>
      <c r="BM53" s="58">
        <f>IF(AND($H53="opportunity",$S53=0.3,$R53=0.1),$D53 &amp; ";","")</f>
        <v/>
      </c>
      <c r="BN53" s="58">
        <f>IF(AND($H53="opportunity",$S53=0.3,$R53=0.05),$D53 &amp; ";","")</f>
        <v/>
      </c>
      <c r="BO53" s="58">
        <f>IF(AND($H53="opportunity",$S53=0.1,$R53=0.8),$D53 &amp; ";","")</f>
        <v/>
      </c>
      <c r="BP53" s="58">
        <f>IF(AND($H53="opportunity",$S53=0.1,$R53=0.4),$D53 &amp; ";","")</f>
        <v/>
      </c>
      <c r="BQ53" s="58">
        <f>IF(AND($H53="opportunity",$S53=0.1,$R53=0.2),$D53 &amp; ";","")</f>
        <v/>
      </c>
      <c r="BR53" s="58">
        <f>IF(AND($H53="opportunity",$S53=0.1,$R53=0.1),$D53 &amp; ";","")</f>
        <v/>
      </c>
      <c r="BS53" s="58">
        <f>IF(AND($H53="opportunity",$S53=0.1,$R53=0.05),$D53 &amp; ";","")</f>
        <v/>
      </c>
      <c r="BV53" s="57">
        <f>INDIRECT(ADDRESS(ROW()-22,COLUMN()-45,1,1,"Risk Register"))</f>
        <v/>
      </c>
      <c r="BW53" s="58">
        <f>INDIRECT(ADDRESS(ROW()-22,COLUMN()-44,1,1,"Risk Register"))</f>
        <v/>
      </c>
      <c r="BX53" s="59">
        <f>IF(AND($H53="threat",$P53&lt;=0.05),"gn",IF(AND($H53="threat",$P53&lt;=0.14),"y",IF(AND($H53="threat", $P53&gt;=0.15),"r",IF(AND($H53="opportunity",$P53&lt;=0.05),"gn",IF(AND($H53="opportunity",$P53&lt;=0.14),"lb",IF(AND($H53="opportunity",$P53&gt;=0.15),"db","z"))))))</f>
        <v/>
      </c>
      <c r="BY53" s="58">
        <f>IF(AND($H53="threat",$BW53=0.9,$BV53=0.05),$D53 &amp; ";","")</f>
        <v/>
      </c>
      <c r="BZ53" s="58">
        <f>IF(AND($H53="threat",$BW53=0.9,$BV53=0.1),$D53 &amp; ";","")</f>
        <v/>
      </c>
      <c r="CA53" s="58">
        <f>IF(AND($H53="threat",$BW53=0.9,$BV53=0.2),$D53 &amp; ";","")</f>
        <v/>
      </c>
      <c r="CB53" s="58">
        <f>IF(AND($H53="threat",$BW53=0.9,$BV53=0.4),$D53 &amp; ";","")</f>
        <v/>
      </c>
      <c r="CC53" s="58">
        <f>IF(AND($H53="threat",$BW53=0.9,$BV53=0.8),$D53 &amp; ";","")</f>
        <v/>
      </c>
      <c r="CD53" s="58">
        <f>IF(AND($H53="threat",$BW53=0.7,$BV53=0.05),$D53 &amp; ";","")</f>
        <v/>
      </c>
      <c r="CE53" s="58">
        <f>IF(AND($H53="threat",$BW53=0.7,$BV53=0.1),$D53 &amp; ";","")</f>
        <v/>
      </c>
      <c r="CF53" s="58">
        <f>IF(AND($H53="threat",$BW53=0.7,$BV53=0.2),$D53 &amp; ";","")</f>
        <v/>
      </c>
      <c r="CG53" s="58">
        <f>IF(AND($H53="threat",$BW53=0.7,$BV53=0.4),$D53 &amp; ";","")</f>
        <v/>
      </c>
      <c r="CH53" s="58">
        <f>IF(AND($H53="threat",$BW53=0.7,$BV53=0.8),$D53 &amp; ";","")</f>
        <v/>
      </c>
      <c r="CI53" s="58">
        <f>IF(AND($H53="threat",$BW53=0.5,$BV53=0.05),$D53 &amp; ";","")</f>
        <v/>
      </c>
      <c r="CJ53" s="58">
        <f>IF(AND($H53="threat",$BW53=0.5,$BV53=0.1),$D53 &amp; ";","")</f>
        <v/>
      </c>
      <c r="CK53" s="58">
        <f>IF(AND($H53="threat",$BW53=0.5,$BV53=0.2),$D53 &amp; ";","")</f>
        <v/>
      </c>
      <c r="CL53" s="58">
        <f>IF(AND($H53="threat",$BW53=0.5,$BV53=0.4),$D53 &amp; ";","")</f>
        <v/>
      </c>
      <c r="CM53" s="58">
        <f>IF(AND($H53="threat",$BW53=0.5,$BV53=0.8),$D53 &amp; ";","")</f>
        <v/>
      </c>
      <c r="CN53" s="58">
        <f>IF(AND($H53="threat",$BW53=0.3,$BV53=0.05),$D53 &amp; ";","")</f>
        <v/>
      </c>
      <c r="CO53" s="58">
        <f>IF(AND($H53="threat",$BW53=0.3,$BV53=0.1),$D53 &amp; ";","")</f>
        <v/>
      </c>
      <c r="CP53" s="58">
        <f>IF(AND($H53="threat",$BW53=0.3,$BV53=0.2),$D53 &amp; ";","")</f>
        <v/>
      </c>
      <c r="CQ53" s="58">
        <f>IF(AND($H53="threat",$BW53=0.3,$BV53=0.4),$D53 &amp; ";","")</f>
        <v/>
      </c>
      <c r="CR53" s="58">
        <f>IF(AND($H53="threat",$BW53=0.3,$BV53=0.8),$D53 &amp; ";","")</f>
        <v/>
      </c>
      <c r="CS53" s="58">
        <f>IF(AND($H53="threat",$BW53=0.1,$BV53=0.05),$D53 &amp; ";","")</f>
        <v/>
      </c>
      <c r="CT53" s="58">
        <f>IF(AND($H53="threat",$BW53=0.1,$BV53=0.1),$D53 &amp; ";","")</f>
        <v/>
      </c>
      <c r="CU53" s="58">
        <f>IF(AND($H53="threat",$BW53=0.1,$BV53=0.2),$D53 &amp; ";","")</f>
        <v/>
      </c>
      <c r="CV53" s="58">
        <f>IF(AND($H53="threat",$BW53=0.1,$BV53=0.4),$D53 &amp; ";","")</f>
        <v/>
      </c>
      <c r="CW53" s="58">
        <f>IF(AND($H53="threat",$BW53=0.1,$BV53=0.8),$D53 &amp; ";","")</f>
        <v/>
      </c>
      <c r="CX53" s="39" t="n"/>
      <c r="CY53" s="58">
        <f>IF(AND($H53="opportunity",$BW53=0.9,$BV53=0.8),$D53 &amp; ";","")</f>
        <v/>
      </c>
      <c r="CZ53" s="58">
        <f>IF(AND($H53="opportunity",$BW53=0.9,$BV53=0.4),$D53 &amp; ";","")</f>
        <v/>
      </c>
      <c r="DA53" s="58">
        <f>IF(AND($H53="opportunity",$BW53=0.9,$BV53=0.2),$D53 &amp; ";","")</f>
        <v/>
      </c>
      <c r="DB53" s="58">
        <f>IF(AND($H53="opportunity",$BW53=0.9,$BV53=0.1),$D53 &amp; ";","")</f>
        <v/>
      </c>
      <c r="DC53" s="58">
        <f>IF(AND($H53="opportunity",$BW53=0.9,$BV53=0.05),$D53 &amp; ";","")</f>
        <v/>
      </c>
      <c r="DD53" s="58">
        <f>IF(AND($H53="opportunity",$BW53=0.7,$BV53=0.8),$D53 &amp; ";","")</f>
        <v/>
      </c>
      <c r="DE53" s="58">
        <f>IF(AND($H53="opportunity",$BW53=0.7,$BV53=0.4),$D53 &amp; ";","")</f>
        <v/>
      </c>
      <c r="DF53" s="58">
        <f>IF(AND($H53="opportunity",$BW53=0.7,$BV53=0.2),$D53 &amp; ";","")</f>
        <v/>
      </c>
      <c r="DG53" s="58">
        <f>IF(AND($H53="opportunity",$BW53=0.7,$BV53=0.1),$D53 &amp; ";","")</f>
        <v/>
      </c>
      <c r="DH53" s="58">
        <f>IF(AND($H53="opportunity",$BW53=0.7,$BV53=0.05),$D53 &amp; ";","")</f>
        <v/>
      </c>
      <c r="DI53" s="58">
        <f>IF(AND($H53="opportunity",$BW53=0.5,$BV53=0.8),$D53 &amp; ";","")</f>
        <v/>
      </c>
      <c r="DJ53" s="58">
        <f>IF(AND($H53="opportunity",$BW53=0.5,$BV53=0.4),$D53 &amp; ";","")</f>
        <v/>
      </c>
      <c r="DK53" s="58">
        <f>IF(AND($H53="opportunity",$BW53=0.5,$BV53=0.2),$D53 &amp; ";","")</f>
        <v/>
      </c>
      <c r="DL53" s="58">
        <f>IF(AND($H53="opportunity",$BW53=0.5,$BV53=0.1),$D53 &amp; ";","")</f>
        <v/>
      </c>
      <c r="DM53" s="58">
        <f>IF(AND($H53="opportunity",$BW53=0.5,$BV53=0.05),$D53 &amp; ";","")</f>
        <v/>
      </c>
      <c r="DN53" s="58">
        <f>IF(AND($H53="opportunity",$BW53=0.3,$BV53=0.8),$D53 &amp; ";","")</f>
        <v/>
      </c>
      <c r="DO53" s="58">
        <f>IF(AND($H53="opportunity",$BW53=0.3,$BV53=0.4),$D53 &amp; ";","")</f>
        <v/>
      </c>
      <c r="DP53" s="58">
        <f>IF(AND($H53="opportunity",$BW53=0.3,$BV53=0.2),$D53 &amp; ";","")</f>
        <v/>
      </c>
      <c r="DQ53" s="58">
        <f>IF(AND($H53="opportunity",$BW53=0.3,$BV53=0.1),$D53 &amp; ";","")</f>
        <v/>
      </c>
      <c r="DR53" s="58">
        <f>IF(AND($H53="opportunity",$BW53=0.3,$BV53=0.05),$D53 &amp; ";","")</f>
        <v/>
      </c>
      <c r="DS53" s="58">
        <f>IF(AND($H53="opportunity",$BW53=0.1,$BV53=0.8),$D53 &amp; ";","")</f>
        <v/>
      </c>
      <c r="DT53" s="58">
        <f>IF(AND($H53="opportunity",$BW53=0.1,$BV53=0.4),$D53 &amp; ";","")</f>
        <v/>
      </c>
      <c r="DU53" s="58">
        <f>IF(AND($H53="opportunity",$BW53=0.1,$BV53=0.2),$D53 &amp; ";","")</f>
        <v/>
      </c>
      <c r="DV53" s="58">
        <f>IF(AND($H53="opportunity",$BW53=0.1,$BV53=0.1),$D53 &amp; ";","")</f>
        <v/>
      </c>
      <c r="DW53" s="58">
        <f>IF(AND($H53="opportunity",$BW53=0.1,$BV53=0.05),$D53 &amp; ";","")</f>
        <v/>
      </c>
    </row>
    <row r="54">
      <c r="D54" s="60">
        <f>INDIRECT(ADDRESS(ROW()-22,COLUMN()-2,1,1,"Risk Register"))</f>
        <v/>
      </c>
      <c r="E54" s="143">
        <f>INDIRECT(ADDRESS(ROW()-22,COLUMN()-1,1,1,"Risk Register"))</f>
        <v/>
      </c>
      <c r="G54" s="56">
        <f>INDIRECT(ADDRESS(ROW()-22,COLUMN()+10,1,1,"Risk Register"))</f>
        <v/>
      </c>
      <c r="H54" s="60">
        <f>INDIRECT(ADDRESS(ROW()-22,COLUMN()+8,1,1,"Risk Register"))</f>
        <v/>
      </c>
      <c r="I54" s="54">
        <f>INDIRECT(ADDRESS(ROW()-22,COLUMN()+3,1,1,"Risk Register"))</f>
        <v/>
      </c>
      <c r="J54" s="143">
        <f>INDIRECT(ADDRESS(ROW()-22,COLUMN()+12,1,1,"Risk Register"))</f>
        <v/>
      </c>
      <c r="K54" s="143">
        <f>INDIRECT(ADDRESS(ROW()-22,COLUMN()-2,1,1,"Risk Register"))</f>
        <v/>
      </c>
      <c r="L54" s="176">
        <f>INDIRECT(ADDRESS(ROW()-22,COLUMN()+15,1,1,"Risk Register"))</f>
        <v/>
      </c>
      <c r="M54" s="54">
        <f>INDIRECT(ADDRESS(ROW()-22,COLUMN()+13,1,1,"Risk Register"))</f>
        <v/>
      </c>
      <c r="N54" s="143">
        <f>INDIRECT(ADDRESS(ROW()-22,COLUMN()-9,1,1,"Risk Register"))</f>
        <v/>
      </c>
      <c r="O54" s="143">
        <f>INDIRECT(ADDRESS(ROW()-22,COLUMN()-8,1,1,"Risk Register"))</f>
        <v/>
      </c>
      <c r="P54" s="56">
        <f>INDIRECT(ADDRESS(ROW()-22,COLUMN()+18,1,1,"Risk Register"))</f>
        <v/>
      </c>
      <c r="R54" s="57">
        <f>INDIRECT(ADDRESS(ROW()-22,COLUMN()-5,1,1,"Risk Register"))</f>
        <v/>
      </c>
      <c r="S54" s="58">
        <f>INDIRECT(ADDRESS(ROW()-22,COLUMN()-4,1,1,"Risk Register"))</f>
        <v/>
      </c>
      <c r="T54" s="59">
        <f>IF(AND($H54="threat",$G54&lt;=0.05),"gn",IF(AND($H54="threat",$G54&lt;=0.14),"y",IF(AND($H54="threat", $G54&gt;=0.15),"r",IF(AND($H54="opportunity",$G54&lt;=0.05),"gn",IF(AND($H54="opportunity",$G54&lt;=0.14),"lb",IF(AND($H54="opportunity",$G54&gt;=0.15),"db","z"))))))</f>
        <v/>
      </c>
      <c r="U54" s="58">
        <f>IF(AND($H54="threat",$S54=0.9,$R54=0.05),$D54 &amp; ";","")</f>
        <v/>
      </c>
      <c r="V54" s="58">
        <f>IF(AND($H54="threat",$S54=0.9,$R54=0.1),$D54 &amp; ";","")</f>
        <v/>
      </c>
      <c r="W54" s="58">
        <f>IF(AND($H54="threat",$S54=0.9,$R54=0.2),$D54 &amp; ";","")</f>
        <v/>
      </c>
      <c r="X54" s="58">
        <f>IF(AND($H54="threat",$S54=0.9,$R54=0.4),$D54 &amp; ";","")</f>
        <v/>
      </c>
      <c r="Y54" s="58">
        <f>IF(AND($H54="threat",$S54=0.9,$R54=0.8),$D54 &amp; ";","")</f>
        <v/>
      </c>
      <c r="Z54" s="58">
        <f>IF(AND($H54="threat",$S54=0.7,$R54=0.05),$D54 &amp; ";","")</f>
        <v/>
      </c>
      <c r="AA54" s="58">
        <f>IF(AND($H54="threat",$S54=0.7,$R54=0.1),$D54 &amp; ";","")</f>
        <v/>
      </c>
      <c r="AB54" s="58">
        <f>IF(AND($H54="threat",$S54=0.7,$R54=0.2),$D54 &amp; ";","")</f>
        <v/>
      </c>
      <c r="AC54" s="58">
        <f>IF(AND($H54="threat",$S54=0.7,$R54=0.4),$D54 &amp; ";","")</f>
        <v/>
      </c>
      <c r="AD54" s="58">
        <f>IF(AND($H54="threat",$S54=0.7,$R54=0.8),$D54 &amp; ";","")</f>
        <v/>
      </c>
      <c r="AE54" s="58">
        <f>IF(AND($H54="threat",$S54=0.5,$R54=0.05),$D54 &amp; ";","")</f>
        <v/>
      </c>
      <c r="AF54" s="58">
        <f>IF(AND($H54="threat",$S54=0.5,$R54=0.1),$D54 &amp; ";","")</f>
        <v/>
      </c>
      <c r="AG54" s="58">
        <f>IF(AND($H54="threat",$S54=0.5,$R54=0.2),$D54 &amp; ";","")</f>
        <v/>
      </c>
      <c r="AH54" s="58">
        <f>IF(AND($H54="threat",$S54=0.5,$R54=0.4),$D54 &amp; ";","")</f>
        <v/>
      </c>
      <c r="AI54" s="58">
        <f>IF(AND($H54="threat",$S54=0.5,$R54=0.8),$D54 &amp; ";","")</f>
        <v/>
      </c>
      <c r="AJ54" s="58">
        <f>IF(AND($H54="threat",$S54=0.3,$R54=0.05),$D54 &amp; ";","")</f>
        <v/>
      </c>
      <c r="AK54" s="58">
        <f>IF(AND($H54="threat",$S54=0.3,$R54=0.1),$D54 &amp; ";","")</f>
        <v/>
      </c>
      <c r="AL54" s="58">
        <f>IF(AND($H54="threat",$S54=0.3,$R54=0.2),$D54 &amp; ";","")</f>
        <v/>
      </c>
      <c r="AM54" s="58">
        <f>IF(AND($H54="threat",$S54=0.3,$R54=0.4),$D54 &amp; ";","")</f>
        <v/>
      </c>
      <c r="AN54" s="58">
        <f>IF(AND($H54="threat",$S54=0.3,$R54=0.8),$D54 &amp; ";","")</f>
        <v/>
      </c>
      <c r="AO54" s="58">
        <f>IF(AND($H54="threat",$S54=0.1,$R54=0.05),$D54 &amp; ";","")</f>
        <v/>
      </c>
      <c r="AP54" s="58">
        <f>IF(AND($H54="threat",$S54=0.1,$R54=0.1),$D54 &amp; ";","")</f>
        <v/>
      </c>
      <c r="AQ54" s="58">
        <f>IF(AND($H54="threat",$S54=0.1,$R54=0.2),$D54 &amp; ";","")</f>
        <v/>
      </c>
      <c r="AR54" s="58">
        <f>IF(AND($H54="threat",$S54=0.1,$R54=0.4),$D54 &amp; ";","")</f>
        <v/>
      </c>
      <c r="AS54" s="58">
        <f>IF(AND($H54="threat",$S54=0.1,$R54=0.8),$D54 &amp; ";","")</f>
        <v/>
      </c>
      <c r="AT54" s="39" t="n"/>
      <c r="AU54" s="58">
        <f>IF(AND($H54="opportunity",$S54=0.9,$R54=0.8),$D54 &amp; ";","")</f>
        <v/>
      </c>
      <c r="AV54" s="58">
        <f>IF(AND($H54="opportunity",$S54=0.9,$R54=0.4),$D54 &amp; ";","")</f>
        <v/>
      </c>
      <c r="AW54" s="58">
        <f>IF(AND($H54="opportunity",$S54=0.9,$R54=0.2),$D54 &amp; ";","")</f>
        <v/>
      </c>
      <c r="AX54" s="58">
        <f>IF(AND($H54="opportunity",$S54=0.9,$R54=0.1),$D54 &amp; ";","")</f>
        <v/>
      </c>
      <c r="AY54" s="58">
        <f>IF(AND($H54="opportunity",$S54=0.9,$R54=0.05),$D54 &amp; ";","")</f>
        <v/>
      </c>
      <c r="AZ54" s="58">
        <f>IF(AND($H54="opportunity",$S54=0.7,$R54=0.8),$D54 &amp; ";","")</f>
        <v/>
      </c>
      <c r="BA54" s="58">
        <f>IF(AND($H54="opportunity",$S54=0.7,$R54=0.4),$D54 &amp; ";","")</f>
        <v/>
      </c>
      <c r="BB54" s="58">
        <f>IF(AND($H54="opportunity",$S54=0.7,$R54=0.2),$D54 &amp; ";","")</f>
        <v/>
      </c>
      <c r="BC54" s="58">
        <f>IF(AND($H54="opportunity",$S54=0.7,$R54=0.1),$D54 &amp; ";","")</f>
        <v/>
      </c>
      <c r="BD54" s="58">
        <f>IF(AND($H54="opportunity",$S54=0.7,$R54=0.05),$D54 &amp; ";","")</f>
        <v/>
      </c>
      <c r="BE54" s="58">
        <f>IF(AND($H54="opportunity",$S54=0.5,$R54=0.8),$D54 &amp; ";","")</f>
        <v/>
      </c>
      <c r="BF54" s="58">
        <f>IF(AND($H54="opportunity",$S54=0.5,$R54=0.4),$D54 &amp; ";","")</f>
        <v/>
      </c>
      <c r="BG54" s="58">
        <f>IF(AND($H54="opportunity",$S54=0.5,$R54=0.2),$D54 &amp; ";","")</f>
        <v/>
      </c>
      <c r="BH54" s="58">
        <f>IF(AND($H54="opportunity",$S54=0.5,$R54=0.1),$D54 &amp; ";","")</f>
        <v/>
      </c>
      <c r="BI54" s="58">
        <f>IF(AND($H54="opportunity",$S54=0.5,$R54=0.05),$D54 &amp; ";","")</f>
        <v/>
      </c>
      <c r="BJ54" s="58">
        <f>IF(AND($H54="opportunity",$S54=0.3,$R54=0.8),$D54 &amp; ";","")</f>
        <v/>
      </c>
      <c r="BK54" s="58">
        <f>IF(AND($H54="opportunity",$S54=0.3,$R54=0.4),$D54 &amp; ";","")</f>
        <v/>
      </c>
      <c r="BL54" s="58">
        <f>IF(AND($H54="opportunity",$S54=0.3,$R54=0.2),$D54 &amp; ";","")</f>
        <v/>
      </c>
      <c r="BM54" s="58">
        <f>IF(AND($H54="opportunity",$S54=0.3,$R54=0.1),$D54 &amp; ";","")</f>
        <v/>
      </c>
      <c r="BN54" s="58">
        <f>IF(AND($H54="opportunity",$S54=0.3,$R54=0.05),$D54 &amp; ";","")</f>
        <v/>
      </c>
      <c r="BO54" s="58">
        <f>IF(AND($H54="opportunity",$S54=0.1,$R54=0.8),$D54 &amp; ";","")</f>
        <v/>
      </c>
      <c r="BP54" s="58">
        <f>IF(AND($H54="opportunity",$S54=0.1,$R54=0.4),$D54 &amp; ";","")</f>
        <v/>
      </c>
      <c r="BQ54" s="58">
        <f>IF(AND($H54="opportunity",$S54=0.1,$R54=0.2),$D54 &amp; ";","")</f>
        <v/>
      </c>
      <c r="BR54" s="58">
        <f>IF(AND($H54="opportunity",$S54=0.1,$R54=0.1),$D54 &amp; ";","")</f>
        <v/>
      </c>
      <c r="BS54" s="58">
        <f>IF(AND($H54="opportunity",$S54=0.1,$R54=0.05),$D54 &amp; ";","")</f>
        <v/>
      </c>
      <c r="BV54" s="57">
        <f>INDIRECT(ADDRESS(ROW()-22,COLUMN()-45,1,1,"Risk Register"))</f>
        <v/>
      </c>
      <c r="BW54" s="58">
        <f>INDIRECT(ADDRESS(ROW()-22,COLUMN()-44,1,1,"Risk Register"))</f>
        <v/>
      </c>
      <c r="BX54" s="59">
        <f>IF(AND($H54="threat",$P54&lt;=0.05),"gn",IF(AND($H54="threat",$P54&lt;=0.14),"y",IF(AND($H54="threat", $P54&gt;=0.15),"r",IF(AND($H54="opportunity",$P54&lt;=0.05),"gn",IF(AND($H54="opportunity",$P54&lt;=0.14),"lb",IF(AND($H54="opportunity",$P54&gt;=0.15),"db","z"))))))</f>
        <v/>
      </c>
      <c r="BY54" s="58">
        <f>IF(AND($H54="threat",$BW54=0.9,$BV54=0.05),$D54 &amp; ";","")</f>
        <v/>
      </c>
      <c r="BZ54" s="58">
        <f>IF(AND($H54="threat",$BW54=0.9,$BV54=0.1),$D54 &amp; ";","")</f>
        <v/>
      </c>
      <c r="CA54" s="58">
        <f>IF(AND($H54="threat",$BW54=0.9,$BV54=0.2),$D54 &amp; ";","")</f>
        <v/>
      </c>
      <c r="CB54" s="58">
        <f>IF(AND($H54="threat",$BW54=0.9,$BV54=0.4),$D54 &amp; ";","")</f>
        <v/>
      </c>
      <c r="CC54" s="58">
        <f>IF(AND($H54="threat",$BW54=0.9,$BV54=0.8),$D54 &amp; ";","")</f>
        <v/>
      </c>
      <c r="CD54" s="58">
        <f>IF(AND($H54="threat",$BW54=0.7,$BV54=0.05),$D54 &amp; ";","")</f>
        <v/>
      </c>
      <c r="CE54" s="58">
        <f>IF(AND($H54="threat",$BW54=0.7,$BV54=0.1),$D54 &amp; ";","")</f>
        <v/>
      </c>
      <c r="CF54" s="58">
        <f>IF(AND($H54="threat",$BW54=0.7,$BV54=0.2),$D54 &amp; ";","")</f>
        <v/>
      </c>
      <c r="CG54" s="58">
        <f>IF(AND($H54="threat",$BW54=0.7,$BV54=0.4),$D54 &amp; ";","")</f>
        <v/>
      </c>
      <c r="CH54" s="58">
        <f>IF(AND($H54="threat",$BW54=0.7,$BV54=0.8),$D54 &amp; ";","")</f>
        <v/>
      </c>
      <c r="CI54" s="58">
        <f>IF(AND($H54="threat",$BW54=0.5,$BV54=0.05),$D54 &amp; ";","")</f>
        <v/>
      </c>
      <c r="CJ54" s="58">
        <f>IF(AND($H54="threat",$BW54=0.5,$BV54=0.1),$D54 &amp; ";","")</f>
        <v/>
      </c>
      <c r="CK54" s="58">
        <f>IF(AND($H54="threat",$BW54=0.5,$BV54=0.2),$D54 &amp; ";","")</f>
        <v/>
      </c>
      <c r="CL54" s="58">
        <f>IF(AND($H54="threat",$BW54=0.5,$BV54=0.4),$D54 &amp; ";","")</f>
        <v/>
      </c>
      <c r="CM54" s="58">
        <f>IF(AND($H54="threat",$BW54=0.5,$BV54=0.8),$D54 &amp; ";","")</f>
        <v/>
      </c>
      <c r="CN54" s="58">
        <f>IF(AND($H54="threat",$BW54=0.3,$BV54=0.05),$D54 &amp; ";","")</f>
        <v/>
      </c>
      <c r="CO54" s="58">
        <f>IF(AND($H54="threat",$BW54=0.3,$BV54=0.1),$D54 &amp; ";","")</f>
        <v/>
      </c>
      <c r="CP54" s="58">
        <f>IF(AND($H54="threat",$BW54=0.3,$BV54=0.2),$D54 &amp; ";","")</f>
        <v/>
      </c>
      <c r="CQ54" s="58">
        <f>IF(AND($H54="threat",$BW54=0.3,$BV54=0.4),$D54 &amp; ";","")</f>
        <v/>
      </c>
      <c r="CR54" s="58">
        <f>IF(AND($H54="threat",$BW54=0.3,$BV54=0.8),$D54 &amp; ";","")</f>
        <v/>
      </c>
      <c r="CS54" s="58">
        <f>IF(AND($H54="threat",$BW54=0.1,$BV54=0.05),$D54 &amp; ";","")</f>
        <v/>
      </c>
      <c r="CT54" s="58">
        <f>IF(AND($H54="threat",$BW54=0.1,$BV54=0.1),$D54 &amp; ";","")</f>
        <v/>
      </c>
      <c r="CU54" s="58">
        <f>IF(AND($H54="threat",$BW54=0.1,$BV54=0.2),$D54 &amp; ";","")</f>
        <v/>
      </c>
      <c r="CV54" s="58">
        <f>IF(AND($H54="threat",$BW54=0.1,$BV54=0.4),$D54 &amp; ";","")</f>
        <v/>
      </c>
      <c r="CW54" s="58">
        <f>IF(AND($H54="threat",$BW54=0.1,$BV54=0.8),$D54 &amp; ";","")</f>
        <v/>
      </c>
      <c r="CX54" s="39" t="n"/>
      <c r="CY54" s="58">
        <f>IF(AND($H54="opportunity",$BW54=0.9,$BV54=0.8),$D54 &amp; ";","")</f>
        <v/>
      </c>
      <c r="CZ54" s="58">
        <f>IF(AND($H54="opportunity",$BW54=0.9,$BV54=0.4),$D54 &amp; ";","")</f>
        <v/>
      </c>
      <c r="DA54" s="58">
        <f>IF(AND($H54="opportunity",$BW54=0.9,$BV54=0.2),$D54 &amp; ";","")</f>
        <v/>
      </c>
      <c r="DB54" s="58">
        <f>IF(AND($H54="opportunity",$BW54=0.9,$BV54=0.1),$D54 &amp; ";","")</f>
        <v/>
      </c>
      <c r="DC54" s="58">
        <f>IF(AND($H54="opportunity",$BW54=0.9,$BV54=0.05),$D54 &amp; ";","")</f>
        <v/>
      </c>
      <c r="DD54" s="58">
        <f>IF(AND($H54="opportunity",$BW54=0.7,$BV54=0.8),$D54 &amp; ";","")</f>
        <v/>
      </c>
      <c r="DE54" s="58">
        <f>IF(AND($H54="opportunity",$BW54=0.7,$BV54=0.4),$D54 &amp; ";","")</f>
        <v/>
      </c>
      <c r="DF54" s="58">
        <f>IF(AND($H54="opportunity",$BW54=0.7,$BV54=0.2),$D54 &amp; ";","")</f>
        <v/>
      </c>
      <c r="DG54" s="58">
        <f>IF(AND($H54="opportunity",$BW54=0.7,$BV54=0.1),$D54 &amp; ";","")</f>
        <v/>
      </c>
      <c r="DH54" s="58">
        <f>IF(AND($H54="opportunity",$BW54=0.7,$BV54=0.05),$D54 &amp; ";","")</f>
        <v/>
      </c>
      <c r="DI54" s="58">
        <f>IF(AND($H54="opportunity",$BW54=0.5,$BV54=0.8),$D54 &amp; ";","")</f>
        <v/>
      </c>
      <c r="DJ54" s="58">
        <f>IF(AND($H54="opportunity",$BW54=0.5,$BV54=0.4),$D54 &amp; ";","")</f>
        <v/>
      </c>
      <c r="DK54" s="58">
        <f>IF(AND($H54="opportunity",$BW54=0.5,$BV54=0.2),$D54 &amp; ";","")</f>
        <v/>
      </c>
      <c r="DL54" s="58">
        <f>IF(AND($H54="opportunity",$BW54=0.5,$BV54=0.1),$D54 &amp; ";","")</f>
        <v/>
      </c>
      <c r="DM54" s="58">
        <f>IF(AND($H54="opportunity",$BW54=0.5,$BV54=0.05),$D54 &amp; ";","")</f>
        <v/>
      </c>
      <c r="DN54" s="58">
        <f>IF(AND($H54="opportunity",$BW54=0.3,$BV54=0.8),$D54 &amp; ";","")</f>
        <v/>
      </c>
      <c r="DO54" s="58">
        <f>IF(AND($H54="opportunity",$BW54=0.3,$BV54=0.4),$D54 &amp; ";","")</f>
        <v/>
      </c>
      <c r="DP54" s="58">
        <f>IF(AND($H54="opportunity",$BW54=0.3,$BV54=0.2),$D54 &amp; ";","")</f>
        <v/>
      </c>
      <c r="DQ54" s="58">
        <f>IF(AND($H54="opportunity",$BW54=0.3,$BV54=0.1),$D54 &amp; ";","")</f>
        <v/>
      </c>
      <c r="DR54" s="58">
        <f>IF(AND($H54="opportunity",$BW54=0.3,$BV54=0.05),$D54 &amp; ";","")</f>
        <v/>
      </c>
      <c r="DS54" s="58">
        <f>IF(AND($H54="opportunity",$BW54=0.1,$BV54=0.8),$D54 &amp; ";","")</f>
        <v/>
      </c>
      <c r="DT54" s="58">
        <f>IF(AND($H54="opportunity",$BW54=0.1,$BV54=0.4),$D54 &amp; ";","")</f>
        <v/>
      </c>
      <c r="DU54" s="58">
        <f>IF(AND($H54="opportunity",$BW54=0.1,$BV54=0.2),$D54 &amp; ";","")</f>
        <v/>
      </c>
      <c r="DV54" s="58">
        <f>IF(AND($H54="opportunity",$BW54=0.1,$BV54=0.1),$D54 &amp; ";","")</f>
        <v/>
      </c>
      <c r="DW54" s="58">
        <f>IF(AND($H54="opportunity",$BW54=0.1,$BV54=0.05),$D54 &amp; ";","")</f>
        <v/>
      </c>
    </row>
    <row r="55">
      <c r="D55" s="60">
        <f>INDIRECT(ADDRESS(ROW()-22,COLUMN()-2,1,1,"Risk Register"))</f>
        <v/>
      </c>
      <c r="E55" s="143">
        <f>INDIRECT(ADDRESS(ROW()-22,COLUMN()-1,1,1,"Risk Register"))</f>
        <v/>
      </c>
      <c r="G55" s="56">
        <f>INDIRECT(ADDRESS(ROW()-22,COLUMN()+10,1,1,"Risk Register"))</f>
        <v/>
      </c>
      <c r="H55" s="60">
        <f>INDIRECT(ADDRESS(ROW()-22,COLUMN()+8,1,1,"Risk Register"))</f>
        <v/>
      </c>
      <c r="I55" s="54">
        <f>INDIRECT(ADDRESS(ROW()-22,COLUMN()+3,1,1,"Risk Register"))</f>
        <v/>
      </c>
      <c r="J55" s="143">
        <f>INDIRECT(ADDRESS(ROW()-22,COLUMN()+12,1,1,"Risk Register"))</f>
        <v/>
      </c>
      <c r="K55" s="143">
        <f>INDIRECT(ADDRESS(ROW()-22,COLUMN()-2,1,1,"Risk Register"))</f>
        <v/>
      </c>
      <c r="L55" s="176">
        <f>INDIRECT(ADDRESS(ROW()-22,COLUMN()+15,1,1,"Risk Register"))</f>
        <v/>
      </c>
      <c r="M55" s="54">
        <f>INDIRECT(ADDRESS(ROW()-22,COLUMN()+13,1,1,"Risk Register"))</f>
        <v/>
      </c>
      <c r="N55" s="143">
        <f>INDIRECT(ADDRESS(ROW()-22,COLUMN()-9,1,1,"Risk Register"))</f>
        <v/>
      </c>
      <c r="O55" s="143">
        <f>INDIRECT(ADDRESS(ROW()-22,COLUMN()-8,1,1,"Risk Register"))</f>
        <v/>
      </c>
      <c r="P55" s="56">
        <f>INDIRECT(ADDRESS(ROW()-22,COLUMN()+18,1,1,"Risk Register"))</f>
        <v/>
      </c>
      <c r="R55" s="57">
        <f>INDIRECT(ADDRESS(ROW()-22,COLUMN()-5,1,1,"Risk Register"))</f>
        <v/>
      </c>
      <c r="S55" s="58">
        <f>INDIRECT(ADDRESS(ROW()-22,COLUMN()-4,1,1,"Risk Register"))</f>
        <v/>
      </c>
      <c r="T55" s="59">
        <f>IF(AND($H55="threat",$G55&lt;=0.05),"gn",IF(AND($H55="threat",$G55&lt;=0.14),"y",IF(AND($H55="threat", $G55&gt;=0.15),"r",IF(AND($H55="opportunity",$G55&lt;=0.05),"gn",IF(AND($H55="opportunity",$G55&lt;=0.14),"lb",IF(AND($H55="opportunity",$G55&gt;=0.15),"db","z"))))))</f>
        <v/>
      </c>
      <c r="U55" s="58">
        <f>IF(AND($H55="threat",$S55=0.9,$R55=0.05),$D55 &amp; ";","")</f>
        <v/>
      </c>
      <c r="V55" s="58">
        <f>IF(AND($H55="threat",$S55=0.9,$R55=0.1),$D55 &amp; ";","")</f>
        <v/>
      </c>
      <c r="W55" s="58">
        <f>IF(AND($H55="threat",$S55=0.9,$R55=0.2),$D55 &amp; ";","")</f>
        <v/>
      </c>
      <c r="X55" s="58">
        <f>IF(AND($H55="threat",$S55=0.9,$R55=0.4),$D55 &amp; ";","")</f>
        <v/>
      </c>
      <c r="Y55" s="58">
        <f>IF(AND($H55="threat",$S55=0.9,$R55=0.8),$D55 &amp; ";","")</f>
        <v/>
      </c>
      <c r="Z55" s="58">
        <f>IF(AND($H55="threat",$S55=0.7,$R55=0.05),$D55 &amp; ";","")</f>
        <v/>
      </c>
      <c r="AA55" s="58">
        <f>IF(AND($H55="threat",$S55=0.7,$R55=0.1),$D55 &amp; ";","")</f>
        <v/>
      </c>
      <c r="AB55" s="58">
        <f>IF(AND($H55="threat",$S55=0.7,$R55=0.2),$D55 &amp; ";","")</f>
        <v/>
      </c>
      <c r="AC55" s="58">
        <f>IF(AND($H55="threat",$S55=0.7,$R55=0.4),$D55 &amp; ";","")</f>
        <v/>
      </c>
      <c r="AD55" s="58">
        <f>IF(AND($H55="threat",$S55=0.7,$R55=0.8),$D55 &amp; ";","")</f>
        <v/>
      </c>
      <c r="AE55" s="58">
        <f>IF(AND($H55="threat",$S55=0.5,$R55=0.05),$D55 &amp; ";","")</f>
        <v/>
      </c>
      <c r="AF55" s="58">
        <f>IF(AND($H55="threat",$S55=0.5,$R55=0.1),$D55 &amp; ";","")</f>
        <v/>
      </c>
      <c r="AG55" s="58">
        <f>IF(AND($H55="threat",$S55=0.5,$R55=0.2),$D55 &amp; ";","")</f>
        <v/>
      </c>
      <c r="AH55" s="58">
        <f>IF(AND($H55="threat",$S55=0.5,$R55=0.4),$D55 &amp; ";","")</f>
        <v/>
      </c>
      <c r="AI55" s="58">
        <f>IF(AND($H55="threat",$S55=0.5,$R55=0.8),$D55 &amp; ";","")</f>
        <v/>
      </c>
      <c r="AJ55" s="58">
        <f>IF(AND($H55="threat",$S55=0.3,$R55=0.05),$D55 &amp; ";","")</f>
        <v/>
      </c>
      <c r="AK55" s="58">
        <f>IF(AND($H55="threat",$S55=0.3,$R55=0.1),$D55 &amp; ";","")</f>
        <v/>
      </c>
      <c r="AL55" s="58">
        <f>IF(AND($H55="threat",$S55=0.3,$R55=0.2),$D55 &amp; ";","")</f>
        <v/>
      </c>
      <c r="AM55" s="58">
        <f>IF(AND($H55="threat",$S55=0.3,$R55=0.4),$D55 &amp; ";","")</f>
        <v/>
      </c>
      <c r="AN55" s="58">
        <f>IF(AND($H55="threat",$S55=0.3,$R55=0.8),$D55 &amp; ";","")</f>
        <v/>
      </c>
      <c r="AO55" s="58">
        <f>IF(AND($H55="threat",$S55=0.1,$R55=0.05),$D55 &amp; ";","")</f>
        <v/>
      </c>
      <c r="AP55" s="58">
        <f>IF(AND($H55="threat",$S55=0.1,$R55=0.1),$D55 &amp; ";","")</f>
        <v/>
      </c>
      <c r="AQ55" s="58">
        <f>IF(AND($H55="threat",$S55=0.1,$R55=0.2),$D55 &amp; ";","")</f>
        <v/>
      </c>
      <c r="AR55" s="58">
        <f>IF(AND($H55="threat",$S55=0.1,$R55=0.4),$D55 &amp; ";","")</f>
        <v/>
      </c>
      <c r="AS55" s="58">
        <f>IF(AND($H55="threat",$S55=0.1,$R55=0.8),$D55 &amp; ";","")</f>
        <v/>
      </c>
      <c r="AT55" s="39" t="n"/>
      <c r="AU55" s="58">
        <f>IF(AND($H55="opportunity",$S55=0.9,$R55=0.8),$D55 &amp; ";","")</f>
        <v/>
      </c>
      <c r="AV55" s="58">
        <f>IF(AND($H55="opportunity",$S55=0.9,$R55=0.4),$D55 &amp; ";","")</f>
        <v/>
      </c>
      <c r="AW55" s="58">
        <f>IF(AND($H55="opportunity",$S55=0.9,$R55=0.2),$D55 &amp; ";","")</f>
        <v/>
      </c>
      <c r="AX55" s="58">
        <f>IF(AND($H55="opportunity",$S55=0.9,$R55=0.1),$D55 &amp; ";","")</f>
        <v/>
      </c>
      <c r="AY55" s="58">
        <f>IF(AND($H55="opportunity",$S55=0.9,$R55=0.05),$D55 &amp; ";","")</f>
        <v/>
      </c>
      <c r="AZ55" s="58">
        <f>IF(AND($H55="opportunity",$S55=0.7,$R55=0.8),$D55 &amp; ";","")</f>
        <v/>
      </c>
      <c r="BA55" s="58">
        <f>IF(AND($H55="opportunity",$S55=0.7,$R55=0.4),$D55 &amp; ";","")</f>
        <v/>
      </c>
      <c r="BB55" s="58">
        <f>IF(AND($H55="opportunity",$S55=0.7,$R55=0.2),$D55 &amp; ";","")</f>
        <v/>
      </c>
      <c r="BC55" s="58">
        <f>IF(AND($H55="opportunity",$S55=0.7,$R55=0.1),$D55 &amp; ";","")</f>
        <v/>
      </c>
      <c r="BD55" s="58">
        <f>IF(AND($H55="opportunity",$S55=0.7,$R55=0.05),$D55 &amp; ";","")</f>
        <v/>
      </c>
      <c r="BE55" s="58">
        <f>IF(AND($H55="opportunity",$S55=0.5,$R55=0.8),$D55 &amp; ";","")</f>
        <v/>
      </c>
      <c r="BF55" s="58">
        <f>IF(AND($H55="opportunity",$S55=0.5,$R55=0.4),$D55 &amp; ";","")</f>
        <v/>
      </c>
      <c r="BG55" s="58">
        <f>IF(AND($H55="opportunity",$S55=0.5,$R55=0.2),$D55 &amp; ";","")</f>
        <v/>
      </c>
      <c r="BH55" s="58">
        <f>IF(AND($H55="opportunity",$S55=0.5,$R55=0.1),$D55 &amp; ";","")</f>
        <v/>
      </c>
      <c r="BI55" s="58">
        <f>IF(AND($H55="opportunity",$S55=0.5,$R55=0.05),$D55 &amp; ";","")</f>
        <v/>
      </c>
      <c r="BJ55" s="58">
        <f>IF(AND($H55="opportunity",$S55=0.3,$R55=0.8),$D55 &amp; ";","")</f>
        <v/>
      </c>
      <c r="BK55" s="58">
        <f>IF(AND($H55="opportunity",$S55=0.3,$R55=0.4),$D55 &amp; ";","")</f>
        <v/>
      </c>
      <c r="BL55" s="58">
        <f>IF(AND($H55="opportunity",$S55=0.3,$R55=0.2),$D55 &amp; ";","")</f>
        <v/>
      </c>
      <c r="BM55" s="58">
        <f>IF(AND($H55="opportunity",$S55=0.3,$R55=0.1),$D55 &amp; ";","")</f>
        <v/>
      </c>
      <c r="BN55" s="58">
        <f>IF(AND($H55="opportunity",$S55=0.3,$R55=0.05),$D55 &amp; ";","")</f>
        <v/>
      </c>
      <c r="BO55" s="58">
        <f>IF(AND($H55="opportunity",$S55=0.1,$R55=0.8),$D55 &amp; ";","")</f>
        <v/>
      </c>
      <c r="BP55" s="58">
        <f>IF(AND($H55="opportunity",$S55=0.1,$R55=0.4),$D55 &amp; ";","")</f>
        <v/>
      </c>
      <c r="BQ55" s="58">
        <f>IF(AND($H55="opportunity",$S55=0.1,$R55=0.2),$D55 &amp; ";","")</f>
        <v/>
      </c>
      <c r="BR55" s="58">
        <f>IF(AND($H55="opportunity",$S55=0.1,$R55=0.1),$D55 &amp; ";","")</f>
        <v/>
      </c>
      <c r="BS55" s="58">
        <f>IF(AND($H55="opportunity",$S55=0.1,$R55=0.05),$D55 &amp; ";","")</f>
        <v/>
      </c>
      <c r="BV55" s="57">
        <f>INDIRECT(ADDRESS(ROW()-22,COLUMN()-45,1,1,"Risk Register"))</f>
        <v/>
      </c>
      <c r="BW55" s="58">
        <f>INDIRECT(ADDRESS(ROW()-22,COLUMN()-44,1,1,"Risk Register"))</f>
        <v/>
      </c>
      <c r="BX55" s="59">
        <f>IF(AND($H55="threat",$P55&lt;=0.05),"gn",IF(AND($H55="threat",$P55&lt;=0.14),"y",IF(AND($H55="threat", $P55&gt;=0.15),"r",IF(AND($H55="opportunity",$P55&lt;=0.05),"gn",IF(AND($H55="opportunity",$P55&lt;=0.14),"lb",IF(AND($H55="opportunity",$P55&gt;=0.15),"db","z"))))))</f>
        <v/>
      </c>
      <c r="BY55" s="58">
        <f>IF(AND($H55="threat",$BW55=0.9,$BV55=0.05),$D55 &amp; ";","")</f>
        <v/>
      </c>
      <c r="BZ55" s="58">
        <f>IF(AND($H55="threat",$BW55=0.9,$BV55=0.1),$D55 &amp; ";","")</f>
        <v/>
      </c>
      <c r="CA55" s="58">
        <f>IF(AND($H55="threat",$BW55=0.9,$BV55=0.2),$D55 &amp; ";","")</f>
        <v/>
      </c>
      <c r="CB55" s="58">
        <f>IF(AND($H55="threat",$BW55=0.9,$BV55=0.4),$D55 &amp; ";","")</f>
        <v/>
      </c>
      <c r="CC55" s="58">
        <f>IF(AND($H55="threat",$BW55=0.9,$BV55=0.8),$D55 &amp; ";","")</f>
        <v/>
      </c>
      <c r="CD55" s="58">
        <f>IF(AND($H55="threat",$BW55=0.7,$BV55=0.05),$D55 &amp; ";","")</f>
        <v/>
      </c>
      <c r="CE55" s="58">
        <f>IF(AND($H55="threat",$BW55=0.7,$BV55=0.1),$D55 &amp; ";","")</f>
        <v/>
      </c>
      <c r="CF55" s="58">
        <f>IF(AND($H55="threat",$BW55=0.7,$BV55=0.2),$D55 &amp; ";","")</f>
        <v/>
      </c>
      <c r="CG55" s="58">
        <f>IF(AND($H55="threat",$BW55=0.7,$BV55=0.4),$D55 &amp; ";","")</f>
        <v/>
      </c>
      <c r="CH55" s="58">
        <f>IF(AND($H55="threat",$BW55=0.7,$BV55=0.8),$D55 &amp; ";","")</f>
        <v/>
      </c>
      <c r="CI55" s="58">
        <f>IF(AND($H55="threat",$BW55=0.5,$BV55=0.05),$D55 &amp; ";","")</f>
        <v/>
      </c>
      <c r="CJ55" s="58">
        <f>IF(AND($H55="threat",$BW55=0.5,$BV55=0.1),$D55 &amp; ";","")</f>
        <v/>
      </c>
      <c r="CK55" s="58">
        <f>IF(AND($H55="threat",$BW55=0.5,$BV55=0.2),$D55 &amp; ";","")</f>
        <v/>
      </c>
      <c r="CL55" s="58">
        <f>IF(AND($H55="threat",$BW55=0.5,$BV55=0.4),$D55 &amp; ";","")</f>
        <v/>
      </c>
      <c r="CM55" s="58">
        <f>IF(AND($H55="threat",$BW55=0.5,$BV55=0.8),$D55 &amp; ";","")</f>
        <v/>
      </c>
      <c r="CN55" s="58">
        <f>IF(AND($H55="threat",$BW55=0.3,$BV55=0.05),$D55 &amp; ";","")</f>
        <v/>
      </c>
      <c r="CO55" s="58">
        <f>IF(AND($H55="threat",$BW55=0.3,$BV55=0.1),$D55 &amp; ";","")</f>
        <v/>
      </c>
      <c r="CP55" s="58">
        <f>IF(AND($H55="threat",$BW55=0.3,$BV55=0.2),$D55 &amp; ";","")</f>
        <v/>
      </c>
      <c r="CQ55" s="58">
        <f>IF(AND($H55="threat",$BW55=0.3,$BV55=0.4),$D55 &amp; ";","")</f>
        <v/>
      </c>
      <c r="CR55" s="58">
        <f>IF(AND($H55="threat",$BW55=0.3,$BV55=0.8),$D55 &amp; ";","")</f>
        <v/>
      </c>
      <c r="CS55" s="58">
        <f>IF(AND($H55="threat",$BW55=0.1,$BV55=0.05),$D55 &amp; ";","")</f>
        <v/>
      </c>
      <c r="CT55" s="58">
        <f>IF(AND($H55="threat",$BW55=0.1,$BV55=0.1),$D55 &amp; ";","")</f>
        <v/>
      </c>
      <c r="CU55" s="58">
        <f>IF(AND($H55="threat",$BW55=0.1,$BV55=0.2),$D55 &amp; ";","")</f>
        <v/>
      </c>
      <c r="CV55" s="58">
        <f>IF(AND($H55="threat",$BW55=0.1,$BV55=0.4),$D55 &amp; ";","")</f>
        <v/>
      </c>
      <c r="CW55" s="58">
        <f>IF(AND($H55="threat",$BW55=0.1,$BV55=0.8),$D55 &amp; ";","")</f>
        <v/>
      </c>
      <c r="CX55" s="39" t="n"/>
      <c r="CY55" s="58">
        <f>IF(AND($H55="opportunity",$BW55=0.9,$BV55=0.8),$D55 &amp; ";","")</f>
        <v/>
      </c>
      <c r="CZ55" s="58">
        <f>IF(AND($H55="opportunity",$BW55=0.9,$BV55=0.4),$D55 &amp; ";","")</f>
        <v/>
      </c>
      <c r="DA55" s="58">
        <f>IF(AND($H55="opportunity",$BW55=0.9,$BV55=0.2),$D55 &amp; ";","")</f>
        <v/>
      </c>
      <c r="DB55" s="58">
        <f>IF(AND($H55="opportunity",$BW55=0.9,$BV55=0.1),$D55 &amp; ";","")</f>
        <v/>
      </c>
      <c r="DC55" s="58">
        <f>IF(AND($H55="opportunity",$BW55=0.9,$BV55=0.05),$D55 &amp; ";","")</f>
        <v/>
      </c>
      <c r="DD55" s="58">
        <f>IF(AND($H55="opportunity",$BW55=0.7,$BV55=0.8),$D55 &amp; ";","")</f>
        <v/>
      </c>
      <c r="DE55" s="58">
        <f>IF(AND($H55="opportunity",$BW55=0.7,$BV55=0.4),$D55 &amp; ";","")</f>
        <v/>
      </c>
      <c r="DF55" s="58">
        <f>IF(AND($H55="opportunity",$BW55=0.7,$BV55=0.2),$D55 &amp; ";","")</f>
        <v/>
      </c>
      <c r="DG55" s="58">
        <f>IF(AND($H55="opportunity",$BW55=0.7,$BV55=0.1),$D55 &amp; ";","")</f>
        <v/>
      </c>
      <c r="DH55" s="58">
        <f>IF(AND($H55="opportunity",$BW55=0.7,$BV55=0.05),$D55 &amp; ";","")</f>
        <v/>
      </c>
      <c r="DI55" s="58">
        <f>IF(AND($H55="opportunity",$BW55=0.5,$BV55=0.8),$D55 &amp; ";","")</f>
        <v/>
      </c>
      <c r="DJ55" s="58">
        <f>IF(AND($H55="opportunity",$BW55=0.5,$BV55=0.4),$D55 &amp; ";","")</f>
        <v/>
      </c>
      <c r="DK55" s="58">
        <f>IF(AND($H55="opportunity",$BW55=0.5,$BV55=0.2),$D55 &amp; ";","")</f>
        <v/>
      </c>
      <c r="DL55" s="58">
        <f>IF(AND($H55="opportunity",$BW55=0.5,$BV55=0.1),$D55 &amp; ";","")</f>
        <v/>
      </c>
      <c r="DM55" s="58">
        <f>IF(AND($H55="opportunity",$BW55=0.5,$BV55=0.05),$D55 &amp; ";","")</f>
        <v/>
      </c>
      <c r="DN55" s="58">
        <f>IF(AND($H55="opportunity",$BW55=0.3,$BV55=0.8),$D55 &amp; ";","")</f>
        <v/>
      </c>
      <c r="DO55" s="58">
        <f>IF(AND($H55="opportunity",$BW55=0.3,$BV55=0.4),$D55 &amp; ";","")</f>
        <v/>
      </c>
      <c r="DP55" s="58">
        <f>IF(AND($H55="opportunity",$BW55=0.3,$BV55=0.2),$D55 &amp; ";","")</f>
        <v/>
      </c>
      <c r="DQ55" s="58">
        <f>IF(AND($H55="opportunity",$BW55=0.3,$BV55=0.1),$D55 &amp; ";","")</f>
        <v/>
      </c>
      <c r="DR55" s="58">
        <f>IF(AND($H55="opportunity",$BW55=0.3,$BV55=0.05),$D55 &amp; ";","")</f>
        <v/>
      </c>
      <c r="DS55" s="58">
        <f>IF(AND($H55="opportunity",$BW55=0.1,$BV55=0.8),$D55 &amp; ";","")</f>
        <v/>
      </c>
      <c r="DT55" s="58">
        <f>IF(AND($H55="opportunity",$BW55=0.1,$BV55=0.4),$D55 &amp; ";","")</f>
        <v/>
      </c>
      <c r="DU55" s="58">
        <f>IF(AND($H55="opportunity",$BW55=0.1,$BV55=0.2),$D55 &amp; ";","")</f>
        <v/>
      </c>
      <c r="DV55" s="58">
        <f>IF(AND($H55="opportunity",$BW55=0.1,$BV55=0.1),$D55 &amp; ";","")</f>
        <v/>
      </c>
      <c r="DW55" s="58">
        <f>IF(AND($H55="opportunity",$BW55=0.1,$BV55=0.05),$D55 &amp; ";","")</f>
        <v/>
      </c>
    </row>
    <row r="56">
      <c r="D56" s="60">
        <f>INDIRECT(ADDRESS(ROW()-22,COLUMN()-2,1,1,"Risk Register"))</f>
        <v/>
      </c>
      <c r="E56" s="143">
        <f>INDIRECT(ADDRESS(ROW()-22,COLUMN()-1,1,1,"Risk Register"))</f>
        <v/>
      </c>
      <c r="G56" s="56">
        <f>INDIRECT(ADDRESS(ROW()-22,COLUMN()+10,1,1,"Risk Register"))</f>
        <v/>
      </c>
      <c r="H56" s="60">
        <f>INDIRECT(ADDRESS(ROW()-22,COLUMN()+8,1,1,"Risk Register"))</f>
        <v/>
      </c>
      <c r="I56" s="54">
        <f>INDIRECT(ADDRESS(ROW()-22,COLUMN()+3,1,1,"Risk Register"))</f>
        <v/>
      </c>
      <c r="J56" s="143">
        <f>INDIRECT(ADDRESS(ROW()-22,COLUMN()+12,1,1,"Risk Register"))</f>
        <v/>
      </c>
      <c r="K56" s="143">
        <f>INDIRECT(ADDRESS(ROW()-22,COLUMN()-2,1,1,"Risk Register"))</f>
        <v/>
      </c>
      <c r="L56" s="176">
        <f>INDIRECT(ADDRESS(ROW()-22,COLUMN()+15,1,1,"Risk Register"))</f>
        <v/>
      </c>
      <c r="M56" s="54">
        <f>INDIRECT(ADDRESS(ROW()-22,COLUMN()+13,1,1,"Risk Register"))</f>
        <v/>
      </c>
      <c r="N56" s="143">
        <f>INDIRECT(ADDRESS(ROW()-22,COLUMN()-9,1,1,"Risk Register"))</f>
        <v/>
      </c>
      <c r="O56" s="143">
        <f>INDIRECT(ADDRESS(ROW()-22,COLUMN()-8,1,1,"Risk Register"))</f>
        <v/>
      </c>
      <c r="P56" s="56">
        <f>INDIRECT(ADDRESS(ROW()-22,COLUMN()+18,1,1,"Risk Register"))</f>
        <v/>
      </c>
      <c r="R56" s="57">
        <f>INDIRECT(ADDRESS(ROW()-22,COLUMN()-5,1,1,"Risk Register"))</f>
        <v/>
      </c>
      <c r="S56" s="58">
        <f>INDIRECT(ADDRESS(ROW()-22,COLUMN()-4,1,1,"Risk Register"))</f>
        <v/>
      </c>
      <c r="T56" s="59">
        <f>IF(AND($H56="threat",$G56&lt;=0.05),"gn",IF(AND($H56="threat",$G56&lt;=0.14),"y",IF(AND($H56="threat", $G56&gt;=0.15),"r",IF(AND($H56="opportunity",$G56&lt;=0.05),"gn",IF(AND($H56="opportunity",$G56&lt;=0.14),"lb",IF(AND($H56="opportunity",$G56&gt;=0.15),"db","z"))))))</f>
        <v/>
      </c>
      <c r="U56" s="58">
        <f>IF(AND($H56="threat",$S56=0.9,$R56=0.05),$D56 &amp; ";","")</f>
        <v/>
      </c>
      <c r="V56" s="58">
        <f>IF(AND($H56="threat",$S56=0.9,$R56=0.1),$D56 &amp; ";","")</f>
        <v/>
      </c>
      <c r="W56" s="58">
        <f>IF(AND($H56="threat",$S56=0.9,$R56=0.2),$D56 &amp; ";","")</f>
        <v/>
      </c>
      <c r="X56" s="58">
        <f>IF(AND($H56="threat",$S56=0.9,$R56=0.4),$D56 &amp; ";","")</f>
        <v/>
      </c>
      <c r="Y56" s="58">
        <f>IF(AND($H56="threat",$S56=0.9,$R56=0.8),$D56 &amp; ";","")</f>
        <v/>
      </c>
      <c r="Z56" s="58">
        <f>IF(AND($H56="threat",$S56=0.7,$R56=0.05),$D56 &amp; ";","")</f>
        <v/>
      </c>
      <c r="AA56" s="58">
        <f>IF(AND($H56="threat",$S56=0.7,$R56=0.1),$D56 &amp; ";","")</f>
        <v/>
      </c>
      <c r="AB56" s="58">
        <f>IF(AND($H56="threat",$S56=0.7,$R56=0.2),$D56 &amp; ";","")</f>
        <v/>
      </c>
      <c r="AC56" s="58">
        <f>IF(AND($H56="threat",$S56=0.7,$R56=0.4),$D56 &amp; ";","")</f>
        <v/>
      </c>
      <c r="AD56" s="58">
        <f>IF(AND($H56="threat",$S56=0.7,$R56=0.8),$D56 &amp; ";","")</f>
        <v/>
      </c>
      <c r="AE56" s="58">
        <f>IF(AND($H56="threat",$S56=0.5,$R56=0.05),$D56 &amp; ";","")</f>
        <v/>
      </c>
      <c r="AF56" s="58">
        <f>IF(AND($H56="threat",$S56=0.5,$R56=0.1),$D56 &amp; ";","")</f>
        <v/>
      </c>
      <c r="AG56" s="58">
        <f>IF(AND($H56="threat",$S56=0.5,$R56=0.2),$D56 &amp; ";","")</f>
        <v/>
      </c>
      <c r="AH56" s="58">
        <f>IF(AND($H56="threat",$S56=0.5,$R56=0.4),$D56 &amp; ";","")</f>
        <v/>
      </c>
      <c r="AI56" s="58">
        <f>IF(AND($H56="threat",$S56=0.5,$R56=0.8),$D56 &amp; ";","")</f>
        <v/>
      </c>
      <c r="AJ56" s="58">
        <f>IF(AND($H56="threat",$S56=0.3,$R56=0.05),$D56 &amp; ";","")</f>
        <v/>
      </c>
      <c r="AK56" s="58">
        <f>IF(AND($H56="threat",$S56=0.3,$R56=0.1),$D56 &amp; ";","")</f>
        <v/>
      </c>
      <c r="AL56" s="58">
        <f>IF(AND($H56="threat",$S56=0.3,$R56=0.2),$D56 &amp; ";","")</f>
        <v/>
      </c>
      <c r="AM56" s="58">
        <f>IF(AND($H56="threat",$S56=0.3,$R56=0.4),$D56 &amp; ";","")</f>
        <v/>
      </c>
      <c r="AN56" s="58">
        <f>IF(AND($H56="threat",$S56=0.3,$R56=0.8),$D56 &amp; ";","")</f>
        <v/>
      </c>
      <c r="AO56" s="58">
        <f>IF(AND($H56="threat",$S56=0.1,$R56=0.05),$D56 &amp; ";","")</f>
        <v/>
      </c>
      <c r="AP56" s="58">
        <f>IF(AND($H56="threat",$S56=0.1,$R56=0.1),$D56 &amp; ";","")</f>
        <v/>
      </c>
      <c r="AQ56" s="58">
        <f>IF(AND($H56="threat",$S56=0.1,$R56=0.2),$D56 &amp; ";","")</f>
        <v/>
      </c>
      <c r="AR56" s="58">
        <f>IF(AND($H56="threat",$S56=0.1,$R56=0.4),$D56 &amp; ";","")</f>
        <v/>
      </c>
      <c r="AS56" s="58">
        <f>IF(AND($H56="threat",$S56=0.1,$R56=0.8),$D56 &amp; ";","")</f>
        <v/>
      </c>
      <c r="AT56" s="39" t="n"/>
      <c r="AU56" s="58">
        <f>IF(AND($H56="opportunity",$S56=0.9,$R56=0.8),$D56 &amp; ";","")</f>
        <v/>
      </c>
      <c r="AV56" s="58">
        <f>IF(AND($H56="opportunity",$S56=0.9,$R56=0.4),$D56 &amp; ";","")</f>
        <v/>
      </c>
      <c r="AW56" s="58">
        <f>IF(AND($H56="opportunity",$S56=0.9,$R56=0.2),$D56 &amp; ";","")</f>
        <v/>
      </c>
      <c r="AX56" s="58">
        <f>IF(AND($H56="opportunity",$S56=0.9,$R56=0.1),$D56 &amp; ";","")</f>
        <v/>
      </c>
      <c r="AY56" s="58">
        <f>IF(AND($H56="opportunity",$S56=0.9,$R56=0.05),$D56 &amp; ";","")</f>
        <v/>
      </c>
      <c r="AZ56" s="58">
        <f>IF(AND($H56="opportunity",$S56=0.7,$R56=0.8),$D56 &amp; ";","")</f>
        <v/>
      </c>
      <c r="BA56" s="58">
        <f>IF(AND($H56="opportunity",$S56=0.7,$R56=0.4),$D56 &amp; ";","")</f>
        <v/>
      </c>
      <c r="BB56" s="58">
        <f>IF(AND($H56="opportunity",$S56=0.7,$R56=0.2),$D56 &amp; ";","")</f>
        <v/>
      </c>
      <c r="BC56" s="58">
        <f>IF(AND($H56="opportunity",$S56=0.7,$R56=0.1),$D56 &amp; ";","")</f>
        <v/>
      </c>
      <c r="BD56" s="58">
        <f>IF(AND($H56="opportunity",$S56=0.7,$R56=0.05),$D56 &amp; ";","")</f>
        <v/>
      </c>
      <c r="BE56" s="58">
        <f>IF(AND($H56="opportunity",$S56=0.5,$R56=0.8),$D56 &amp; ";","")</f>
        <v/>
      </c>
      <c r="BF56" s="58">
        <f>IF(AND($H56="opportunity",$S56=0.5,$R56=0.4),$D56 &amp; ";","")</f>
        <v/>
      </c>
      <c r="BG56" s="58">
        <f>IF(AND($H56="opportunity",$S56=0.5,$R56=0.2),$D56 &amp; ";","")</f>
        <v/>
      </c>
      <c r="BH56" s="58">
        <f>IF(AND($H56="opportunity",$S56=0.5,$R56=0.1),$D56 &amp; ";","")</f>
        <v/>
      </c>
      <c r="BI56" s="58">
        <f>IF(AND($H56="opportunity",$S56=0.5,$R56=0.05),$D56 &amp; ";","")</f>
        <v/>
      </c>
      <c r="BJ56" s="58">
        <f>IF(AND($H56="opportunity",$S56=0.3,$R56=0.8),$D56 &amp; ";","")</f>
        <v/>
      </c>
      <c r="BK56" s="58">
        <f>IF(AND($H56="opportunity",$S56=0.3,$R56=0.4),$D56 &amp; ";","")</f>
        <v/>
      </c>
      <c r="BL56" s="58">
        <f>IF(AND($H56="opportunity",$S56=0.3,$R56=0.2),$D56 &amp; ";","")</f>
        <v/>
      </c>
      <c r="BM56" s="58">
        <f>IF(AND($H56="opportunity",$S56=0.3,$R56=0.1),$D56 &amp; ";","")</f>
        <v/>
      </c>
      <c r="BN56" s="58">
        <f>IF(AND($H56="opportunity",$S56=0.3,$R56=0.05),$D56 &amp; ";","")</f>
        <v/>
      </c>
      <c r="BO56" s="58">
        <f>IF(AND($H56="opportunity",$S56=0.1,$R56=0.8),$D56 &amp; ";","")</f>
        <v/>
      </c>
      <c r="BP56" s="58">
        <f>IF(AND($H56="opportunity",$S56=0.1,$R56=0.4),$D56 &amp; ";","")</f>
        <v/>
      </c>
      <c r="BQ56" s="58">
        <f>IF(AND($H56="opportunity",$S56=0.1,$R56=0.2),$D56 &amp; ";","")</f>
        <v/>
      </c>
      <c r="BR56" s="58">
        <f>IF(AND($H56="opportunity",$S56=0.1,$R56=0.1),$D56 &amp; ";","")</f>
        <v/>
      </c>
      <c r="BS56" s="58">
        <f>IF(AND($H56="opportunity",$S56=0.1,$R56=0.05),$D56 &amp; ";","")</f>
        <v/>
      </c>
      <c r="BV56" s="57">
        <f>INDIRECT(ADDRESS(ROW()-22,COLUMN()-45,1,1,"Risk Register"))</f>
        <v/>
      </c>
      <c r="BW56" s="58">
        <f>INDIRECT(ADDRESS(ROW()-22,COLUMN()-44,1,1,"Risk Register"))</f>
        <v/>
      </c>
      <c r="BX56" s="59">
        <f>IF(AND($H56="threat",$P56&lt;=0.05),"gn",IF(AND($H56="threat",$P56&lt;=0.14),"y",IF(AND($H56="threat", $P56&gt;=0.15),"r",IF(AND($H56="opportunity",$P56&lt;=0.05),"gn",IF(AND($H56="opportunity",$P56&lt;=0.14),"lb",IF(AND($H56="opportunity",$P56&gt;=0.15),"db","z"))))))</f>
        <v/>
      </c>
      <c r="BY56" s="58">
        <f>IF(AND($H56="threat",$BW56=0.9,$BV56=0.05),$D56 &amp; ";","")</f>
        <v/>
      </c>
      <c r="BZ56" s="58">
        <f>IF(AND($H56="threat",$BW56=0.9,$BV56=0.1),$D56 &amp; ";","")</f>
        <v/>
      </c>
      <c r="CA56" s="58">
        <f>IF(AND($H56="threat",$BW56=0.9,$BV56=0.2),$D56 &amp; ";","")</f>
        <v/>
      </c>
      <c r="CB56" s="58">
        <f>IF(AND($H56="threat",$BW56=0.9,$BV56=0.4),$D56 &amp; ";","")</f>
        <v/>
      </c>
      <c r="CC56" s="58">
        <f>IF(AND($H56="threat",$BW56=0.9,$BV56=0.8),$D56 &amp; ";","")</f>
        <v/>
      </c>
      <c r="CD56" s="58">
        <f>IF(AND($H56="threat",$BW56=0.7,$BV56=0.05),$D56 &amp; ";","")</f>
        <v/>
      </c>
      <c r="CE56" s="58">
        <f>IF(AND($H56="threat",$BW56=0.7,$BV56=0.1),$D56 &amp; ";","")</f>
        <v/>
      </c>
      <c r="CF56" s="58">
        <f>IF(AND($H56="threat",$BW56=0.7,$BV56=0.2),$D56 &amp; ";","")</f>
        <v/>
      </c>
      <c r="CG56" s="58">
        <f>IF(AND($H56="threat",$BW56=0.7,$BV56=0.4),$D56 &amp; ";","")</f>
        <v/>
      </c>
      <c r="CH56" s="58">
        <f>IF(AND($H56="threat",$BW56=0.7,$BV56=0.8),$D56 &amp; ";","")</f>
        <v/>
      </c>
      <c r="CI56" s="58">
        <f>IF(AND($H56="threat",$BW56=0.5,$BV56=0.05),$D56 &amp; ";","")</f>
        <v/>
      </c>
      <c r="CJ56" s="58">
        <f>IF(AND($H56="threat",$BW56=0.5,$BV56=0.1),$D56 &amp; ";","")</f>
        <v/>
      </c>
      <c r="CK56" s="58">
        <f>IF(AND($H56="threat",$BW56=0.5,$BV56=0.2),$D56 &amp; ";","")</f>
        <v/>
      </c>
      <c r="CL56" s="58">
        <f>IF(AND($H56="threat",$BW56=0.5,$BV56=0.4),$D56 &amp; ";","")</f>
        <v/>
      </c>
      <c r="CM56" s="58">
        <f>IF(AND($H56="threat",$BW56=0.5,$BV56=0.8),$D56 &amp; ";","")</f>
        <v/>
      </c>
      <c r="CN56" s="58">
        <f>IF(AND($H56="threat",$BW56=0.3,$BV56=0.05),$D56 &amp; ";","")</f>
        <v/>
      </c>
      <c r="CO56" s="58">
        <f>IF(AND($H56="threat",$BW56=0.3,$BV56=0.1),$D56 &amp; ";","")</f>
        <v/>
      </c>
      <c r="CP56" s="58">
        <f>IF(AND($H56="threat",$BW56=0.3,$BV56=0.2),$D56 &amp; ";","")</f>
        <v/>
      </c>
      <c r="CQ56" s="58">
        <f>IF(AND($H56="threat",$BW56=0.3,$BV56=0.4),$D56 &amp; ";","")</f>
        <v/>
      </c>
      <c r="CR56" s="58">
        <f>IF(AND($H56="threat",$BW56=0.3,$BV56=0.8),$D56 &amp; ";","")</f>
        <v/>
      </c>
      <c r="CS56" s="58">
        <f>IF(AND($H56="threat",$BW56=0.1,$BV56=0.05),$D56 &amp; ";","")</f>
        <v/>
      </c>
      <c r="CT56" s="58">
        <f>IF(AND($H56="threat",$BW56=0.1,$BV56=0.1),$D56 &amp; ";","")</f>
        <v/>
      </c>
      <c r="CU56" s="58">
        <f>IF(AND($H56="threat",$BW56=0.1,$BV56=0.2),$D56 &amp; ";","")</f>
        <v/>
      </c>
      <c r="CV56" s="58">
        <f>IF(AND($H56="threat",$BW56=0.1,$BV56=0.4),$D56 &amp; ";","")</f>
        <v/>
      </c>
      <c r="CW56" s="58">
        <f>IF(AND($H56="threat",$BW56=0.1,$BV56=0.8),$D56 &amp; ";","")</f>
        <v/>
      </c>
      <c r="CX56" s="39" t="n"/>
      <c r="CY56" s="58">
        <f>IF(AND($H56="opportunity",$BW56=0.9,$BV56=0.8),$D56 &amp; ";","")</f>
        <v/>
      </c>
      <c r="CZ56" s="58">
        <f>IF(AND($H56="opportunity",$BW56=0.9,$BV56=0.4),$D56 &amp; ";","")</f>
        <v/>
      </c>
      <c r="DA56" s="58">
        <f>IF(AND($H56="opportunity",$BW56=0.9,$BV56=0.2),$D56 &amp; ";","")</f>
        <v/>
      </c>
      <c r="DB56" s="58">
        <f>IF(AND($H56="opportunity",$BW56=0.9,$BV56=0.1),$D56 &amp; ";","")</f>
        <v/>
      </c>
      <c r="DC56" s="58">
        <f>IF(AND($H56="opportunity",$BW56=0.9,$BV56=0.05),$D56 &amp; ";","")</f>
        <v/>
      </c>
      <c r="DD56" s="58">
        <f>IF(AND($H56="opportunity",$BW56=0.7,$BV56=0.8),$D56 &amp; ";","")</f>
        <v/>
      </c>
      <c r="DE56" s="58">
        <f>IF(AND($H56="opportunity",$BW56=0.7,$BV56=0.4),$D56 &amp; ";","")</f>
        <v/>
      </c>
      <c r="DF56" s="58">
        <f>IF(AND($H56="opportunity",$BW56=0.7,$BV56=0.2),$D56 &amp; ";","")</f>
        <v/>
      </c>
      <c r="DG56" s="58">
        <f>IF(AND($H56="opportunity",$BW56=0.7,$BV56=0.1),$D56 &amp; ";","")</f>
        <v/>
      </c>
      <c r="DH56" s="58">
        <f>IF(AND($H56="opportunity",$BW56=0.7,$BV56=0.05),$D56 &amp; ";","")</f>
        <v/>
      </c>
      <c r="DI56" s="58">
        <f>IF(AND($H56="opportunity",$BW56=0.5,$BV56=0.8),$D56 &amp; ";","")</f>
        <v/>
      </c>
      <c r="DJ56" s="58">
        <f>IF(AND($H56="opportunity",$BW56=0.5,$BV56=0.4),$D56 &amp; ";","")</f>
        <v/>
      </c>
      <c r="DK56" s="58">
        <f>IF(AND($H56="opportunity",$BW56=0.5,$BV56=0.2),$D56 &amp; ";","")</f>
        <v/>
      </c>
      <c r="DL56" s="58">
        <f>IF(AND($H56="opportunity",$BW56=0.5,$BV56=0.1),$D56 &amp; ";","")</f>
        <v/>
      </c>
      <c r="DM56" s="58">
        <f>IF(AND($H56="opportunity",$BW56=0.5,$BV56=0.05),$D56 &amp; ";","")</f>
        <v/>
      </c>
      <c r="DN56" s="58">
        <f>IF(AND($H56="opportunity",$BW56=0.3,$BV56=0.8),$D56 &amp; ";","")</f>
        <v/>
      </c>
      <c r="DO56" s="58">
        <f>IF(AND($H56="opportunity",$BW56=0.3,$BV56=0.4),$D56 &amp; ";","")</f>
        <v/>
      </c>
      <c r="DP56" s="58">
        <f>IF(AND($H56="opportunity",$BW56=0.3,$BV56=0.2),$D56 &amp; ";","")</f>
        <v/>
      </c>
      <c r="DQ56" s="58">
        <f>IF(AND($H56="opportunity",$BW56=0.3,$BV56=0.1),$D56 &amp; ";","")</f>
        <v/>
      </c>
      <c r="DR56" s="58">
        <f>IF(AND($H56="opportunity",$BW56=0.3,$BV56=0.05),$D56 &amp; ";","")</f>
        <v/>
      </c>
      <c r="DS56" s="58">
        <f>IF(AND($H56="opportunity",$BW56=0.1,$BV56=0.8),$D56 &amp; ";","")</f>
        <v/>
      </c>
      <c r="DT56" s="58">
        <f>IF(AND($H56="opportunity",$BW56=0.1,$BV56=0.4),$D56 &amp; ";","")</f>
        <v/>
      </c>
      <c r="DU56" s="58">
        <f>IF(AND($H56="opportunity",$BW56=0.1,$BV56=0.2),$D56 &amp; ";","")</f>
        <v/>
      </c>
      <c r="DV56" s="58">
        <f>IF(AND($H56="opportunity",$BW56=0.1,$BV56=0.1),$D56 &amp; ";","")</f>
        <v/>
      </c>
      <c r="DW56" s="58">
        <f>IF(AND($H56="opportunity",$BW56=0.1,$BV56=0.05),$D56 &amp; ";","")</f>
        <v/>
      </c>
    </row>
    <row r="57">
      <c r="D57" s="60">
        <f>INDIRECT(ADDRESS(ROW()-22,COLUMN()-2,1,1,"Risk Register"))</f>
        <v/>
      </c>
      <c r="E57" s="143">
        <f>INDIRECT(ADDRESS(ROW()-22,COLUMN()-1,1,1,"Risk Register"))</f>
        <v/>
      </c>
      <c r="G57" s="56">
        <f>INDIRECT(ADDRESS(ROW()-22,COLUMN()+10,1,1,"Risk Register"))</f>
        <v/>
      </c>
      <c r="H57" s="60">
        <f>INDIRECT(ADDRESS(ROW()-22,COLUMN()+8,1,1,"Risk Register"))</f>
        <v/>
      </c>
      <c r="I57" s="54">
        <f>INDIRECT(ADDRESS(ROW()-22,COLUMN()+3,1,1,"Risk Register"))</f>
        <v/>
      </c>
      <c r="J57" s="143">
        <f>INDIRECT(ADDRESS(ROW()-22,COLUMN()+12,1,1,"Risk Register"))</f>
        <v/>
      </c>
      <c r="K57" s="143">
        <f>INDIRECT(ADDRESS(ROW()-22,COLUMN()-2,1,1,"Risk Register"))</f>
        <v/>
      </c>
      <c r="L57" s="176">
        <f>INDIRECT(ADDRESS(ROW()-22,COLUMN()+15,1,1,"Risk Register"))</f>
        <v/>
      </c>
      <c r="M57" s="54">
        <f>INDIRECT(ADDRESS(ROW()-22,COLUMN()+13,1,1,"Risk Register"))</f>
        <v/>
      </c>
      <c r="N57" s="143">
        <f>INDIRECT(ADDRESS(ROW()-22,COLUMN()-9,1,1,"Risk Register"))</f>
        <v/>
      </c>
      <c r="O57" s="143">
        <f>INDIRECT(ADDRESS(ROW()-22,COLUMN()-8,1,1,"Risk Register"))</f>
        <v/>
      </c>
      <c r="P57" s="56">
        <f>INDIRECT(ADDRESS(ROW()-22,COLUMN()+18,1,1,"Risk Register"))</f>
        <v/>
      </c>
      <c r="R57" s="57">
        <f>INDIRECT(ADDRESS(ROW()-22,COLUMN()-5,1,1,"Risk Register"))</f>
        <v/>
      </c>
      <c r="S57" s="58">
        <f>INDIRECT(ADDRESS(ROW()-22,COLUMN()-4,1,1,"Risk Register"))</f>
        <v/>
      </c>
      <c r="T57" s="59">
        <f>IF(AND($H57="threat",$G57&lt;=0.05),"gn",IF(AND($H57="threat",$G57&lt;=0.14),"y",IF(AND($H57="threat", $G57&gt;=0.15),"r",IF(AND($H57="opportunity",$G57&lt;=0.05),"gn",IF(AND($H57="opportunity",$G57&lt;=0.14),"lb",IF(AND($H57="opportunity",$G57&gt;=0.15),"db","z"))))))</f>
        <v/>
      </c>
      <c r="U57" s="58">
        <f>IF(AND($H57="threat",$S57=0.9,$R57=0.05),$D57 &amp; ";","")</f>
        <v/>
      </c>
      <c r="V57" s="58">
        <f>IF(AND($H57="threat",$S57=0.9,$R57=0.1),$D57 &amp; ";","")</f>
        <v/>
      </c>
      <c r="W57" s="58">
        <f>IF(AND($H57="threat",$S57=0.9,$R57=0.2),$D57 &amp; ";","")</f>
        <v/>
      </c>
      <c r="X57" s="58">
        <f>IF(AND($H57="threat",$S57=0.9,$R57=0.4),$D57 &amp; ";","")</f>
        <v/>
      </c>
      <c r="Y57" s="58">
        <f>IF(AND($H57="threat",$S57=0.9,$R57=0.8),$D57 &amp; ";","")</f>
        <v/>
      </c>
      <c r="Z57" s="58">
        <f>IF(AND($H57="threat",$S57=0.7,$R57=0.05),$D57 &amp; ";","")</f>
        <v/>
      </c>
      <c r="AA57" s="58">
        <f>IF(AND($H57="threat",$S57=0.7,$R57=0.1),$D57 &amp; ";","")</f>
        <v/>
      </c>
      <c r="AB57" s="58">
        <f>IF(AND($H57="threat",$S57=0.7,$R57=0.2),$D57 &amp; ";","")</f>
        <v/>
      </c>
      <c r="AC57" s="58">
        <f>IF(AND($H57="threat",$S57=0.7,$R57=0.4),$D57 &amp; ";","")</f>
        <v/>
      </c>
      <c r="AD57" s="58">
        <f>IF(AND($H57="threat",$S57=0.7,$R57=0.8),$D57 &amp; ";","")</f>
        <v/>
      </c>
      <c r="AE57" s="58">
        <f>IF(AND($H57="threat",$S57=0.5,$R57=0.05),$D57 &amp; ";","")</f>
        <v/>
      </c>
      <c r="AF57" s="58">
        <f>IF(AND($H57="threat",$S57=0.5,$R57=0.1),$D57 &amp; ";","")</f>
        <v/>
      </c>
      <c r="AG57" s="58">
        <f>IF(AND($H57="threat",$S57=0.5,$R57=0.2),$D57 &amp; ";","")</f>
        <v/>
      </c>
      <c r="AH57" s="58">
        <f>IF(AND($H57="threat",$S57=0.5,$R57=0.4),$D57 &amp; ";","")</f>
        <v/>
      </c>
      <c r="AI57" s="58">
        <f>IF(AND($H57="threat",$S57=0.5,$R57=0.8),$D57 &amp; ";","")</f>
        <v/>
      </c>
      <c r="AJ57" s="58">
        <f>IF(AND($H57="threat",$S57=0.3,$R57=0.05),$D57 &amp; ";","")</f>
        <v/>
      </c>
      <c r="AK57" s="58">
        <f>IF(AND($H57="threat",$S57=0.3,$R57=0.1),$D57 &amp; ";","")</f>
        <v/>
      </c>
      <c r="AL57" s="58">
        <f>IF(AND($H57="threat",$S57=0.3,$R57=0.2),$D57 &amp; ";","")</f>
        <v/>
      </c>
      <c r="AM57" s="58">
        <f>IF(AND($H57="threat",$S57=0.3,$R57=0.4),$D57 &amp; ";","")</f>
        <v/>
      </c>
      <c r="AN57" s="58">
        <f>IF(AND($H57="threat",$S57=0.3,$R57=0.8),$D57 &amp; ";","")</f>
        <v/>
      </c>
      <c r="AO57" s="58">
        <f>IF(AND($H57="threat",$S57=0.1,$R57=0.05),$D57 &amp; ";","")</f>
        <v/>
      </c>
      <c r="AP57" s="58">
        <f>IF(AND($H57="threat",$S57=0.1,$R57=0.1),$D57 &amp; ";","")</f>
        <v/>
      </c>
      <c r="AQ57" s="58">
        <f>IF(AND($H57="threat",$S57=0.1,$R57=0.2),$D57 &amp; ";","")</f>
        <v/>
      </c>
      <c r="AR57" s="58">
        <f>IF(AND($H57="threat",$S57=0.1,$R57=0.4),$D57 &amp; ";","")</f>
        <v/>
      </c>
      <c r="AS57" s="58">
        <f>IF(AND($H57="threat",$S57=0.1,$R57=0.8),$D57 &amp; ";","")</f>
        <v/>
      </c>
      <c r="AT57" s="39" t="n"/>
      <c r="AU57" s="58">
        <f>IF(AND($H57="opportunity",$S57=0.9,$R57=0.8),$D57 &amp; ";","")</f>
        <v/>
      </c>
      <c r="AV57" s="58">
        <f>IF(AND($H57="opportunity",$S57=0.9,$R57=0.4),$D57 &amp; ";","")</f>
        <v/>
      </c>
      <c r="AW57" s="58">
        <f>IF(AND($H57="opportunity",$S57=0.9,$R57=0.2),$D57 &amp; ";","")</f>
        <v/>
      </c>
      <c r="AX57" s="58">
        <f>IF(AND($H57="opportunity",$S57=0.9,$R57=0.1),$D57 &amp; ";","")</f>
        <v/>
      </c>
      <c r="AY57" s="58">
        <f>IF(AND($H57="opportunity",$S57=0.9,$R57=0.05),$D57 &amp; ";","")</f>
        <v/>
      </c>
      <c r="AZ57" s="58">
        <f>IF(AND($H57="opportunity",$S57=0.7,$R57=0.8),$D57 &amp; ";","")</f>
        <v/>
      </c>
      <c r="BA57" s="58">
        <f>IF(AND($H57="opportunity",$S57=0.7,$R57=0.4),$D57 &amp; ";","")</f>
        <v/>
      </c>
      <c r="BB57" s="58">
        <f>IF(AND($H57="opportunity",$S57=0.7,$R57=0.2),$D57 &amp; ";","")</f>
        <v/>
      </c>
      <c r="BC57" s="58">
        <f>IF(AND($H57="opportunity",$S57=0.7,$R57=0.1),$D57 &amp; ";","")</f>
        <v/>
      </c>
      <c r="BD57" s="58">
        <f>IF(AND($H57="opportunity",$S57=0.7,$R57=0.05),$D57 &amp; ";","")</f>
        <v/>
      </c>
      <c r="BE57" s="58">
        <f>IF(AND($H57="opportunity",$S57=0.5,$R57=0.8),$D57 &amp; ";","")</f>
        <v/>
      </c>
      <c r="BF57" s="58">
        <f>IF(AND($H57="opportunity",$S57=0.5,$R57=0.4),$D57 &amp; ";","")</f>
        <v/>
      </c>
      <c r="BG57" s="58">
        <f>IF(AND($H57="opportunity",$S57=0.5,$R57=0.2),$D57 &amp; ";","")</f>
        <v/>
      </c>
      <c r="BH57" s="58">
        <f>IF(AND($H57="opportunity",$S57=0.5,$R57=0.1),$D57 &amp; ";","")</f>
        <v/>
      </c>
      <c r="BI57" s="58">
        <f>IF(AND($H57="opportunity",$S57=0.5,$R57=0.05),$D57 &amp; ";","")</f>
        <v/>
      </c>
      <c r="BJ57" s="58">
        <f>IF(AND($H57="opportunity",$S57=0.3,$R57=0.8),$D57 &amp; ";","")</f>
        <v/>
      </c>
      <c r="BK57" s="58">
        <f>IF(AND($H57="opportunity",$S57=0.3,$R57=0.4),$D57 &amp; ";","")</f>
        <v/>
      </c>
      <c r="BL57" s="58">
        <f>IF(AND($H57="opportunity",$S57=0.3,$R57=0.2),$D57 &amp; ";","")</f>
        <v/>
      </c>
      <c r="BM57" s="58">
        <f>IF(AND($H57="opportunity",$S57=0.3,$R57=0.1),$D57 &amp; ";","")</f>
        <v/>
      </c>
      <c r="BN57" s="58">
        <f>IF(AND($H57="opportunity",$S57=0.3,$R57=0.05),$D57 &amp; ";","")</f>
        <v/>
      </c>
      <c r="BO57" s="58">
        <f>IF(AND($H57="opportunity",$S57=0.1,$R57=0.8),$D57 &amp; ";","")</f>
        <v/>
      </c>
      <c r="BP57" s="58">
        <f>IF(AND($H57="opportunity",$S57=0.1,$R57=0.4),$D57 &amp; ";","")</f>
        <v/>
      </c>
      <c r="BQ57" s="58">
        <f>IF(AND($H57="opportunity",$S57=0.1,$R57=0.2),$D57 &amp; ";","")</f>
        <v/>
      </c>
      <c r="BR57" s="58">
        <f>IF(AND($H57="opportunity",$S57=0.1,$R57=0.1),$D57 &amp; ";","")</f>
        <v/>
      </c>
      <c r="BS57" s="58">
        <f>IF(AND($H57="opportunity",$S57=0.1,$R57=0.05),$D57 &amp; ";","")</f>
        <v/>
      </c>
      <c r="BV57" s="57">
        <f>INDIRECT(ADDRESS(ROW()-22,COLUMN()-45,1,1,"Risk Register"))</f>
        <v/>
      </c>
      <c r="BW57" s="58">
        <f>INDIRECT(ADDRESS(ROW()-22,COLUMN()-44,1,1,"Risk Register"))</f>
        <v/>
      </c>
      <c r="BX57" s="59">
        <f>IF(AND($H57="threat",$P57&lt;=0.05),"gn",IF(AND($H57="threat",$P57&lt;=0.14),"y",IF(AND($H57="threat", $P57&gt;=0.15),"r",IF(AND($H57="opportunity",$P57&lt;=0.05),"gn",IF(AND($H57="opportunity",$P57&lt;=0.14),"lb",IF(AND($H57="opportunity",$P57&gt;=0.15),"db","z"))))))</f>
        <v/>
      </c>
      <c r="BY57" s="58">
        <f>IF(AND($H57="threat",$BW57=0.9,$BV57=0.05),$D57 &amp; ";","")</f>
        <v/>
      </c>
      <c r="BZ57" s="58">
        <f>IF(AND($H57="threat",$BW57=0.9,$BV57=0.1),$D57 &amp; ";","")</f>
        <v/>
      </c>
      <c r="CA57" s="58">
        <f>IF(AND($H57="threat",$BW57=0.9,$BV57=0.2),$D57 &amp; ";","")</f>
        <v/>
      </c>
      <c r="CB57" s="58">
        <f>IF(AND($H57="threat",$BW57=0.9,$BV57=0.4),$D57 &amp; ";","")</f>
        <v/>
      </c>
      <c r="CC57" s="58">
        <f>IF(AND($H57="threat",$BW57=0.9,$BV57=0.8),$D57 &amp; ";","")</f>
        <v/>
      </c>
      <c r="CD57" s="58">
        <f>IF(AND($H57="threat",$BW57=0.7,$BV57=0.05),$D57 &amp; ";","")</f>
        <v/>
      </c>
      <c r="CE57" s="58">
        <f>IF(AND($H57="threat",$BW57=0.7,$BV57=0.1),$D57 &amp; ";","")</f>
        <v/>
      </c>
      <c r="CF57" s="58">
        <f>IF(AND($H57="threat",$BW57=0.7,$BV57=0.2),$D57 &amp; ";","")</f>
        <v/>
      </c>
      <c r="CG57" s="58">
        <f>IF(AND($H57="threat",$BW57=0.7,$BV57=0.4),$D57 &amp; ";","")</f>
        <v/>
      </c>
      <c r="CH57" s="58">
        <f>IF(AND($H57="threat",$BW57=0.7,$BV57=0.8),$D57 &amp; ";","")</f>
        <v/>
      </c>
      <c r="CI57" s="58">
        <f>IF(AND($H57="threat",$BW57=0.5,$BV57=0.05),$D57 &amp; ";","")</f>
        <v/>
      </c>
      <c r="CJ57" s="58">
        <f>IF(AND($H57="threat",$BW57=0.5,$BV57=0.1),$D57 &amp; ";","")</f>
        <v/>
      </c>
      <c r="CK57" s="58">
        <f>IF(AND($H57="threat",$BW57=0.5,$BV57=0.2),$D57 &amp; ";","")</f>
        <v/>
      </c>
      <c r="CL57" s="58">
        <f>IF(AND($H57="threat",$BW57=0.5,$BV57=0.4),$D57 &amp; ";","")</f>
        <v/>
      </c>
      <c r="CM57" s="58">
        <f>IF(AND($H57="threat",$BW57=0.5,$BV57=0.8),$D57 &amp; ";","")</f>
        <v/>
      </c>
      <c r="CN57" s="58">
        <f>IF(AND($H57="threat",$BW57=0.3,$BV57=0.05),$D57 &amp; ";","")</f>
        <v/>
      </c>
      <c r="CO57" s="58">
        <f>IF(AND($H57="threat",$BW57=0.3,$BV57=0.1),$D57 &amp; ";","")</f>
        <v/>
      </c>
      <c r="CP57" s="58">
        <f>IF(AND($H57="threat",$BW57=0.3,$BV57=0.2),$D57 &amp; ";","")</f>
        <v/>
      </c>
      <c r="CQ57" s="58">
        <f>IF(AND($H57="threat",$BW57=0.3,$BV57=0.4),$D57 &amp; ";","")</f>
        <v/>
      </c>
      <c r="CR57" s="58">
        <f>IF(AND($H57="threat",$BW57=0.3,$BV57=0.8),$D57 &amp; ";","")</f>
        <v/>
      </c>
      <c r="CS57" s="58">
        <f>IF(AND($H57="threat",$BW57=0.1,$BV57=0.05),$D57 &amp; ";","")</f>
        <v/>
      </c>
      <c r="CT57" s="58">
        <f>IF(AND($H57="threat",$BW57=0.1,$BV57=0.1),$D57 &amp; ";","")</f>
        <v/>
      </c>
      <c r="CU57" s="58">
        <f>IF(AND($H57="threat",$BW57=0.1,$BV57=0.2),$D57 &amp; ";","")</f>
        <v/>
      </c>
      <c r="CV57" s="58">
        <f>IF(AND($H57="threat",$BW57=0.1,$BV57=0.4),$D57 &amp; ";","")</f>
        <v/>
      </c>
      <c r="CW57" s="58">
        <f>IF(AND($H57="threat",$BW57=0.1,$BV57=0.8),$D57 &amp; ";","")</f>
        <v/>
      </c>
      <c r="CX57" s="39" t="n"/>
      <c r="CY57" s="58">
        <f>IF(AND($H57="opportunity",$BW57=0.9,$BV57=0.8),$D57 &amp; ";","")</f>
        <v/>
      </c>
      <c r="CZ57" s="58">
        <f>IF(AND($H57="opportunity",$BW57=0.9,$BV57=0.4),$D57 &amp; ";","")</f>
        <v/>
      </c>
      <c r="DA57" s="58">
        <f>IF(AND($H57="opportunity",$BW57=0.9,$BV57=0.2),$D57 &amp; ";","")</f>
        <v/>
      </c>
      <c r="DB57" s="58">
        <f>IF(AND($H57="opportunity",$BW57=0.9,$BV57=0.1),$D57 &amp; ";","")</f>
        <v/>
      </c>
      <c r="DC57" s="58">
        <f>IF(AND($H57="opportunity",$BW57=0.9,$BV57=0.05),$D57 &amp; ";","")</f>
        <v/>
      </c>
      <c r="DD57" s="58">
        <f>IF(AND($H57="opportunity",$BW57=0.7,$BV57=0.8),$D57 &amp; ";","")</f>
        <v/>
      </c>
      <c r="DE57" s="58">
        <f>IF(AND($H57="opportunity",$BW57=0.7,$BV57=0.4),$D57 &amp; ";","")</f>
        <v/>
      </c>
      <c r="DF57" s="58">
        <f>IF(AND($H57="opportunity",$BW57=0.7,$BV57=0.2),$D57 &amp; ";","")</f>
        <v/>
      </c>
      <c r="DG57" s="58">
        <f>IF(AND($H57="opportunity",$BW57=0.7,$BV57=0.1),$D57 &amp; ";","")</f>
        <v/>
      </c>
      <c r="DH57" s="58">
        <f>IF(AND($H57="opportunity",$BW57=0.7,$BV57=0.05),$D57 &amp; ";","")</f>
        <v/>
      </c>
      <c r="DI57" s="58">
        <f>IF(AND($H57="opportunity",$BW57=0.5,$BV57=0.8),$D57 &amp; ";","")</f>
        <v/>
      </c>
      <c r="DJ57" s="58">
        <f>IF(AND($H57="opportunity",$BW57=0.5,$BV57=0.4),$D57 &amp; ";","")</f>
        <v/>
      </c>
      <c r="DK57" s="58">
        <f>IF(AND($H57="opportunity",$BW57=0.5,$BV57=0.2),$D57 &amp; ";","")</f>
        <v/>
      </c>
      <c r="DL57" s="58">
        <f>IF(AND($H57="opportunity",$BW57=0.5,$BV57=0.1),$D57 &amp; ";","")</f>
        <v/>
      </c>
      <c r="DM57" s="58">
        <f>IF(AND($H57="opportunity",$BW57=0.5,$BV57=0.05),$D57 &amp; ";","")</f>
        <v/>
      </c>
      <c r="DN57" s="58">
        <f>IF(AND($H57="opportunity",$BW57=0.3,$BV57=0.8),$D57 &amp; ";","")</f>
        <v/>
      </c>
      <c r="DO57" s="58">
        <f>IF(AND($H57="opportunity",$BW57=0.3,$BV57=0.4),$D57 &amp; ";","")</f>
        <v/>
      </c>
      <c r="DP57" s="58">
        <f>IF(AND($H57="opportunity",$BW57=0.3,$BV57=0.2),$D57 &amp; ";","")</f>
        <v/>
      </c>
      <c r="DQ57" s="58">
        <f>IF(AND($H57="opportunity",$BW57=0.3,$BV57=0.1),$D57 &amp; ";","")</f>
        <v/>
      </c>
      <c r="DR57" s="58">
        <f>IF(AND($H57="opportunity",$BW57=0.3,$BV57=0.05),$D57 &amp; ";","")</f>
        <v/>
      </c>
      <c r="DS57" s="58">
        <f>IF(AND($H57="opportunity",$BW57=0.1,$BV57=0.8),$D57 &amp; ";","")</f>
        <v/>
      </c>
      <c r="DT57" s="58">
        <f>IF(AND($H57="opportunity",$BW57=0.1,$BV57=0.4),$D57 &amp; ";","")</f>
        <v/>
      </c>
      <c r="DU57" s="58">
        <f>IF(AND($H57="opportunity",$BW57=0.1,$BV57=0.2),$D57 &amp; ";","")</f>
        <v/>
      </c>
      <c r="DV57" s="58">
        <f>IF(AND($H57="opportunity",$BW57=0.1,$BV57=0.1),$D57 &amp; ";","")</f>
        <v/>
      </c>
      <c r="DW57" s="58">
        <f>IF(AND($H57="opportunity",$BW57=0.1,$BV57=0.05),$D57 &amp; ";","")</f>
        <v/>
      </c>
    </row>
    <row r="58">
      <c r="D58" s="60">
        <f>INDIRECT(ADDRESS(ROW()-22,COLUMN()-2,1,1,"Risk Register"))</f>
        <v/>
      </c>
      <c r="E58" s="143">
        <f>INDIRECT(ADDRESS(ROW()-22,COLUMN()-1,1,1,"Risk Register"))</f>
        <v/>
      </c>
      <c r="G58" s="56">
        <f>INDIRECT(ADDRESS(ROW()-22,COLUMN()+10,1,1,"Risk Register"))</f>
        <v/>
      </c>
      <c r="H58" s="60">
        <f>INDIRECT(ADDRESS(ROW()-22,COLUMN()+8,1,1,"Risk Register"))</f>
        <v/>
      </c>
      <c r="I58" s="54">
        <f>INDIRECT(ADDRESS(ROW()-22,COLUMN()+3,1,1,"Risk Register"))</f>
        <v/>
      </c>
      <c r="J58" s="143">
        <f>INDIRECT(ADDRESS(ROW()-22,COLUMN()+12,1,1,"Risk Register"))</f>
        <v/>
      </c>
      <c r="K58" s="143">
        <f>INDIRECT(ADDRESS(ROW()-22,COLUMN()-2,1,1,"Risk Register"))</f>
        <v/>
      </c>
      <c r="L58" s="176">
        <f>INDIRECT(ADDRESS(ROW()-22,COLUMN()+15,1,1,"Risk Register"))</f>
        <v/>
      </c>
      <c r="M58" s="54">
        <f>INDIRECT(ADDRESS(ROW()-22,COLUMN()+13,1,1,"Risk Register"))</f>
        <v/>
      </c>
      <c r="N58" s="143">
        <f>INDIRECT(ADDRESS(ROW()-22,COLUMN()-9,1,1,"Risk Register"))</f>
        <v/>
      </c>
      <c r="O58" s="143">
        <f>INDIRECT(ADDRESS(ROW()-22,COLUMN()-8,1,1,"Risk Register"))</f>
        <v/>
      </c>
      <c r="P58" s="56">
        <f>INDIRECT(ADDRESS(ROW()-22,COLUMN()+18,1,1,"Risk Register"))</f>
        <v/>
      </c>
      <c r="R58" s="57">
        <f>INDIRECT(ADDRESS(ROW()-22,COLUMN()-5,1,1,"Risk Register"))</f>
        <v/>
      </c>
      <c r="S58" s="58">
        <f>INDIRECT(ADDRESS(ROW()-22,COLUMN()-4,1,1,"Risk Register"))</f>
        <v/>
      </c>
      <c r="T58" s="59">
        <f>IF(AND($H58="threat",$G58&lt;=0.05),"gn",IF(AND($H58="threat",$G58&lt;=0.14),"y",IF(AND($H58="threat", $G58&gt;=0.15),"r",IF(AND($H58="opportunity",$G58&lt;=0.05),"gn",IF(AND($H58="opportunity",$G58&lt;=0.14),"lb",IF(AND($H58="opportunity",$G58&gt;=0.15),"db","z"))))))</f>
        <v/>
      </c>
      <c r="U58" s="58">
        <f>IF(AND($H58="threat",$S58=0.9,$R58=0.05),$D58 &amp; ";","")</f>
        <v/>
      </c>
      <c r="V58" s="58">
        <f>IF(AND($H58="threat",$S58=0.9,$R58=0.1),$D58 &amp; ";","")</f>
        <v/>
      </c>
      <c r="W58" s="58">
        <f>IF(AND($H58="threat",$S58=0.9,$R58=0.2),$D58 &amp; ";","")</f>
        <v/>
      </c>
      <c r="X58" s="58">
        <f>IF(AND($H58="threat",$S58=0.9,$R58=0.4),$D58 &amp; ";","")</f>
        <v/>
      </c>
      <c r="Y58" s="58">
        <f>IF(AND($H58="threat",$S58=0.9,$R58=0.8),$D58 &amp; ";","")</f>
        <v/>
      </c>
      <c r="Z58" s="58">
        <f>IF(AND($H58="threat",$S58=0.7,$R58=0.05),$D58 &amp; ";","")</f>
        <v/>
      </c>
      <c r="AA58" s="58">
        <f>IF(AND($H58="threat",$S58=0.7,$R58=0.1),$D58 &amp; ";","")</f>
        <v/>
      </c>
      <c r="AB58" s="58">
        <f>IF(AND($H58="threat",$S58=0.7,$R58=0.2),$D58 &amp; ";","")</f>
        <v/>
      </c>
      <c r="AC58" s="58">
        <f>IF(AND($H58="threat",$S58=0.7,$R58=0.4),$D58 &amp; ";","")</f>
        <v/>
      </c>
      <c r="AD58" s="58">
        <f>IF(AND($H58="threat",$S58=0.7,$R58=0.8),$D58 &amp; ";","")</f>
        <v/>
      </c>
      <c r="AE58" s="58">
        <f>IF(AND($H58="threat",$S58=0.5,$R58=0.05),$D58 &amp; ";","")</f>
        <v/>
      </c>
      <c r="AF58" s="58">
        <f>IF(AND($H58="threat",$S58=0.5,$R58=0.1),$D58 &amp; ";","")</f>
        <v/>
      </c>
      <c r="AG58" s="58">
        <f>IF(AND($H58="threat",$S58=0.5,$R58=0.2),$D58 &amp; ";","")</f>
        <v/>
      </c>
      <c r="AH58" s="58">
        <f>IF(AND($H58="threat",$S58=0.5,$R58=0.4),$D58 &amp; ";","")</f>
        <v/>
      </c>
      <c r="AI58" s="58">
        <f>IF(AND($H58="threat",$S58=0.5,$R58=0.8),$D58 &amp; ";","")</f>
        <v/>
      </c>
      <c r="AJ58" s="58">
        <f>IF(AND($H58="threat",$S58=0.3,$R58=0.05),$D58 &amp; ";","")</f>
        <v/>
      </c>
      <c r="AK58" s="58">
        <f>IF(AND($H58="threat",$S58=0.3,$R58=0.1),$D58 &amp; ";","")</f>
        <v/>
      </c>
      <c r="AL58" s="58">
        <f>IF(AND($H58="threat",$S58=0.3,$R58=0.2),$D58 &amp; ";","")</f>
        <v/>
      </c>
      <c r="AM58" s="58">
        <f>IF(AND($H58="threat",$S58=0.3,$R58=0.4),$D58 &amp; ";","")</f>
        <v/>
      </c>
      <c r="AN58" s="58">
        <f>IF(AND($H58="threat",$S58=0.3,$R58=0.8),$D58 &amp; ";","")</f>
        <v/>
      </c>
      <c r="AO58" s="58">
        <f>IF(AND($H58="threat",$S58=0.1,$R58=0.05),$D58 &amp; ";","")</f>
        <v/>
      </c>
      <c r="AP58" s="58">
        <f>IF(AND($H58="threat",$S58=0.1,$R58=0.1),$D58 &amp; ";","")</f>
        <v/>
      </c>
      <c r="AQ58" s="58">
        <f>IF(AND($H58="threat",$S58=0.1,$R58=0.2),$D58 &amp; ";","")</f>
        <v/>
      </c>
      <c r="AR58" s="58">
        <f>IF(AND($H58="threat",$S58=0.1,$R58=0.4),$D58 &amp; ";","")</f>
        <v/>
      </c>
      <c r="AS58" s="58">
        <f>IF(AND($H58="threat",$S58=0.1,$R58=0.8),$D58 &amp; ";","")</f>
        <v/>
      </c>
      <c r="AT58" s="39" t="n"/>
      <c r="AU58" s="58">
        <f>IF(AND($H58="opportunity",$S58=0.9,$R58=0.8),$D58 &amp; ";","")</f>
        <v/>
      </c>
      <c r="AV58" s="58">
        <f>IF(AND($H58="opportunity",$S58=0.9,$R58=0.4),$D58 &amp; ";","")</f>
        <v/>
      </c>
      <c r="AW58" s="58">
        <f>IF(AND($H58="opportunity",$S58=0.9,$R58=0.2),$D58 &amp; ";","")</f>
        <v/>
      </c>
      <c r="AX58" s="58">
        <f>IF(AND($H58="opportunity",$S58=0.9,$R58=0.1),$D58 &amp; ";","")</f>
        <v/>
      </c>
      <c r="AY58" s="58">
        <f>IF(AND($H58="opportunity",$S58=0.9,$R58=0.05),$D58 &amp; ";","")</f>
        <v/>
      </c>
      <c r="AZ58" s="58">
        <f>IF(AND($H58="opportunity",$S58=0.7,$R58=0.8),$D58 &amp; ";","")</f>
        <v/>
      </c>
      <c r="BA58" s="58">
        <f>IF(AND($H58="opportunity",$S58=0.7,$R58=0.4),$D58 &amp; ";","")</f>
        <v/>
      </c>
      <c r="BB58" s="58">
        <f>IF(AND($H58="opportunity",$S58=0.7,$R58=0.2),$D58 &amp; ";","")</f>
        <v/>
      </c>
      <c r="BC58" s="58">
        <f>IF(AND($H58="opportunity",$S58=0.7,$R58=0.1),$D58 &amp; ";","")</f>
        <v/>
      </c>
      <c r="BD58" s="58">
        <f>IF(AND($H58="opportunity",$S58=0.7,$R58=0.05),$D58 &amp; ";","")</f>
        <v/>
      </c>
      <c r="BE58" s="58">
        <f>IF(AND($H58="opportunity",$S58=0.5,$R58=0.8),$D58 &amp; ";","")</f>
        <v/>
      </c>
      <c r="BF58" s="58">
        <f>IF(AND($H58="opportunity",$S58=0.5,$R58=0.4),$D58 &amp; ";","")</f>
        <v/>
      </c>
      <c r="BG58" s="58">
        <f>IF(AND($H58="opportunity",$S58=0.5,$R58=0.2),$D58 &amp; ";","")</f>
        <v/>
      </c>
      <c r="BH58" s="58">
        <f>IF(AND($H58="opportunity",$S58=0.5,$R58=0.1),$D58 &amp; ";","")</f>
        <v/>
      </c>
      <c r="BI58" s="58">
        <f>IF(AND($H58="opportunity",$S58=0.5,$R58=0.05),$D58 &amp; ";","")</f>
        <v/>
      </c>
      <c r="BJ58" s="58">
        <f>IF(AND($H58="opportunity",$S58=0.3,$R58=0.8),$D58 &amp; ";","")</f>
        <v/>
      </c>
      <c r="BK58" s="58">
        <f>IF(AND($H58="opportunity",$S58=0.3,$R58=0.4),$D58 &amp; ";","")</f>
        <v/>
      </c>
      <c r="BL58" s="58">
        <f>IF(AND($H58="opportunity",$S58=0.3,$R58=0.2),$D58 &amp; ";","")</f>
        <v/>
      </c>
      <c r="BM58" s="58">
        <f>IF(AND($H58="opportunity",$S58=0.3,$R58=0.1),$D58 &amp; ";","")</f>
        <v/>
      </c>
      <c r="BN58" s="58">
        <f>IF(AND($H58="opportunity",$S58=0.3,$R58=0.05),$D58 &amp; ";","")</f>
        <v/>
      </c>
      <c r="BO58" s="58">
        <f>IF(AND($H58="opportunity",$S58=0.1,$R58=0.8),$D58 &amp; ";","")</f>
        <v/>
      </c>
      <c r="BP58" s="58">
        <f>IF(AND($H58="opportunity",$S58=0.1,$R58=0.4),$D58 &amp; ";","")</f>
        <v/>
      </c>
      <c r="BQ58" s="58">
        <f>IF(AND($H58="opportunity",$S58=0.1,$R58=0.2),$D58 &amp; ";","")</f>
        <v/>
      </c>
      <c r="BR58" s="58">
        <f>IF(AND($H58="opportunity",$S58=0.1,$R58=0.1),$D58 &amp; ";","")</f>
        <v/>
      </c>
      <c r="BS58" s="58">
        <f>IF(AND($H58="opportunity",$S58=0.1,$R58=0.05),$D58 &amp; ";","")</f>
        <v/>
      </c>
      <c r="BV58" s="57">
        <f>INDIRECT(ADDRESS(ROW()-22,COLUMN()-45,1,1,"Risk Register"))</f>
        <v/>
      </c>
      <c r="BW58" s="58">
        <f>INDIRECT(ADDRESS(ROW()-22,COLUMN()-44,1,1,"Risk Register"))</f>
        <v/>
      </c>
      <c r="BX58" s="59">
        <f>IF(AND($H58="threat",$P58&lt;=0.05),"gn",IF(AND($H58="threat",$P58&lt;=0.14),"y",IF(AND($H58="threat", $P58&gt;=0.15),"r",IF(AND($H58="opportunity",$P58&lt;=0.05),"gn",IF(AND($H58="opportunity",$P58&lt;=0.14),"lb",IF(AND($H58="opportunity",$P58&gt;=0.15),"db","z"))))))</f>
        <v/>
      </c>
      <c r="BY58" s="58">
        <f>IF(AND($H58="threat",$BW58=0.9,$BV58=0.05),$D58 &amp; ";","")</f>
        <v/>
      </c>
      <c r="BZ58" s="58">
        <f>IF(AND($H58="threat",$BW58=0.9,$BV58=0.1),$D58 &amp; ";","")</f>
        <v/>
      </c>
      <c r="CA58" s="58">
        <f>IF(AND($H58="threat",$BW58=0.9,$BV58=0.2),$D58 &amp; ";","")</f>
        <v/>
      </c>
      <c r="CB58" s="58">
        <f>IF(AND($H58="threat",$BW58=0.9,$BV58=0.4),$D58 &amp; ";","")</f>
        <v/>
      </c>
      <c r="CC58" s="58">
        <f>IF(AND($H58="threat",$BW58=0.9,$BV58=0.8),$D58 &amp; ";","")</f>
        <v/>
      </c>
      <c r="CD58" s="58">
        <f>IF(AND($H58="threat",$BW58=0.7,$BV58=0.05),$D58 &amp; ";","")</f>
        <v/>
      </c>
      <c r="CE58" s="58">
        <f>IF(AND($H58="threat",$BW58=0.7,$BV58=0.1),$D58 &amp; ";","")</f>
        <v/>
      </c>
      <c r="CF58" s="58">
        <f>IF(AND($H58="threat",$BW58=0.7,$BV58=0.2),$D58 &amp; ";","")</f>
        <v/>
      </c>
      <c r="CG58" s="58">
        <f>IF(AND($H58="threat",$BW58=0.7,$BV58=0.4),$D58 &amp; ";","")</f>
        <v/>
      </c>
      <c r="CH58" s="58">
        <f>IF(AND($H58="threat",$BW58=0.7,$BV58=0.8),$D58 &amp; ";","")</f>
        <v/>
      </c>
      <c r="CI58" s="58">
        <f>IF(AND($H58="threat",$BW58=0.5,$BV58=0.05),$D58 &amp; ";","")</f>
        <v/>
      </c>
      <c r="CJ58" s="58">
        <f>IF(AND($H58="threat",$BW58=0.5,$BV58=0.1),$D58 &amp; ";","")</f>
        <v/>
      </c>
      <c r="CK58" s="58">
        <f>IF(AND($H58="threat",$BW58=0.5,$BV58=0.2),$D58 &amp; ";","")</f>
        <v/>
      </c>
      <c r="CL58" s="58">
        <f>IF(AND($H58="threat",$BW58=0.5,$BV58=0.4),$D58 &amp; ";","")</f>
        <v/>
      </c>
      <c r="CM58" s="58">
        <f>IF(AND($H58="threat",$BW58=0.5,$BV58=0.8),$D58 &amp; ";","")</f>
        <v/>
      </c>
      <c r="CN58" s="58">
        <f>IF(AND($H58="threat",$BW58=0.3,$BV58=0.05),$D58 &amp; ";","")</f>
        <v/>
      </c>
      <c r="CO58" s="58">
        <f>IF(AND($H58="threat",$BW58=0.3,$BV58=0.1),$D58 &amp; ";","")</f>
        <v/>
      </c>
      <c r="CP58" s="58">
        <f>IF(AND($H58="threat",$BW58=0.3,$BV58=0.2),$D58 &amp; ";","")</f>
        <v/>
      </c>
      <c r="CQ58" s="58">
        <f>IF(AND($H58="threat",$BW58=0.3,$BV58=0.4),$D58 &amp; ";","")</f>
        <v/>
      </c>
      <c r="CR58" s="58">
        <f>IF(AND($H58="threat",$BW58=0.3,$BV58=0.8),$D58 &amp; ";","")</f>
        <v/>
      </c>
      <c r="CS58" s="58">
        <f>IF(AND($H58="threat",$BW58=0.1,$BV58=0.05),$D58 &amp; ";","")</f>
        <v/>
      </c>
      <c r="CT58" s="58">
        <f>IF(AND($H58="threat",$BW58=0.1,$BV58=0.1),$D58 &amp; ";","")</f>
        <v/>
      </c>
      <c r="CU58" s="58">
        <f>IF(AND($H58="threat",$BW58=0.1,$BV58=0.2),$D58 &amp; ";","")</f>
        <v/>
      </c>
      <c r="CV58" s="58">
        <f>IF(AND($H58="threat",$BW58=0.1,$BV58=0.4),$D58 &amp; ";","")</f>
        <v/>
      </c>
      <c r="CW58" s="58">
        <f>IF(AND($H58="threat",$BW58=0.1,$BV58=0.8),$D58 &amp; ";","")</f>
        <v/>
      </c>
      <c r="CX58" s="39" t="n"/>
      <c r="CY58" s="58">
        <f>IF(AND($H58="opportunity",$BW58=0.9,$BV58=0.8),$D58 &amp; ";","")</f>
        <v/>
      </c>
      <c r="CZ58" s="58">
        <f>IF(AND($H58="opportunity",$BW58=0.9,$BV58=0.4),$D58 &amp; ";","")</f>
        <v/>
      </c>
      <c r="DA58" s="58">
        <f>IF(AND($H58="opportunity",$BW58=0.9,$BV58=0.2),$D58 &amp; ";","")</f>
        <v/>
      </c>
      <c r="DB58" s="58">
        <f>IF(AND($H58="opportunity",$BW58=0.9,$BV58=0.1),$D58 &amp; ";","")</f>
        <v/>
      </c>
      <c r="DC58" s="58">
        <f>IF(AND($H58="opportunity",$BW58=0.9,$BV58=0.05),$D58 &amp; ";","")</f>
        <v/>
      </c>
      <c r="DD58" s="58">
        <f>IF(AND($H58="opportunity",$BW58=0.7,$BV58=0.8),$D58 &amp; ";","")</f>
        <v/>
      </c>
      <c r="DE58" s="58">
        <f>IF(AND($H58="opportunity",$BW58=0.7,$BV58=0.4),$D58 &amp; ";","")</f>
        <v/>
      </c>
      <c r="DF58" s="58">
        <f>IF(AND($H58="opportunity",$BW58=0.7,$BV58=0.2),$D58 &amp; ";","")</f>
        <v/>
      </c>
      <c r="DG58" s="58">
        <f>IF(AND($H58="opportunity",$BW58=0.7,$BV58=0.1),$D58 &amp; ";","")</f>
        <v/>
      </c>
      <c r="DH58" s="58">
        <f>IF(AND($H58="opportunity",$BW58=0.7,$BV58=0.05),$D58 &amp; ";","")</f>
        <v/>
      </c>
      <c r="DI58" s="58">
        <f>IF(AND($H58="opportunity",$BW58=0.5,$BV58=0.8),$D58 &amp; ";","")</f>
        <v/>
      </c>
      <c r="DJ58" s="58">
        <f>IF(AND($H58="opportunity",$BW58=0.5,$BV58=0.4),$D58 &amp; ";","")</f>
        <v/>
      </c>
      <c r="DK58" s="58">
        <f>IF(AND($H58="opportunity",$BW58=0.5,$BV58=0.2),$D58 &amp; ";","")</f>
        <v/>
      </c>
      <c r="DL58" s="58">
        <f>IF(AND($H58="opportunity",$BW58=0.5,$BV58=0.1),$D58 &amp; ";","")</f>
        <v/>
      </c>
      <c r="DM58" s="58">
        <f>IF(AND($H58="opportunity",$BW58=0.5,$BV58=0.05),$D58 &amp; ";","")</f>
        <v/>
      </c>
      <c r="DN58" s="58">
        <f>IF(AND($H58="opportunity",$BW58=0.3,$BV58=0.8),$D58 &amp; ";","")</f>
        <v/>
      </c>
      <c r="DO58" s="58">
        <f>IF(AND($H58="opportunity",$BW58=0.3,$BV58=0.4),$D58 &amp; ";","")</f>
        <v/>
      </c>
      <c r="DP58" s="58">
        <f>IF(AND($H58="opportunity",$BW58=0.3,$BV58=0.2),$D58 &amp; ";","")</f>
        <v/>
      </c>
      <c r="DQ58" s="58">
        <f>IF(AND($H58="opportunity",$BW58=0.3,$BV58=0.1),$D58 &amp; ";","")</f>
        <v/>
      </c>
      <c r="DR58" s="58">
        <f>IF(AND($H58="opportunity",$BW58=0.3,$BV58=0.05),$D58 &amp; ";","")</f>
        <v/>
      </c>
      <c r="DS58" s="58">
        <f>IF(AND($H58="opportunity",$BW58=0.1,$BV58=0.8),$D58 &amp; ";","")</f>
        <v/>
      </c>
      <c r="DT58" s="58">
        <f>IF(AND($H58="opportunity",$BW58=0.1,$BV58=0.4),$D58 &amp; ";","")</f>
        <v/>
      </c>
      <c r="DU58" s="58">
        <f>IF(AND($H58="opportunity",$BW58=0.1,$BV58=0.2),$D58 &amp; ";","")</f>
        <v/>
      </c>
      <c r="DV58" s="58">
        <f>IF(AND($H58="opportunity",$BW58=0.1,$BV58=0.1),$D58 &amp; ";","")</f>
        <v/>
      </c>
      <c r="DW58" s="58">
        <f>IF(AND($H58="opportunity",$BW58=0.1,$BV58=0.05),$D58 &amp; ";","")</f>
        <v/>
      </c>
    </row>
    <row r="59">
      <c r="D59" s="60">
        <f>INDIRECT(ADDRESS(ROW()-22,COLUMN()-2,1,1,"Risk Register"))</f>
        <v/>
      </c>
      <c r="E59" s="143">
        <f>INDIRECT(ADDRESS(ROW()-22,COLUMN()-1,1,1,"Risk Register"))</f>
        <v/>
      </c>
      <c r="G59" s="56">
        <f>INDIRECT(ADDRESS(ROW()-22,COLUMN()+10,1,1,"Risk Register"))</f>
        <v/>
      </c>
      <c r="H59" s="60">
        <f>INDIRECT(ADDRESS(ROW()-22,COLUMN()+8,1,1,"Risk Register"))</f>
        <v/>
      </c>
      <c r="I59" s="54">
        <f>INDIRECT(ADDRESS(ROW()-22,COLUMN()+3,1,1,"Risk Register"))</f>
        <v/>
      </c>
      <c r="J59" s="143">
        <f>INDIRECT(ADDRESS(ROW()-22,COLUMN()+12,1,1,"Risk Register"))</f>
        <v/>
      </c>
      <c r="K59" s="143">
        <f>INDIRECT(ADDRESS(ROW()-22,COLUMN()-2,1,1,"Risk Register"))</f>
        <v/>
      </c>
      <c r="L59" s="176">
        <f>INDIRECT(ADDRESS(ROW()-22,COLUMN()+15,1,1,"Risk Register"))</f>
        <v/>
      </c>
      <c r="M59" s="54">
        <f>INDIRECT(ADDRESS(ROW()-22,COLUMN()+13,1,1,"Risk Register"))</f>
        <v/>
      </c>
      <c r="N59" s="143">
        <f>INDIRECT(ADDRESS(ROW()-22,COLUMN()-9,1,1,"Risk Register"))</f>
        <v/>
      </c>
      <c r="O59" s="143">
        <f>INDIRECT(ADDRESS(ROW()-22,COLUMN()-8,1,1,"Risk Register"))</f>
        <v/>
      </c>
      <c r="P59" s="56">
        <f>INDIRECT(ADDRESS(ROW()-22,COLUMN()+18,1,1,"Risk Register"))</f>
        <v/>
      </c>
      <c r="R59" s="57">
        <f>INDIRECT(ADDRESS(ROW()-22,COLUMN()-5,1,1,"Risk Register"))</f>
        <v/>
      </c>
      <c r="S59" s="58">
        <f>INDIRECT(ADDRESS(ROW()-22,COLUMN()-4,1,1,"Risk Register"))</f>
        <v/>
      </c>
      <c r="T59" s="59">
        <f>IF(AND($H59="threat",$G59&lt;=0.05),"gn",IF(AND($H59="threat",$G59&lt;=0.14),"y",IF(AND($H59="threat", $G59&gt;=0.15),"r",IF(AND($H59="opportunity",$G59&lt;=0.05),"gn",IF(AND($H59="opportunity",$G59&lt;=0.14),"lb",IF(AND($H59="opportunity",$G59&gt;=0.15),"db","z"))))))</f>
        <v/>
      </c>
      <c r="U59" s="58">
        <f>IF(AND($H59="threat",$S59=0.9,$R59=0.05),$D59 &amp; ";","")</f>
        <v/>
      </c>
      <c r="V59" s="58">
        <f>IF(AND($H59="threat",$S59=0.9,$R59=0.1),$D59 &amp; ";","")</f>
        <v/>
      </c>
      <c r="W59" s="58">
        <f>IF(AND($H59="threat",$S59=0.9,$R59=0.2),$D59 &amp; ";","")</f>
        <v/>
      </c>
      <c r="X59" s="58">
        <f>IF(AND($H59="threat",$S59=0.9,$R59=0.4),$D59 &amp; ";","")</f>
        <v/>
      </c>
      <c r="Y59" s="58">
        <f>IF(AND($H59="threat",$S59=0.9,$R59=0.8),$D59 &amp; ";","")</f>
        <v/>
      </c>
      <c r="Z59" s="58">
        <f>IF(AND($H59="threat",$S59=0.7,$R59=0.05),$D59 &amp; ";","")</f>
        <v/>
      </c>
      <c r="AA59" s="58">
        <f>IF(AND($H59="threat",$S59=0.7,$R59=0.1),$D59 &amp; ";","")</f>
        <v/>
      </c>
      <c r="AB59" s="58">
        <f>IF(AND($H59="threat",$S59=0.7,$R59=0.2),$D59 &amp; ";","")</f>
        <v/>
      </c>
      <c r="AC59" s="58">
        <f>IF(AND($H59="threat",$S59=0.7,$R59=0.4),$D59 &amp; ";","")</f>
        <v/>
      </c>
      <c r="AD59" s="58">
        <f>IF(AND($H59="threat",$S59=0.7,$R59=0.8),$D59 &amp; ";","")</f>
        <v/>
      </c>
      <c r="AE59" s="58">
        <f>IF(AND($H59="threat",$S59=0.5,$R59=0.05),$D59 &amp; ";","")</f>
        <v/>
      </c>
      <c r="AF59" s="58">
        <f>IF(AND($H59="threat",$S59=0.5,$R59=0.1),$D59 &amp; ";","")</f>
        <v/>
      </c>
      <c r="AG59" s="58">
        <f>IF(AND($H59="threat",$S59=0.5,$R59=0.2),$D59 &amp; ";","")</f>
        <v/>
      </c>
      <c r="AH59" s="58">
        <f>IF(AND($H59="threat",$S59=0.5,$R59=0.4),$D59 &amp; ";","")</f>
        <v/>
      </c>
      <c r="AI59" s="58">
        <f>IF(AND($H59="threat",$S59=0.5,$R59=0.8),$D59 &amp; ";","")</f>
        <v/>
      </c>
      <c r="AJ59" s="58">
        <f>IF(AND($H59="threat",$S59=0.3,$R59=0.05),$D59 &amp; ";","")</f>
        <v/>
      </c>
      <c r="AK59" s="58">
        <f>IF(AND($H59="threat",$S59=0.3,$R59=0.1),$D59 &amp; ";","")</f>
        <v/>
      </c>
      <c r="AL59" s="58">
        <f>IF(AND($H59="threat",$S59=0.3,$R59=0.2),$D59 &amp; ";","")</f>
        <v/>
      </c>
      <c r="AM59" s="58">
        <f>IF(AND($H59="threat",$S59=0.3,$R59=0.4),$D59 &amp; ";","")</f>
        <v/>
      </c>
      <c r="AN59" s="58">
        <f>IF(AND($H59="threat",$S59=0.3,$R59=0.8),$D59 &amp; ";","")</f>
        <v/>
      </c>
      <c r="AO59" s="58">
        <f>IF(AND($H59="threat",$S59=0.1,$R59=0.05),$D59 &amp; ";","")</f>
        <v/>
      </c>
      <c r="AP59" s="58">
        <f>IF(AND($H59="threat",$S59=0.1,$R59=0.1),$D59 &amp; ";","")</f>
        <v/>
      </c>
      <c r="AQ59" s="58">
        <f>IF(AND($H59="threat",$S59=0.1,$R59=0.2),$D59 &amp; ";","")</f>
        <v/>
      </c>
      <c r="AR59" s="58">
        <f>IF(AND($H59="threat",$S59=0.1,$R59=0.4),$D59 &amp; ";","")</f>
        <v/>
      </c>
      <c r="AS59" s="58">
        <f>IF(AND($H59="threat",$S59=0.1,$R59=0.8),$D59 &amp; ";","")</f>
        <v/>
      </c>
      <c r="AT59" s="39" t="n"/>
      <c r="AU59" s="58">
        <f>IF(AND($H59="opportunity",$S59=0.9,$R59=0.8),$D59 &amp; ";","")</f>
        <v/>
      </c>
      <c r="AV59" s="58">
        <f>IF(AND($H59="opportunity",$S59=0.9,$R59=0.4),$D59 &amp; ";","")</f>
        <v/>
      </c>
      <c r="AW59" s="58">
        <f>IF(AND($H59="opportunity",$S59=0.9,$R59=0.2),$D59 &amp; ";","")</f>
        <v/>
      </c>
      <c r="AX59" s="58">
        <f>IF(AND($H59="opportunity",$S59=0.9,$R59=0.1),$D59 &amp; ";","")</f>
        <v/>
      </c>
      <c r="AY59" s="58">
        <f>IF(AND($H59="opportunity",$S59=0.9,$R59=0.05),$D59 &amp; ";","")</f>
        <v/>
      </c>
      <c r="AZ59" s="58">
        <f>IF(AND($H59="opportunity",$S59=0.7,$R59=0.8),$D59 &amp; ";","")</f>
        <v/>
      </c>
      <c r="BA59" s="58">
        <f>IF(AND($H59="opportunity",$S59=0.7,$R59=0.4),$D59 &amp; ";","")</f>
        <v/>
      </c>
      <c r="BB59" s="58">
        <f>IF(AND($H59="opportunity",$S59=0.7,$R59=0.2),$D59 &amp; ";","")</f>
        <v/>
      </c>
      <c r="BC59" s="58">
        <f>IF(AND($H59="opportunity",$S59=0.7,$R59=0.1),$D59 &amp; ";","")</f>
        <v/>
      </c>
      <c r="BD59" s="58">
        <f>IF(AND($H59="opportunity",$S59=0.7,$R59=0.05),$D59 &amp; ";","")</f>
        <v/>
      </c>
      <c r="BE59" s="58">
        <f>IF(AND($H59="opportunity",$S59=0.5,$R59=0.8),$D59 &amp; ";","")</f>
        <v/>
      </c>
      <c r="BF59" s="58">
        <f>IF(AND($H59="opportunity",$S59=0.5,$R59=0.4),$D59 &amp; ";","")</f>
        <v/>
      </c>
      <c r="BG59" s="58">
        <f>IF(AND($H59="opportunity",$S59=0.5,$R59=0.2),$D59 &amp; ";","")</f>
        <v/>
      </c>
      <c r="BH59" s="58">
        <f>IF(AND($H59="opportunity",$S59=0.5,$R59=0.1),$D59 &amp; ";","")</f>
        <v/>
      </c>
      <c r="BI59" s="58">
        <f>IF(AND($H59="opportunity",$S59=0.5,$R59=0.05),$D59 &amp; ";","")</f>
        <v/>
      </c>
      <c r="BJ59" s="58">
        <f>IF(AND($H59="opportunity",$S59=0.3,$R59=0.8),$D59 &amp; ";","")</f>
        <v/>
      </c>
      <c r="BK59" s="58">
        <f>IF(AND($H59="opportunity",$S59=0.3,$R59=0.4),$D59 &amp; ";","")</f>
        <v/>
      </c>
      <c r="BL59" s="58">
        <f>IF(AND($H59="opportunity",$S59=0.3,$R59=0.2),$D59 &amp; ";","")</f>
        <v/>
      </c>
      <c r="BM59" s="58">
        <f>IF(AND($H59="opportunity",$S59=0.3,$R59=0.1),$D59 &amp; ";","")</f>
        <v/>
      </c>
      <c r="BN59" s="58">
        <f>IF(AND($H59="opportunity",$S59=0.3,$R59=0.05),$D59 &amp; ";","")</f>
        <v/>
      </c>
      <c r="BO59" s="58">
        <f>IF(AND($H59="opportunity",$S59=0.1,$R59=0.8),$D59 &amp; ";","")</f>
        <v/>
      </c>
      <c r="BP59" s="58">
        <f>IF(AND($H59="opportunity",$S59=0.1,$R59=0.4),$D59 &amp; ";","")</f>
        <v/>
      </c>
      <c r="BQ59" s="58">
        <f>IF(AND($H59="opportunity",$S59=0.1,$R59=0.2),$D59 &amp; ";","")</f>
        <v/>
      </c>
      <c r="BR59" s="58">
        <f>IF(AND($H59="opportunity",$S59=0.1,$R59=0.1),$D59 &amp; ";","")</f>
        <v/>
      </c>
      <c r="BS59" s="58">
        <f>IF(AND($H59="opportunity",$S59=0.1,$R59=0.05),$D59 &amp; ";","")</f>
        <v/>
      </c>
      <c r="BV59" s="57">
        <f>INDIRECT(ADDRESS(ROW()-22,COLUMN()-45,1,1,"Risk Register"))</f>
        <v/>
      </c>
      <c r="BW59" s="58">
        <f>INDIRECT(ADDRESS(ROW()-22,COLUMN()-44,1,1,"Risk Register"))</f>
        <v/>
      </c>
      <c r="BX59" s="59">
        <f>IF(AND($H59="threat",$P59&lt;=0.05),"gn",IF(AND($H59="threat",$P59&lt;=0.14),"y",IF(AND($H59="threat", $P59&gt;=0.15),"r",IF(AND($H59="opportunity",$P59&lt;=0.05),"gn",IF(AND($H59="opportunity",$P59&lt;=0.14),"lb",IF(AND($H59="opportunity",$P59&gt;=0.15),"db","z"))))))</f>
        <v/>
      </c>
      <c r="BY59" s="58">
        <f>IF(AND($H59="threat",$BW59=0.9,$BV59=0.05),$D59 &amp; ";","")</f>
        <v/>
      </c>
      <c r="BZ59" s="58">
        <f>IF(AND($H59="threat",$BW59=0.9,$BV59=0.1),$D59 &amp; ";","")</f>
        <v/>
      </c>
      <c r="CA59" s="58">
        <f>IF(AND($H59="threat",$BW59=0.9,$BV59=0.2),$D59 &amp; ";","")</f>
        <v/>
      </c>
      <c r="CB59" s="58">
        <f>IF(AND($H59="threat",$BW59=0.9,$BV59=0.4),$D59 &amp; ";","")</f>
        <v/>
      </c>
      <c r="CC59" s="58">
        <f>IF(AND($H59="threat",$BW59=0.9,$BV59=0.8),$D59 &amp; ";","")</f>
        <v/>
      </c>
      <c r="CD59" s="58">
        <f>IF(AND($H59="threat",$BW59=0.7,$BV59=0.05),$D59 &amp; ";","")</f>
        <v/>
      </c>
      <c r="CE59" s="58">
        <f>IF(AND($H59="threat",$BW59=0.7,$BV59=0.1),$D59 &amp; ";","")</f>
        <v/>
      </c>
      <c r="CF59" s="58">
        <f>IF(AND($H59="threat",$BW59=0.7,$BV59=0.2),$D59 &amp; ";","")</f>
        <v/>
      </c>
      <c r="CG59" s="58">
        <f>IF(AND($H59="threat",$BW59=0.7,$BV59=0.4),$D59 &amp; ";","")</f>
        <v/>
      </c>
      <c r="CH59" s="58">
        <f>IF(AND($H59="threat",$BW59=0.7,$BV59=0.8),$D59 &amp; ";","")</f>
        <v/>
      </c>
      <c r="CI59" s="58">
        <f>IF(AND($H59="threat",$BW59=0.5,$BV59=0.05),$D59 &amp; ";","")</f>
        <v/>
      </c>
      <c r="CJ59" s="58">
        <f>IF(AND($H59="threat",$BW59=0.5,$BV59=0.1),$D59 &amp; ";","")</f>
        <v/>
      </c>
      <c r="CK59" s="58">
        <f>IF(AND($H59="threat",$BW59=0.5,$BV59=0.2),$D59 &amp; ";","")</f>
        <v/>
      </c>
      <c r="CL59" s="58">
        <f>IF(AND($H59="threat",$BW59=0.5,$BV59=0.4),$D59 &amp; ";","")</f>
        <v/>
      </c>
      <c r="CM59" s="58">
        <f>IF(AND($H59="threat",$BW59=0.5,$BV59=0.8),$D59 &amp; ";","")</f>
        <v/>
      </c>
      <c r="CN59" s="58">
        <f>IF(AND($H59="threat",$BW59=0.3,$BV59=0.05),$D59 &amp; ";","")</f>
        <v/>
      </c>
      <c r="CO59" s="58">
        <f>IF(AND($H59="threat",$BW59=0.3,$BV59=0.1),$D59 &amp; ";","")</f>
        <v/>
      </c>
      <c r="CP59" s="58">
        <f>IF(AND($H59="threat",$BW59=0.3,$BV59=0.2),$D59 &amp; ";","")</f>
        <v/>
      </c>
      <c r="CQ59" s="58">
        <f>IF(AND($H59="threat",$BW59=0.3,$BV59=0.4),$D59 &amp; ";","")</f>
        <v/>
      </c>
      <c r="CR59" s="58">
        <f>IF(AND($H59="threat",$BW59=0.3,$BV59=0.8),$D59 &amp; ";","")</f>
        <v/>
      </c>
      <c r="CS59" s="58">
        <f>IF(AND($H59="threat",$BW59=0.1,$BV59=0.05),$D59 &amp; ";","")</f>
        <v/>
      </c>
      <c r="CT59" s="58">
        <f>IF(AND($H59="threat",$BW59=0.1,$BV59=0.1),$D59 &amp; ";","")</f>
        <v/>
      </c>
      <c r="CU59" s="58">
        <f>IF(AND($H59="threat",$BW59=0.1,$BV59=0.2),$D59 &amp; ";","")</f>
        <v/>
      </c>
      <c r="CV59" s="58">
        <f>IF(AND($H59="threat",$BW59=0.1,$BV59=0.4),$D59 &amp; ";","")</f>
        <v/>
      </c>
      <c r="CW59" s="58">
        <f>IF(AND($H59="threat",$BW59=0.1,$BV59=0.8),$D59 &amp; ";","")</f>
        <v/>
      </c>
      <c r="CX59" s="39" t="n"/>
      <c r="CY59" s="58">
        <f>IF(AND($H59="opportunity",$BW59=0.9,$BV59=0.8),$D59 &amp; ";","")</f>
        <v/>
      </c>
      <c r="CZ59" s="58">
        <f>IF(AND($H59="opportunity",$BW59=0.9,$BV59=0.4),$D59 &amp; ";","")</f>
        <v/>
      </c>
      <c r="DA59" s="58">
        <f>IF(AND($H59="opportunity",$BW59=0.9,$BV59=0.2),$D59 &amp; ";","")</f>
        <v/>
      </c>
      <c r="DB59" s="58">
        <f>IF(AND($H59="opportunity",$BW59=0.9,$BV59=0.1),$D59 &amp; ";","")</f>
        <v/>
      </c>
      <c r="DC59" s="58">
        <f>IF(AND($H59="opportunity",$BW59=0.9,$BV59=0.05),$D59 &amp; ";","")</f>
        <v/>
      </c>
      <c r="DD59" s="58">
        <f>IF(AND($H59="opportunity",$BW59=0.7,$BV59=0.8),$D59 &amp; ";","")</f>
        <v/>
      </c>
      <c r="DE59" s="58">
        <f>IF(AND($H59="opportunity",$BW59=0.7,$BV59=0.4),$D59 &amp; ";","")</f>
        <v/>
      </c>
      <c r="DF59" s="58">
        <f>IF(AND($H59="opportunity",$BW59=0.7,$BV59=0.2),$D59 &amp; ";","")</f>
        <v/>
      </c>
      <c r="DG59" s="58">
        <f>IF(AND($H59="opportunity",$BW59=0.7,$BV59=0.1),$D59 &amp; ";","")</f>
        <v/>
      </c>
      <c r="DH59" s="58">
        <f>IF(AND($H59="opportunity",$BW59=0.7,$BV59=0.05),$D59 &amp; ";","")</f>
        <v/>
      </c>
      <c r="DI59" s="58">
        <f>IF(AND($H59="opportunity",$BW59=0.5,$BV59=0.8),$D59 &amp; ";","")</f>
        <v/>
      </c>
      <c r="DJ59" s="58">
        <f>IF(AND($H59="opportunity",$BW59=0.5,$BV59=0.4),$D59 &amp; ";","")</f>
        <v/>
      </c>
      <c r="DK59" s="58">
        <f>IF(AND($H59="opportunity",$BW59=0.5,$BV59=0.2),$D59 &amp; ";","")</f>
        <v/>
      </c>
      <c r="DL59" s="58">
        <f>IF(AND($H59="opportunity",$BW59=0.5,$BV59=0.1),$D59 &amp; ";","")</f>
        <v/>
      </c>
      <c r="DM59" s="58">
        <f>IF(AND($H59="opportunity",$BW59=0.5,$BV59=0.05),$D59 &amp; ";","")</f>
        <v/>
      </c>
      <c r="DN59" s="58">
        <f>IF(AND($H59="opportunity",$BW59=0.3,$BV59=0.8),$D59 &amp; ";","")</f>
        <v/>
      </c>
      <c r="DO59" s="58">
        <f>IF(AND($H59="opportunity",$BW59=0.3,$BV59=0.4),$D59 &amp; ";","")</f>
        <v/>
      </c>
      <c r="DP59" s="58">
        <f>IF(AND($H59="opportunity",$BW59=0.3,$BV59=0.2),$D59 &amp; ";","")</f>
        <v/>
      </c>
      <c r="DQ59" s="58">
        <f>IF(AND($H59="opportunity",$BW59=0.3,$BV59=0.1),$D59 &amp; ";","")</f>
        <v/>
      </c>
      <c r="DR59" s="58">
        <f>IF(AND($H59="opportunity",$BW59=0.3,$BV59=0.05),$D59 &amp; ";","")</f>
        <v/>
      </c>
      <c r="DS59" s="58">
        <f>IF(AND($H59="opportunity",$BW59=0.1,$BV59=0.8),$D59 &amp; ";","")</f>
        <v/>
      </c>
      <c r="DT59" s="58">
        <f>IF(AND($H59="opportunity",$BW59=0.1,$BV59=0.4),$D59 &amp; ";","")</f>
        <v/>
      </c>
      <c r="DU59" s="58">
        <f>IF(AND($H59="opportunity",$BW59=0.1,$BV59=0.2),$D59 &amp; ";","")</f>
        <v/>
      </c>
      <c r="DV59" s="58">
        <f>IF(AND($H59="opportunity",$BW59=0.1,$BV59=0.1),$D59 &amp; ";","")</f>
        <v/>
      </c>
      <c r="DW59" s="58">
        <f>IF(AND($H59="opportunity",$BW59=0.1,$BV59=0.05),$D59 &amp; ";","")</f>
        <v/>
      </c>
    </row>
    <row r="60">
      <c r="D60" s="60">
        <f>INDIRECT(ADDRESS(ROW()-22,COLUMN()-2,1,1,"Risk Register"))</f>
        <v/>
      </c>
      <c r="E60" s="143">
        <f>INDIRECT(ADDRESS(ROW()-22,COLUMN()-1,1,1,"Risk Register"))</f>
        <v/>
      </c>
      <c r="G60" s="56">
        <f>INDIRECT(ADDRESS(ROW()-22,COLUMN()+10,1,1,"Risk Register"))</f>
        <v/>
      </c>
      <c r="H60" s="60">
        <f>INDIRECT(ADDRESS(ROW()-22,COLUMN()+8,1,1,"Risk Register"))</f>
        <v/>
      </c>
      <c r="I60" s="54">
        <f>INDIRECT(ADDRESS(ROW()-22,COLUMN()+3,1,1,"Risk Register"))</f>
        <v/>
      </c>
      <c r="J60" s="143">
        <f>INDIRECT(ADDRESS(ROW()-22,COLUMN()+12,1,1,"Risk Register"))</f>
        <v/>
      </c>
      <c r="K60" s="143">
        <f>INDIRECT(ADDRESS(ROW()-22,COLUMN()-2,1,1,"Risk Register"))</f>
        <v/>
      </c>
      <c r="L60" s="176">
        <f>INDIRECT(ADDRESS(ROW()-22,COLUMN()+15,1,1,"Risk Register"))</f>
        <v/>
      </c>
      <c r="M60" s="54">
        <f>INDIRECT(ADDRESS(ROW()-22,COLUMN()+13,1,1,"Risk Register"))</f>
        <v/>
      </c>
      <c r="N60" s="143">
        <f>INDIRECT(ADDRESS(ROW()-22,COLUMN()-9,1,1,"Risk Register"))</f>
        <v/>
      </c>
      <c r="O60" s="143">
        <f>INDIRECT(ADDRESS(ROW()-22,COLUMN()-8,1,1,"Risk Register"))</f>
        <v/>
      </c>
      <c r="P60" s="56">
        <f>INDIRECT(ADDRESS(ROW()-22,COLUMN()+18,1,1,"Risk Register"))</f>
        <v/>
      </c>
      <c r="R60" s="57">
        <f>INDIRECT(ADDRESS(ROW()-22,COLUMN()-5,1,1,"Risk Register"))</f>
        <v/>
      </c>
      <c r="S60" s="58">
        <f>INDIRECT(ADDRESS(ROW()-22,COLUMN()-4,1,1,"Risk Register"))</f>
        <v/>
      </c>
      <c r="T60" s="59">
        <f>IF(AND($H60="threat",$G60&lt;=0.05),"gn",IF(AND($H60="threat",$G60&lt;=0.14),"y",IF(AND($H60="threat", $G60&gt;=0.15),"r",IF(AND($H60="opportunity",$G60&lt;=0.05),"gn",IF(AND($H60="opportunity",$G60&lt;=0.14),"lb",IF(AND($H60="opportunity",$G60&gt;=0.15),"db","z"))))))</f>
        <v/>
      </c>
      <c r="U60" s="58">
        <f>IF(AND($H60="threat",$S60=0.9,$R60=0.05),$D60 &amp; ";","")</f>
        <v/>
      </c>
      <c r="V60" s="58">
        <f>IF(AND($H60="threat",$S60=0.9,$R60=0.1),$D60 &amp; ";","")</f>
        <v/>
      </c>
      <c r="W60" s="58">
        <f>IF(AND($H60="threat",$S60=0.9,$R60=0.2),$D60 &amp; ";","")</f>
        <v/>
      </c>
      <c r="X60" s="58">
        <f>IF(AND($H60="threat",$S60=0.9,$R60=0.4),$D60 &amp; ";","")</f>
        <v/>
      </c>
      <c r="Y60" s="58">
        <f>IF(AND($H60="threat",$S60=0.9,$R60=0.8),$D60 &amp; ";","")</f>
        <v/>
      </c>
      <c r="Z60" s="58">
        <f>IF(AND($H60="threat",$S60=0.7,$R60=0.05),$D60 &amp; ";","")</f>
        <v/>
      </c>
      <c r="AA60" s="58">
        <f>IF(AND($H60="threat",$S60=0.7,$R60=0.1),$D60 &amp; ";","")</f>
        <v/>
      </c>
      <c r="AB60" s="58">
        <f>IF(AND($H60="threat",$S60=0.7,$R60=0.2),$D60 &amp; ";","")</f>
        <v/>
      </c>
      <c r="AC60" s="58">
        <f>IF(AND($H60="threat",$S60=0.7,$R60=0.4),$D60 &amp; ";","")</f>
        <v/>
      </c>
      <c r="AD60" s="58">
        <f>IF(AND($H60="threat",$S60=0.7,$R60=0.8),$D60 &amp; ";","")</f>
        <v/>
      </c>
      <c r="AE60" s="58">
        <f>IF(AND($H60="threat",$S60=0.5,$R60=0.05),$D60 &amp; ";","")</f>
        <v/>
      </c>
      <c r="AF60" s="58">
        <f>IF(AND($H60="threat",$S60=0.5,$R60=0.1),$D60 &amp; ";","")</f>
        <v/>
      </c>
      <c r="AG60" s="58">
        <f>IF(AND($H60="threat",$S60=0.5,$R60=0.2),$D60 &amp; ";","")</f>
        <v/>
      </c>
      <c r="AH60" s="58">
        <f>IF(AND($H60="threat",$S60=0.5,$R60=0.4),$D60 &amp; ";","")</f>
        <v/>
      </c>
      <c r="AI60" s="58">
        <f>IF(AND($H60="threat",$S60=0.5,$R60=0.8),$D60 &amp; ";","")</f>
        <v/>
      </c>
      <c r="AJ60" s="58">
        <f>IF(AND($H60="threat",$S60=0.3,$R60=0.05),$D60 &amp; ";","")</f>
        <v/>
      </c>
      <c r="AK60" s="58">
        <f>IF(AND($H60="threat",$S60=0.3,$R60=0.1),$D60 &amp; ";","")</f>
        <v/>
      </c>
      <c r="AL60" s="58">
        <f>IF(AND($H60="threat",$S60=0.3,$R60=0.2),$D60 &amp; ";","")</f>
        <v/>
      </c>
      <c r="AM60" s="58">
        <f>IF(AND($H60="threat",$S60=0.3,$R60=0.4),$D60 &amp; ";","")</f>
        <v/>
      </c>
      <c r="AN60" s="58">
        <f>IF(AND($H60="threat",$S60=0.3,$R60=0.8),$D60 &amp; ";","")</f>
        <v/>
      </c>
      <c r="AO60" s="58">
        <f>IF(AND($H60="threat",$S60=0.1,$R60=0.05),$D60 &amp; ";","")</f>
        <v/>
      </c>
      <c r="AP60" s="58">
        <f>IF(AND($H60="threat",$S60=0.1,$R60=0.1),$D60 &amp; ";","")</f>
        <v/>
      </c>
      <c r="AQ60" s="58">
        <f>IF(AND($H60="threat",$S60=0.1,$R60=0.2),$D60 &amp; ";","")</f>
        <v/>
      </c>
      <c r="AR60" s="58">
        <f>IF(AND($H60="threat",$S60=0.1,$R60=0.4),$D60 &amp; ";","")</f>
        <v/>
      </c>
      <c r="AS60" s="58">
        <f>IF(AND($H60="threat",$S60=0.1,$R60=0.8),$D60 &amp; ";","")</f>
        <v/>
      </c>
      <c r="AT60" s="39" t="n"/>
      <c r="AU60" s="58">
        <f>IF(AND($H60="opportunity",$S60=0.9,$R60=0.8),$D60 &amp; ";","")</f>
        <v/>
      </c>
      <c r="AV60" s="58">
        <f>IF(AND($H60="opportunity",$S60=0.9,$R60=0.4),$D60 &amp; ";","")</f>
        <v/>
      </c>
      <c r="AW60" s="58">
        <f>IF(AND($H60="opportunity",$S60=0.9,$R60=0.2),$D60 &amp; ";","")</f>
        <v/>
      </c>
      <c r="AX60" s="58">
        <f>IF(AND($H60="opportunity",$S60=0.9,$R60=0.1),$D60 &amp; ";","")</f>
        <v/>
      </c>
      <c r="AY60" s="58">
        <f>IF(AND($H60="opportunity",$S60=0.9,$R60=0.05),$D60 &amp; ";","")</f>
        <v/>
      </c>
      <c r="AZ60" s="58">
        <f>IF(AND($H60="opportunity",$S60=0.7,$R60=0.8),$D60 &amp; ";","")</f>
        <v/>
      </c>
      <c r="BA60" s="58">
        <f>IF(AND($H60="opportunity",$S60=0.7,$R60=0.4),$D60 &amp; ";","")</f>
        <v/>
      </c>
      <c r="BB60" s="58">
        <f>IF(AND($H60="opportunity",$S60=0.7,$R60=0.2),$D60 &amp; ";","")</f>
        <v/>
      </c>
      <c r="BC60" s="58">
        <f>IF(AND($H60="opportunity",$S60=0.7,$R60=0.1),$D60 &amp; ";","")</f>
        <v/>
      </c>
      <c r="BD60" s="58">
        <f>IF(AND($H60="opportunity",$S60=0.7,$R60=0.05),$D60 &amp; ";","")</f>
        <v/>
      </c>
      <c r="BE60" s="58">
        <f>IF(AND($H60="opportunity",$S60=0.5,$R60=0.8),$D60 &amp; ";","")</f>
        <v/>
      </c>
      <c r="BF60" s="58">
        <f>IF(AND($H60="opportunity",$S60=0.5,$R60=0.4),$D60 &amp; ";","")</f>
        <v/>
      </c>
      <c r="BG60" s="58">
        <f>IF(AND($H60="opportunity",$S60=0.5,$R60=0.2),$D60 &amp; ";","")</f>
        <v/>
      </c>
      <c r="BH60" s="58">
        <f>IF(AND($H60="opportunity",$S60=0.5,$R60=0.1),$D60 &amp; ";","")</f>
        <v/>
      </c>
      <c r="BI60" s="58">
        <f>IF(AND($H60="opportunity",$S60=0.5,$R60=0.05),$D60 &amp; ";","")</f>
        <v/>
      </c>
      <c r="BJ60" s="58">
        <f>IF(AND($H60="opportunity",$S60=0.3,$R60=0.8),$D60 &amp; ";","")</f>
        <v/>
      </c>
      <c r="BK60" s="58">
        <f>IF(AND($H60="opportunity",$S60=0.3,$R60=0.4),$D60 &amp; ";","")</f>
        <v/>
      </c>
      <c r="BL60" s="58">
        <f>IF(AND($H60="opportunity",$S60=0.3,$R60=0.2),$D60 &amp; ";","")</f>
        <v/>
      </c>
      <c r="BM60" s="58">
        <f>IF(AND($H60="opportunity",$S60=0.3,$R60=0.1),$D60 &amp; ";","")</f>
        <v/>
      </c>
      <c r="BN60" s="58">
        <f>IF(AND($H60="opportunity",$S60=0.3,$R60=0.05),$D60 &amp; ";","")</f>
        <v/>
      </c>
      <c r="BO60" s="58">
        <f>IF(AND($H60="opportunity",$S60=0.1,$R60=0.8),$D60 &amp; ";","")</f>
        <v/>
      </c>
      <c r="BP60" s="58">
        <f>IF(AND($H60="opportunity",$S60=0.1,$R60=0.4),$D60 &amp; ";","")</f>
        <v/>
      </c>
      <c r="BQ60" s="58">
        <f>IF(AND($H60="opportunity",$S60=0.1,$R60=0.2),$D60 &amp; ";","")</f>
        <v/>
      </c>
      <c r="BR60" s="58">
        <f>IF(AND($H60="opportunity",$S60=0.1,$R60=0.1),$D60 &amp; ";","")</f>
        <v/>
      </c>
      <c r="BS60" s="58">
        <f>IF(AND($H60="opportunity",$S60=0.1,$R60=0.05),$D60 &amp; ";","")</f>
        <v/>
      </c>
      <c r="BV60" s="57">
        <f>INDIRECT(ADDRESS(ROW()-22,COLUMN()-45,1,1,"Risk Register"))</f>
        <v/>
      </c>
      <c r="BW60" s="58">
        <f>INDIRECT(ADDRESS(ROW()-22,COLUMN()-44,1,1,"Risk Register"))</f>
        <v/>
      </c>
      <c r="BX60" s="59">
        <f>IF(AND($H60="threat",$P60&lt;=0.05),"gn",IF(AND($H60="threat",$P60&lt;=0.14),"y",IF(AND($H60="threat", $P60&gt;=0.15),"r",IF(AND($H60="opportunity",$P60&lt;=0.05),"gn",IF(AND($H60="opportunity",$P60&lt;=0.14),"lb",IF(AND($H60="opportunity",$P60&gt;=0.15),"db","z"))))))</f>
        <v/>
      </c>
      <c r="BY60" s="58">
        <f>IF(AND($H60="threat",$BW60=0.9,$BV60=0.05),$D60 &amp; ";","")</f>
        <v/>
      </c>
      <c r="BZ60" s="58">
        <f>IF(AND($H60="threat",$BW60=0.9,$BV60=0.1),$D60 &amp; ";","")</f>
        <v/>
      </c>
      <c r="CA60" s="58">
        <f>IF(AND($H60="threat",$BW60=0.9,$BV60=0.2),$D60 &amp; ";","")</f>
        <v/>
      </c>
      <c r="CB60" s="58">
        <f>IF(AND($H60="threat",$BW60=0.9,$BV60=0.4),$D60 &amp; ";","")</f>
        <v/>
      </c>
      <c r="CC60" s="58">
        <f>IF(AND($H60="threat",$BW60=0.9,$BV60=0.8),$D60 &amp; ";","")</f>
        <v/>
      </c>
      <c r="CD60" s="58">
        <f>IF(AND($H60="threat",$BW60=0.7,$BV60=0.05),$D60 &amp; ";","")</f>
        <v/>
      </c>
      <c r="CE60" s="58">
        <f>IF(AND($H60="threat",$BW60=0.7,$BV60=0.1),$D60 &amp; ";","")</f>
        <v/>
      </c>
      <c r="CF60" s="58">
        <f>IF(AND($H60="threat",$BW60=0.7,$BV60=0.2),$D60 &amp; ";","")</f>
        <v/>
      </c>
      <c r="CG60" s="58">
        <f>IF(AND($H60="threat",$BW60=0.7,$BV60=0.4),$D60 &amp; ";","")</f>
        <v/>
      </c>
      <c r="CH60" s="58">
        <f>IF(AND($H60="threat",$BW60=0.7,$BV60=0.8),$D60 &amp; ";","")</f>
        <v/>
      </c>
      <c r="CI60" s="58">
        <f>IF(AND($H60="threat",$BW60=0.5,$BV60=0.05),$D60 &amp; ";","")</f>
        <v/>
      </c>
      <c r="CJ60" s="58">
        <f>IF(AND($H60="threat",$BW60=0.5,$BV60=0.1),$D60 &amp; ";","")</f>
        <v/>
      </c>
      <c r="CK60" s="58">
        <f>IF(AND($H60="threat",$BW60=0.5,$BV60=0.2),$D60 &amp; ";","")</f>
        <v/>
      </c>
      <c r="CL60" s="58">
        <f>IF(AND($H60="threat",$BW60=0.5,$BV60=0.4),$D60 &amp; ";","")</f>
        <v/>
      </c>
      <c r="CM60" s="58">
        <f>IF(AND($H60="threat",$BW60=0.5,$BV60=0.8),$D60 &amp; ";","")</f>
        <v/>
      </c>
      <c r="CN60" s="58">
        <f>IF(AND($H60="threat",$BW60=0.3,$BV60=0.05),$D60 &amp; ";","")</f>
        <v/>
      </c>
      <c r="CO60" s="58">
        <f>IF(AND($H60="threat",$BW60=0.3,$BV60=0.1),$D60 &amp; ";","")</f>
        <v/>
      </c>
      <c r="CP60" s="58">
        <f>IF(AND($H60="threat",$BW60=0.3,$BV60=0.2),$D60 &amp; ";","")</f>
        <v/>
      </c>
      <c r="CQ60" s="58">
        <f>IF(AND($H60="threat",$BW60=0.3,$BV60=0.4),$D60 &amp; ";","")</f>
        <v/>
      </c>
      <c r="CR60" s="58">
        <f>IF(AND($H60="threat",$BW60=0.3,$BV60=0.8),$D60 &amp; ";","")</f>
        <v/>
      </c>
      <c r="CS60" s="58">
        <f>IF(AND($H60="threat",$BW60=0.1,$BV60=0.05),$D60 &amp; ";","")</f>
        <v/>
      </c>
      <c r="CT60" s="58">
        <f>IF(AND($H60="threat",$BW60=0.1,$BV60=0.1),$D60 &amp; ";","")</f>
        <v/>
      </c>
      <c r="CU60" s="58">
        <f>IF(AND($H60="threat",$BW60=0.1,$BV60=0.2),$D60 &amp; ";","")</f>
        <v/>
      </c>
      <c r="CV60" s="58">
        <f>IF(AND($H60="threat",$BW60=0.1,$BV60=0.4),$D60 &amp; ";","")</f>
        <v/>
      </c>
      <c r="CW60" s="58">
        <f>IF(AND($H60="threat",$BW60=0.1,$BV60=0.8),$D60 &amp; ";","")</f>
        <v/>
      </c>
      <c r="CX60" s="39" t="n"/>
      <c r="CY60" s="58">
        <f>IF(AND($H60="opportunity",$BW60=0.9,$BV60=0.8),$D60 &amp; ";","")</f>
        <v/>
      </c>
      <c r="CZ60" s="58">
        <f>IF(AND($H60="opportunity",$BW60=0.9,$BV60=0.4),$D60 &amp; ";","")</f>
        <v/>
      </c>
      <c r="DA60" s="58">
        <f>IF(AND($H60="opportunity",$BW60=0.9,$BV60=0.2),$D60 &amp; ";","")</f>
        <v/>
      </c>
      <c r="DB60" s="58">
        <f>IF(AND($H60="opportunity",$BW60=0.9,$BV60=0.1),$D60 &amp; ";","")</f>
        <v/>
      </c>
      <c r="DC60" s="58">
        <f>IF(AND($H60="opportunity",$BW60=0.9,$BV60=0.05),$D60 &amp; ";","")</f>
        <v/>
      </c>
      <c r="DD60" s="58">
        <f>IF(AND($H60="opportunity",$BW60=0.7,$BV60=0.8),$D60 &amp; ";","")</f>
        <v/>
      </c>
      <c r="DE60" s="58">
        <f>IF(AND($H60="opportunity",$BW60=0.7,$BV60=0.4),$D60 &amp; ";","")</f>
        <v/>
      </c>
      <c r="DF60" s="58">
        <f>IF(AND($H60="opportunity",$BW60=0.7,$BV60=0.2),$D60 &amp; ";","")</f>
        <v/>
      </c>
      <c r="DG60" s="58">
        <f>IF(AND($H60="opportunity",$BW60=0.7,$BV60=0.1),$D60 &amp; ";","")</f>
        <v/>
      </c>
      <c r="DH60" s="58">
        <f>IF(AND($H60="opportunity",$BW60=0.7,$BV60=0.05),$D60 &amp; ";","")</f>
        <v/>
      </c>
      <c r="DI60" s="58">
        <f>IF(AND($H60="opportunity",$BW60=0.5,$BV60=0.8),$D60 &amp; ";","")</f>
        <v/>
      </c>
      <c r="DJ60" s="58">
        <f>IF(AND($H60="opportunity",$BW60=0.5,$BV60=0.4),$D60 &amp; ";","")</f>
        <v/>
      </c>
      <c r="DK60" s="58">
        <f>IF(AND($H60="opportunity",$BW60=0.5,$BV60=0.2),$D60 &amp; ";","")</f>
        <v/>
      </c>
      <c r="DL60" s="58">
        <f>IF(AND($H60="opportunity",$BW60=0.5,$BV60=0.1),$D60 &amp; ";","")</f>
        <v/>
      </c>
      <c r="DM60" s="58">
        <f>IF(AND($H60="opportunity",$BW60=0.5,$BV60=0.05),$D60 &amp; ";","")</f>
        <v/>
      </c>
      <c r="DN60" s="58">
        <f>IF(AND($H60="opportunity",$BW60=0.3,$BV60=0.8),$D60 &amp; ";","")</f>
        <v/>
      </c>
      <c r="DO60" s="58">
        <f>IF(AND($H60="opportunity",$BW60=0.3,$BV60=0.4),$D60 &amp; ";","")</f>
        <v/>
      </c>
      <c r="DP60" s="58">
        <f>IF(AND($H60="opportunity",$BW60=0.3,$BV60=0.2),$D60 &amp; ";","")</f>
        <v/>
      </c>
      <c r="DQ60" s="58">
        <f>IF(AND($H60="opportunity",$BW60=0.3,$BV60=0.1),$D60 &amp; ";","")</f>
        <v/>
      </c>
      <c r="DR60" s="58">
        <f>IF(AND($H60="opportunity",$BW60=0.3,$BV60=0.05),$D60 &amp; ";","")</f>
        <v/>
      </c>
      <c r="DS60" s="58">
        <f>IF(AND($H60="opportunity",$BW60=0.1,$BV60=0.8),$D60 &amp; ";","")</f>
        <v/>
      </c>
      <c r="DT60" s="58">
        <f>IF(AND($H60="opportunity",$BW60=0.1,$BV60=0.4),$D60 &amp; ";","")</f>
        <v/>
      </c>
      <c r="DU60" s="58">
        <f>IF(AND($H60="opportunity",$BW60=0.1,$BV60=0.2),$D60 &amp; ";","")</f>
        <v/>
      </c>
      <c r="DV60" s="58">
        <f>IF(AND($H60="opportunity",$BW60=0.1,$BV60=0.1),$D60 &amp; ";","")</f>
        <v/>
      </c>
      <c r="DW60" s="58">
        <f>IF(AND($H60="opportunity",$BW60=0.1,$BV60=0.05),$D60 &amp; ";","")</f>
        <v/>
      </c>
    </row>
    <row r="61">
      <c r="D61" s="60">
        <f>INDIRECT(ADDRESS(ROW()-22,COLUMN()-2,1,1,"Risk Register"))</f>
        <v/>
      </c>
      <c r="E61" s="143">
        <f>INDIRECT(ADDRESS(ROW()-22,COLUMN()-1,1,1,"Risk Register"))</f>
        <v/>
      </c>
      <c r="G61" s="56">
        <f>INDIRECT(ADDRESS(ROW()-22,COLUMN()+10,1,1,"Risk Register"))</f>
        <v/>
      </c>
      <c r="H61" s="60">
        <f>INDIRECT(ADDRESS(ROW()-22,COLUMN()+8,1,1,"Risk Register"))</f>
        <v/>
      </c>
      <c r="I61" s="54">
        <f>INDIRECT(ADDRESS(ROW()-22,COLUMN()+3,1,1,"Risk Register"))</f>
        <v/>
      </c>
      <c r="J61" s="143">
        <f>INDIRECT(ADDRESS(ROW()-22,COLUMN()+12,1,1,"Risk Register"))</f>
        <v/>
      </c>
      <c r="K61" s="143">
        <f>INDIRECT(ADDRESS(ROW()-22,COLUMN()-2,1,1,"Risk Register"))</f>
        <v/>
      </c>
      <c r="L61" s="176">
        <f>INDIRECT(ADDRESS(ROW()-22,COLUMN()+15,1,1,"Risk Register"))</f>
        <v/>
      </c>
      <c r="M61" s="54">
        <f>INDIRECT(ADDRESS(ROW()-22,COLUMN()+13,1,1,"Risk Register"))</f>
        <v/>
      </c>
      <c r="N61" s="143">
        <f>INDIRECT(ADDRESS(ROW()-22,COLUMN()-9,1,1,"Risk Register"))</f>
        <v/>
      </c>
      <c r="O61" s="143">
        <f>INDIRECT(ADDRESS(ROW()-22,COLUMN()-8,1,1,"Risk Register"))</f>
        <v/>
      </c>
      <c r="P61" s="56">
        <f>INDIRECT(ADDRESS(ROW()-22,COLUMN()+18,1,1,"Risk Register"))</f>
        <v/>
      </c>
      <c r="R61" s="57">
        <f>INDIRECT(ADDRESS(ROW()-22,COLUMN()-5,1,1,"Risk Register"))</f>
        <v/>
      </c>
      <c r="S61" s="58">
        <f>INDIRECT(ADDRESS(ROW()-22,COLUMN()-4,1,1,"Risk Register"))</f>
        <v/>
      </c>
      <c r="T61" s="59">
        <f>IF(AND($H61="threat",$G61&lt;=0.05),"gn",IF(AND($H61="threat",$G61&lt;=0.14),"y",IF(AND($H61="threat", $G61&gt;=0.15),"r",IF(AND($H61="opportunity",$G61&lt;=0.05),"gn",IF(AND($H61="opportunity",$G61&lt;=0.14),"lb",IF(AND($H61="opportunity",$G61&gt;=0.15),"db","z"))))))</f>
        <v/>
      </c>
      <c r="U61" s="58">
        <f>IF(AND($H61="threat",$S61=0.9,$R61=0.05),$D61 &amp; ";","")</f>
        <v/>
      </c>
      <c r="V61" s="58">
        <f>IF(AND($H61="threat",$S61=0.9,$R61=0.1),$D61 &amp; ";","")</f>
        <v/>
      </c>
      <c r="W61" s="58">
        <f>IF(AND($H61="threat",$S61=0.9,$R61=0.2),$D61 &amp; ";","")</f>
        <v/>
      </c>
      <c r="X61" s="58">
        <f>IF(AND($H61="threat",$S61=0.9,$R61=0.4),$D61 &amp; ";","")</f>
        <v/>
      </c>
      <c r="Y61" s="58">
        <f>IF(AND($H61="threat",$S61=0.9,$R61=0.8),$D61 &amp; ";","")</f>
        <v/>
      </c>
      <c r="Z61" s="58">
        <f>IF(AND($H61="threat",$S61=0.7,$R61=0.05),$D61 &amp; ";","")</f>
        <v/>
      </c>
      <c r="AA61" s="58">
        <f>IF(AND($H61="threat",$S61=0.7,$R61=0.1),$D61 &amp; ";","")</f>
        <v/>
      </c>
      <c r="AB61" s="58">
        <f>IF(AND($H61="threat",$S61=0.7,$R61=0.2),$D61 &amp; ";","")</f>
        <v/>
      </c>
      <c r="AC61" s="58">
        <f>IF(AND($H61="threat",$S61=0.7,$R61=0.4),$D61 &amp; ";","")</f>
        <v/>
      </c>
      <c r="AD61" s="58">
        <f>IF(AND($H61="threat",$S61=0.7,$R61=0.8),$D61 &amp; ";","")</f>
        <v/>
      </c>
      <c r="AE61" s="58">
        <f>IF(AND($H61="threat",$S61=0.5,$R61=0.05),$D61 &amp; ";","")</f>
        <v/>
      </c>
      <c r="AF61" s="58">
        <f>IF(AND($H61="threat",$S61=0.5,$R61=0.1),$D61 &amp; ";","")</f>
        <v/>
      </c>
      <c r="AG61" s="58">
        <f>IF(AND($H61="threat",$S61=0.5,$R61=0.2),$D61 &amp; ";","")</f>
        <v/>
      </c>
      <c r="AH61" s="58">
        <f>IF(AND($H61="threat",$S61=0.5,$R61=0.4),$D61 &amp; ";","")</f>
        <v/>
      </c>
      <c r="AI61" s="58">
        <f>IF(AND($H61="threat",$S61=0.5,$R61=0.8),$D61 &amp; ";","")</f>
        <v/>
      </c>
      <c r="AJ61" s="58">
        <f>IF(AND($H61="threat",$S61=0.3,$R61=0.05),$D61 &amp; ";","")</f>
        <v/>
      </c>
      <c r="AK61" s="58">
        <f>IF(AND($H61="threat",$S61=0.3,$R61=0.1),$D61 &amp; ";","")</f>
        <v/>
      </c>
      <c r="AL61" s="58">
        <f>IF(AND($H61="threat",$S61=0.3,$R61=0.2),$D61 &amp; ";","")</f>
        <v/>
      </c>
      <c r="AM61" s="58">
        <f>IF(AND($H61="threat",$S61=0.3,$R61=0.4),$D61 &amp; ";","")</f>
        <v/>
      </c>
      <c r="AN61" s="58">
        <f>IF(AND($H61="threat",$S61=0.3,$R61=0.8),$D61 &amp; ";","")</f>
        <v/>
      </c>
      <c r="AO61" s="58">
        <f>IF(AND($H61="threat",$S61=0.1,$R61=0.05),$D61 &amp; ";","")</f>
        <v/>
      </c>
      <c r="AP61" s="58">
        <f>IF(AND($H61="threat",$S61=0.1,$R61=0.1),$D61 &amp; ";","")</f>
        <v/>
      </c>
      <c r="AQ61" s="58">
        <f>IF(AND($H61="threat",$S61=0.1,$R61=0.2),$D61 &amp; ";","")</f>
        <v/>
      </c>
      <c r="AR61" s="58">
        <f>IF(AND($H61="threat",$S61=0.1,$R61=0.4),$D61 &amp; ";","")</f>
        <v/>
      </c>
      <c r="AS61" s="58">
        <f>IF(AND($H61="threat",$S61=0.1,$R61=0.8),$D61 &amp; ";","")</f>
        <v/>
      </c>
      <c r="AT61" s="39" t="n"/>
      <c r="AU61" s="58">
        <f>IF(AND($H61="opportunity",$S61=0.9,$R61=0.8),$D61 &amp; ";","")</f>
        <v/>
      </c>
      <c r="AV61" s="58">
        <f>IF(AND($H61="opportunity",$S61=0.9,$R61=0.4),$D61 &amp; ";","")</f>
        <v/>
      </c>
      <c r="AW61" s="58">
        <f>IF(AND($H61="opportunity",$S61=0.9,$R61=0.2),$D61 &amp; ";","")</f>
        <v/>
      </c>
      <c r="AX61" s="58">
        <f>IF(AND($H61="opportunity",$S61=0.9,$R61=0.1),$D61 &amp; ";","")</f>
        <v/>
      </c>
      <c r="AY61" s="58">
        <f>IF(AND($H61="opportunity",$S61=0.9,$R61=0.05),$D61 &amp; ";","")</f>
        <v/>
      </c>
      <c r="AZ61" s="58">
        <f>IF(AND($H61="opportunity",$S61=0.7,$R61=0.8),$D61 &amp; ";","")</f>
        <v/>
      </c>
      <c r="BA61" s="58">
        <f>IF(AND($H61="opportunity",$S61=0.7,$R61=0.4),$D61 &amp; ";","")</f>
        <v/>
      </c>
      <c r="BB61" s="58">
        <f>IF(AND($H61="opportunity",$S61=0.7,$R61=0.2),$D61 &amp; ";","")</f>
        <v/>
      </c>
      <c r="BC61" s="58">
        <f>IF(AND($H61="opportunity",$S61=0.7,$R61=0.1),$D61 &amp; ";","")</f>
        <v/>
      </c>
      <c r="BD61" s="58">
        <f>IF(AND($H61="opportunity",$S61=0.7,$R61=0.05),$D61 &amp; ";","")</f>
        <v/>
      </c>
      <c r="BE61" s="58">
        <f>IF(AND($H61="opportunity",$S61=0.5,$R61=0.8),$D61 &amp; ";","")</f>
        <v/>
      </c>
      <c r="BF61" s="58">
        <f>IF(AND($H61="opportunity",$S61=0.5,$R61=0.4),$D61 &amp; ";","")</f>
        <v/>
      </c>
      <c r="BG61" s="58">
        <f>IF(AND($H61="opportunity",$S61=0.5,$R61=0.2),$D61 &amp; ";","")</f>
        <v/>
      </c>
      <c r="BH61" s="58">
        <f>IF(AND($H61="opportunity",$S61=0.5,$R61=0.1),$D61 &amp; ";","")</f>
        <v/>
      </c>
      <c r="BI61" s="58">
        <f>IF(AND($H61="opportunity",$S61=0.5,$R61=0.05),$D61 &amp; ";","")</f>
        <v/>
      </c>
      <c r="BJ61" s="58">
        <f>IF(AND($H61="opportunity",$S61=0.3,$R61=0.8),$D61 &amp; ";","")</f>
        <v/>
      </c>
      <c r="BK61" s="58">
        <f>IF(AND($H61="opportunity",$S61=0.3,$R61=0.4),$D61 &amp; ";","")</f>
        <v/>
      </c>
      <c r="BL61" s="58">
        <f>IF(AND($H61="opportunity",$S61=0.3,$R61=0.2),$D61 &amp; ";","")</f>
        <v/>
      </c>
      <c r="BM61" s="58">
        <f>IF(AND($H61="opportunity",$S61=0.3,$R61=0.1),$D61 &amp; ";","")</f>
        <v/>
      </c>
      <c r="BN61" s="58">
        <f>IF(AND($H61="opportunity",$S61=0.3,$R61=0.05),$D61 &amp; ";","")</f>
        <v/>
      </c>
      <c r="BO61" s="58">
        <f>IF(AND($H61="opportunity",$S61=0.1,$R61=0.8),$D61 &amp; ";","")</f>
        <v/>
      </c>
      <c r="BP61" s="58">
        <f>IF(AND($H61="opportunity",$S61=0.1,$R61=0.4),$D61 &amp; ";","")</f>
        <v/>
      </c>
      <c r="BQ61" s="58">
        <f>IF(AND($H61="opportunity",$S61=0.1,$R61=0.2),$D61 &amp; ";","")</f>
        <v/>
      </c>
      <c r="BR61" s="58">
        <f>IF(AND($H61="opportunity",$S61=0.1,$R61=0.1),$D61 &amp; ";","")</f>
        <v/>
      </c>
      <c r="BS61" s="58">
        <f>IF(AND($H61="opportunity",$S61=0.1,$R61=0.05),$D61 &amp; ";","")</f>
        <v/>
      </c>
      <c r="BV61" s="57">
        <f>INDIRECT(ADDRESS(ROW()-22,COLUMN()-45,1,1,"Risk Register"))</f>
        <v/>
      </c>
      <c r="BW61" s="58">
        <f>INDIRECT(ADDRESS(ROW()-22,COLUMN()-44,1,1,"Risk Register"))</f>
        <v/>
      </c>
      <c r="BX61" s="59">
        <f>IF(AND($H61="threat",$P61&lt;=0.05),"gn",IF(AND($H61="threat",$P61&lt;=0.14),"y",IF(AND($H61="threat", $P61&gt;=0.15),"r",IF(AND($H61="opportunity",$P61&lt;=0.05),"gn",IF(AND($H61="opportunity",$P61&lt;=0.14),"lb",IF(AND($H61="opportunity",$P61&gt;=0.15),"db","z"))))))</f>
        <v/>
      </c>
      <c r="BY61" s="58">
        <f>IF(AND($H61="threat",$BW61=0.9,$BV61=0.05),$D61 &amp; ";","")</f>
        <v/>
      </c>
      <c r="BZ61" s="58">
        <f>IF(AND($H61="threat",$BW61=0.9,$BV61=0.1),$D61 &amp; ";","")</f>
        <v/>
      </c>
      <c r="CA61" s="58">
        <f>IF(AND($H61="threat",$BW61=0.9,$BV61=0.2),$D61 &amp; ";","")</f>
        <v/>
      </c>
      <c r="CB61" s="58">
        <f>IF(AND($H61="threat",$BW61=0.9,$BV61=0.4),$D61 &amp; ";","")</f>
        <v/>
      </c>
      <c r="CC61" s="58">
        <f>IF(AND($H61="threat",$BW61=0.9,$BV61=0.8),$D61 &amp; ";","")</f>
        <v/>
      </c>
      <c r="CD61" s="58">
        <f>IF(AND($H61="threat",$BW61=0.7,$BV61=0.05),$D61 &amp; ";","")</f>
        <v/>
      </c>
      <c r="CE61" s="58">
        <f>IF(AND($H61="threat",$BW61=0.7,$BV61=0.1),$D61 &amp; ";","")</f>
        <v/>
      </c>
      <c r="CF61" s="58">
        <f>IF(AND($H61="threat",$BW61=0.7,$BV61=0.2),$D61 &amp; ";","")</f>
        <v/>
      </c>
      <c r="CG61" s="58">
        <f>IF(AND($H61="threat",$BW61=0.7,$BV61=0.4),$D61 &amp; ";","")</f>
        <v/>
      </c>
      <c r="CH61" s="58">
        <f>IF(AND($H61="threat",$BW61=0.7,$BV61=0.8),$D61 &amp; ";","")</f>
        <v/>
      </c>
      <c r="CI61" s="58">
        <f>IF(AND($H61="threat",$BW61=0.5,$BV61=0.05),$D61 &amp; ";","")</f>
        <v/>
      </c>
      <c r="CJ61" s="58">
        <f>IF(AND($H61="threat",$BW61=0.5,$BV61=0.1),$D61 &amp; ";","")</f>
        <v/>
      </c>
      <c r="CK61" s="58">
        <f>IF(AND($H61="threat",$BW61=0.5,$BV61=0.2),$D61 &amp; ";","")</f>
        <v/>
      </c>
      <c r="CL61" s="58">
        <f>IF(AND($H61="threat",$BW61=0.5,$BV61=0.4),$D61 &amp; ";","")</f>
        <v/>
      </c>
      <c r="CM61" s="58">
        <f>IF(AND($H61="threat",$BW61=0.5,$BV61=0.8),$D61 &amp; ";","")</f>
        <v/>
      </c>
      <c r="CN61" s="58">
        <f>IF(AND($H61="threat",$BW61=0.3,$BV61=0.05),$D61 &amp; ";","")</f>
        <v/>
      </c>
      <c r="CO61" s="58">
        <f>IF(AND($H61="threat",$BW61=0.3,$BV61=0.1),$D61 &amp; ";","")</f>
        <v/>
      </c>
      <c r="CP61" s="58">
        <f>IF(AND($H61="threat",$BW61=0.3,$BV61=0.2),$D61 &amp; ";","")</f>
        <v/>
      </c>
      <c r="CQ61" s="58">
        <f>IF(AND($H61="threat",$BW61=0.3,$BV61=0.4),$D61 &amp; ";","")</f>
        <v/>
      </c>
      <c r="CR61" s="58">
        <f>IF(AND($H61="threat",$BW61=0.3,$BV61=0.8),$D61 &amp; ";","")</f>
        <v/>
      </c>
      <c r="CS61" s="58">
        <f>IF(AND($H61="threat",$BW61=0.1,$BV61=0.05),$D61 &amp; ";","")</f>
        <v/>
      </c>
      <c r="CT61" s="58">
        <f>IF(AND($H61="threat",$BW61=0.1,$BV61=0.1),$D61 &amp; ";","")</f>
        <v/>
      </c>
      <c r="CU61" s="58">
        <f>IF(AND($H61="threat",$BW61=0.1,$BV61=0.2),$D61 &amp; ";","")</f>
        <v/>
      </c>
      <c r="CV61" s="58">
        <f>IF(AND($H61="threat",$BW61=0.1,$BV61=0.4),$D61 &amp; ";","")</f>
        <v/>
      </c>
      <c r="CW61" s="58">
        <f>IF(AND($H61="threat",$BW61=0.1,$BV61=0.8),$D61 &amp; ";","")</f>
        <v/>
      </c>
      <c r="CX61" s="39" t="n"/>
      <c r="CY61" s="58">
        <f>IF(AND($H61="opportunity",$BW61=0.9,$BV61=0.8),$D61 &amp; ";","")</f>
        <v/>
      </c>
      <c r="CZ61" s="58">
        <f>IF(AND($H61="opportunity",$BW61=0.9,$BV61=0.4),$D61 &amp; ";","")</f>
        <v/>
      </c>
      <c r="DA61" s="58">
        <f>IF(AND($H61="opportunity",$BW61=0.9,$BV61=0.2),$D61 &amp; ";","")</f>
        <v/>
      </c>
      <c r="DB61" s="58">
        <f>IF(AND($H61="opportunity",$BW61=0.9,$BV61=0.1),$D61 &amp; ";","")</f>
        <v/>
      </c>
      <c r="DC61" s="58">
        <f>IF(AND($H61="opportunity",$BW61=0.9,$BV61=0.05),$D61 &amp; ";","")</f>
        <v/>
      </c>
      <c r="DD61" s="58">
        <f>IF(AND($H61="opportunity",$BW61=0.7,$BV61=0.8),$D61 &amp; ";","")</f>
        <v/>
      </c>
      <c r="DE61" s="58">
        <f>IF(AND($H61="opportunity",$BW61=0.7,$BV61=0.4),$D61 &amp; ";","")</f>
        <v/>
      </c>
      <c r="DF61" s="58">
        <f>IF(AND($H61="opportunity",$BW61=0.7,$BV61=0.2),$D61 &amp; ";","")</f>
        <v/>
      </c>
      <c r="DG61" s="58">
        <f>IF(AND($H61="opportunity",$BW61=0.7,$BV61=0.1),$D61 &amp; ";","")</f>
        <v/>
      </c>
      <c r="DH61" s="58">
        <f>IF(AND($H61="opportunity",$BW61=0.7,$BV61=0.05),$D61 &amp; ";","")</f>
        <v/>
      </c>
      <c r="DI61" s="58">
        <f>IF(AND($H61="opportunity",$BW61=0.5,$BV61=0.8),$D61 &amp; ";","")</f>
        <v/>
      </c>
      <c r="DJ61" s="58">
        <f>IF(AND($H61="opportunity",$BW61=0.5,$BV61=0.4),$D61 &amp; ";","")</f>
        <v/>
      </c>
      <c r="DK61" s="58">
        <f>IF(AND($H61="opportunity",$BW61=0.5,$BV61=0.2),$D61 &amp; ";","")</f>
        <v/>
      </c>
      <c r="DL61" s="58">
        <f>IF(AND($H61="opportunity",$BW61=0.5,$BV61=0.1),$D61 &amp; ";","")</f>
        <v/>
      </c>
      <c r="DM61" s="58">
        <f>IF(AND($H61="opportunity",$BW61=0.5,$BV61=0.05),$D61 &amp; ";","")</f>
        <v/>
      </c>
      <c r="DN61" s="58">
        <f>IF(AND($H61="opportunity",$BW61=0.3,$BV61=0.8),$D61 &amp; ";","")</f>
        <v/>
      </c>
      <c r="DO61" s="58">
        <f>IF(AND($H61="opportunity",$BW61=0.3,$BV61=0.4),$D61 &amp; ";","")</f>
        <v/>
      </c>
      <c r="DP61" s="58">
        <f>IF(AND($H61="opportunity",$BW61=0.3,$BV61=0.2),$D61 &amp; ";","")</f>
        <v/>
      </c>
      <c r="DQ61" s="58">
        <f>IF(AND($H61="opportunity",$BW61=0.3,$BV61=0.1),$D61 &amp; ";","")</f>
        <v/>
      </c>
      <c r="DR61" s="58">
        <f>IF(AND($H61="opportunity",$BW61=0.3,$BV61=0.05),$D61 &amp; ";","")</f>
        <v/>
      </c>
      <c r="DS61" s="58">
        <f>IF(AND($H61="opportunity",$BW61=0.1,$BV61=0.8),$D61 &amp; ";","")</f>
        <v/>
      </c>
      <c r="DT61" s="58">
        <f>IF(AND($H61="opportunity",$BW61=0.1,$BV61=0.4),$D61 &amp; ";","")</f>
        <v/>
      </c>
      <c r="DU61" s="58">
        <f>IF(AND($H61="opportunity",$BW61=0.1,$BV61=0.2),$D61 &amp; ";","")</f>
        <v/>
      </c>
      <c r="DV61" s="58">
        <f>IF(AND($H61="opportunity",$BW61=0.1,$BV61=0.1),$D61 &amp; ";","")</f>
        <v/>
      </c>
      <c r="DW61" s="58">
        <f>IF(AND($H61="opportunity",$BW61=0.1,$BV61=0.05),$D61 &amp; ";","")</f>
        <v/>
      </c>
    </row>
    <row r="62">
      <c r="D62" s="60">
        <f>INDIRECT(ADDRESS(ROW()-22,COLUMN()-2,1,1,"Risk Register"))</f>
        <v/>
      </c>
      <c r="E62" s="143">
        <f>INDIRECT(ADDRESS(ROW()-22,COLUMN()-1,1,1,"Risk Register"))</f>
        <v/>
      </c>
      <c r="G62" s="56">
        <f>INDIRECT(ADDRESS(ROW()-22,COLUMN()+10,1,1,"Risk Register"))</f>
        <v/>
      </c>
      <c r="H62" s="60">
        <f>INDIRECT(ADDRESS(ROW()-22,COLUMN()+8,1,1,"Risk Register"))</f>
        <v/>
      </c>
      <c r="I62" s="54">
        <f>INDIRECT(ADDRESS(ROW()-22,COLUMN()+3,1,1,"Risk Register"))</f>
        <v/>
      </c>
      <c r="J62" s="143">
        <f>INDIRECT(ADDRESS(ROW()-22,COLUMN()+12,1,1,"Risk Register"))</f>
        <v/>
      </c>
      <c r="K62" s="143">
        <f>INDIRECT(ADDRESS(ROW()-22,COLUMN()-2,1,1,"Risk Register"))</f>
        <v/>
      </c>
      <c r="L62" s="176">
        <f>INDIRECT(ADDRESS(ROW()-22,COLUMN()+15,1,1,"Risk Register"))</f>
        <v/>
      </c>
      <c r="M62" s="54">
        <f>INDIRECT(ADDRESS(ROW()-22,COLUMN()+13,1,1,"Risk Register"))</f>
        <v/>
      </c>
      <c r="N62" s="143">
        <f>INDIRECT(ADDRESS(ROW()-22,COLUMN()-9,1,1,"Risk Register"))</f>
        <v/>
      </c>
      <c r="O62" s="143">
        <f>INDIRECT(ADDRESS(ROW()-22,COLUMN()-8,1,1,"Risk Register"))</f>
        <v/>
      </c>
      <c r="P62" s="56">
        <f>INDIRECT(ADDRESS(ROW()-22,COLUMN()+18,1,1,"Risk Register"))</f>
        <v/>
      </c>
      <c r="R62" s="57">
        <f>INDIRECT(ADDRESS(ROW()-22,COLUMN()-5,1,1,"Risk Register"))</f>
        <v/>
      </c>
      <c r="S62" s="58">
        <f>INDIRECT(ADDRESS(ROW()-22,COLUMN()-4,1,1,"Risk Register"))</f>
        <v/>
      </c>
      <c r="T62" s="59">
        <f>IF(AND($H62="threat",$G62&lt;=0.05),"gn",IF(AND($H62="threat",$G62&lt;=0.14),"y",IF(AND($H62="threat", $G62&gt;=0.15),"r",IF(AND($H62="opportunity",$G62&lt;=0.05),"gn",IF(AND($H62="opportunity",$G62&lt;=0.14),"lb",IF(AND($H62="opportunity",$G62&gt;=0.15),"db","z"))))))</f>
        <v/>
      </c>
      <c r="U62" s="58">
        <f>IF(AND($H62="threat",$S62=0.9,$R62=0.05),$D62 &amp; ";","")</f>
        <v/>
      </c>
      <c r="V62" s="58">
        <f>IF(AND($H62="threat",$S62=0.9,$R62=0.1),$D62 &amp; ";","")</f>
        <v/>
      </c>
      <c r="W62" s="58">
        <f>IF(AND($H62="threat",$S62=0.9,$R62=0.2),$D62 &amp; ";","")</f>
        <v/>
      </c>
      <c r="X62" s="58">
        <f>IF(AND($H62="threat",$S62=0.9,$R62=0.4),$D62 &amp; ";","")</f>
        <v/>
      </c>
      <c r="Y62" s="58">
        <f>IF(AND($H62="threat",$S62=0.9,$R62=0.8),$D62 &amp; ";","")</f>
        <v/>
      </c>
      <c r="Z62" s="58">
        <f>IF(AND($H62="threat",$S62=0.7,$R62=0.05),$D62 &amp; ";","")</f>
        <v/>
      </c>
      <c r="AA62" s="58">
        <f>IF(AND($H62="threat",$S62=0.7,$R62=0.1),$D62 &amp; ";","")</f>
        <v/>
      </c>
      <c r="AB62" s="58">
        <f>IF(AND($H62="threat",$S62=0.7,$R62=0.2),$D62 &amp; ";","")</f>
        <v/>
      </c>
      <c r="AC62" s="58">
        <f>IF(AND($H62="threat",$S62=0.7,$R62=0.4),$D62 &amp; ";","")</f>
        <v/>
      </c>
      <c r="AD62" s="58">
        <f>IF(AND($H62="threat",$S62=0.7,$R62=0.8),$D62 &amp; ";","")</f>
        <v/>
      </c>
      <c r="AE62" s="58">
        <f>IF(AND($H62="threat",$S62=0.5,$R62=0.05),$D62 &amp; ";","")</f>
        <v/>
      </c>
      <c r="AF62" s="58">
        <f>IF(AND($H62="threat",$S62=0.5,$R62=0.1),$D62 &amp; ";","")</f>
        <v/>
      </c>
      <c r="AG62" s="58">
        <f>IF(AND($H62="threat",$S62=0.5,$R62=0.2),$D62 &amp; ";","")</f>
        <v/>
      </c>
      <c r="AH62" s="58">
        <f>IF(AND($H62="threat",$S62=0.5,$R62=0.4),$D62 &amp; ";","")</f>
        <v/>
      </c>
      <c r="AI62" s="58">
        <f>IF(AND($H62="threat",$S62=0.5,$R62=0.8),$D62 &amp; ";","")</f>
        <v/>
      </c>
      <c r="AJ62" s="58">
        <f>IF(AND($H62="threat",$S62=0.3,$R62=0.05),$D62 &amp; ";","")</f>
        <v/>
      </c>
      <c r="AK62" s="58">
        <f>IF(AND($H62="threat",$S62=0.3,$R62=0.1),$D62 &amp; ";","")</f>
        <v/>
      </c>
      <c r="AL62" s="58">
        <f>IF(AND($H62="threat",$S62=0.3,$R62=0.2),$D62 &amp; ";","")</f>
        <v/>
      </c>
      <c r="AM62" s="58">
        <f>IF(AND($H62="threat",$S62=0.3,$R62=0.4),$D62 &amp; ";","")</f>
        <v/>
      </c>
      <c r="AN62" s="58">
        <f>IF(AND($H62="threat",$S62=0.3,$R62=0.8),$D62 &amp; ";","")</f>
        <v/>
      </c>
      <c r="AO62" s="58">
        <f>IF(AND($H62="threat",$S62=0.1,$R62=0.05),$D62 &amp; ";","")</f>
        <v/>
      </c>
      <c r="AP62" s="58">
        <f>IF(AND($H62="threat",$S62=0.1,$R62=0.1),$D62 &amp; ";","")</f>
        <v/>
      </c>
      <c r="AQ62" s="58">
        <f>IF(AND($H62="threat",$S62=0.1,$R62=0.2),$D62 &amp; ";","")</f>
        <v/>
      </c>
      <c r="AR62" s="58">
        <f>IF(AND($H62="threat",$S62=0.1,$R62=0.4),$D62 &amp; ";","")</f>
        <v/>
      </c>
      <c r="AS62" s="58">
        <f>IF(AND($H62="threat",$S62=0.1,$R62=0.8),$D62 &amp; ";","")</f>
        <v/>
      </c>
      <c r="AT62" s="39" t="n"/>
      <c r="AU62" s="58">
        <f>IF(AND($H62="opportunity",$S62=0.9,$R62=0.8),$D62 &amp; ";","")</f>
        <v/>
      </c>
      <c r="AV62" s="58">
        <f>IF(AND($H62="opportunity",$S62=0.9,$R62=0.4),$D62 &amp; ";","")</f>
        <v/>
      </c>
      <c r="AW62" s="58">
        <f>IF(AND($H62="opportunity",$S62=0.9,$R62=0.2),$D62 &amp; ";","")</f>
        <v/>
      </c>
      <c r="AX62" s="58">
        <f>IF(AND($H62="opportunity",$S62=0.9,$R62=0.1),$D62 &amp; ";","")</f>
        <v/>
      </c>
      <c r="AY62" s="58">
        <f>IF(AND($H62="opportunity",$S62=0.9,$R62=0.05),$D62 &amp; ";","")</f>
        <v/>
      </c>
      <c r="AZ62" s="58">
        <f>IF(AND($H62="opportunity",$S62=0.7,$R62=0.8),$D62 &amp; ";","")</f>
        <v/>
      </c>
      <c r="BA62" s="58">
        <f>IF(AND($H62="opportunity",$S62=0.7,$R62=0.4),$D62 &amp; ";","")</f>
        <v/>
      </c>
      <c r="BB62" s="58">
        <f>IF(AND($H62="opportunity",$S62=0.7,$R62=0.2),$D62 &amp; ";","")</f>
        <v/>
      </c>
      <c r="BC62" s="58">
        <f>IF(AND($H62="opportunity",$S62=0.7,$R62=0.1),$D62 &amp; ";","")</f>
        <v/>
      </c>
      <c r="BD62" s="58">
        <f>IF(AND($H62="opportunity",$S62=0.7,$R62=0.05),$D62 &amp; ";","")</f>
        <v/>
      </c>
      <c r="BE62" s="58">
        <f>IF(AND($H62="opportunity",$S62=0.5,$R62=0.8),$D62 &amp; ";","")</f>
        <v/>
      </c>
      <c r="BF62" s="58">
        <f>IF(AND($H62="opportunity",$S62=0.5,$R62=0.4),$D62 &amp; ";","")</f>
        <v/>
      </c>
      <c r="BG62" s="58">
        <f>IF(AND($H62="opportunity",$S62=0.5,$R62=0.2),$D62 &amp; ";","")</f>
        <v/>
      </c>
      <c r="BH62" s="58">
        <f>IF(AND($H62="opportunity",$S62=0.5,$R62=0.1),$D62 &amp; ";","")</f>
        <v/>
      </c>
      <c r="BI62" s="58">
        <f>IF(AND($H62="opportunity",$S62=0.5,$R62=0.05),$D62 &amp; ";","")</f>
        <v/>
      </c>
      <c r="BJ62" s="58">
        <f>IF(AND($H62="opportunity",$S62=0.3,$R62=0.8),$D62 &amp; ";","")</f>
        <v/>
      </c>
      <c r="BK62" s="58">
        <f>IF(AND($H62="opportunity",$S62=0.3,$R62=0.4),$D62 &amp; ";","")</f>
        <v/>
      </c>
      <c r="BL62" s="58">
        <f>IF(AND($H62="opportunity",$S62=0.3,$R62=0.2),$D62 &amp; ";","")</f>
        <v/>
      </c>
      <c r="BM62" s="58">
        <f>IF(AND($H62="opportunity",$S62=0.3,$R62=0.1),$D62 &amp; ";","")</f>
        <v/>
      </c>
      <c r="BN62" s="58">
        <f>IF(AND($H62="opportunity",$S62=0.3,$R62=0.05),$D62 &amp; ";","")</f>
        <v/>
      </c>
      <c r="BO62" s="58">
        <f>IF(AND($H62="opportunity",$S62=0.1,$R62=0.8),$D62 &amp; ";","")</f>
        <v/>
      </c>
      <c r="BP62" s="58">
        <f>IF(AND($H62="opportunity",$S62=0.1,$R62=0.4),$D62 &amp; ";","")</f>
        <v/>
      </c>
      <c r="BQ62" s="58">
        <f>IF(AND($H62="opportunity",$S62=0.1,$R62=0.2),$D62 &amp; ";","")</f>
        <v/>
      </c>
      <c r="BR62" s="58">
        <f>IF(AND($H62="opportunity",$S62=0.1,$R62=0.1),$D62 &amp; ";","")</f>
        <v/>
      </c>
      <c r="BS62" s="58">
        <f>IF(AND($H62="opportunity",$S62=0.1,$R62=0.05),$D62 &amp; ";","")</f>
        <v/>
      </c>
      <c r="BV62" s="57">
        <f>INDIRECT(ADDRESS(ROW()-22,COLUMN()-45,1,1,"Risk Register"))</f>
        <v/>
      </c>
      <c r="BW62" s="58">
        <f>INDIRECT(ADDRESS(ROW()-22,COLUMN()-44,1,1,"Risk Register"))</f>
        <v/>
      </c>
      <c r="BX62" s="59">
        <f>IF(AND($H62="threat",$P62&lt;=0.05),"gn",IF(AND($H62="threat",$P62&lt;=0.14),"y",IF(AND($H62="threat", $P62&gt;=0.15),"r",IF(AND($H62="opportunity",$P62&lt;=0.05),"gn",IF(AND($H62="opportunity",$P62&lt;=0.14),"lb",IF(AND($H62="opportunity",$P62&gt;=0.15),"db","z"))))))</f>
        <v/>
      </c>
      <c r="BY62" s="58">
        <f>IF(AND($H62="threat",$BW62=0.9,$BV62=0.05),$D62 &amp; ";","")</f>
        <v/>
      </c>
      <c r="BZ62" s="58">
        <f>IF(AND($H62="threat",$BW62=0.9,$BV62=0.1),$D62 &amp; ";","")</f>
        <v/>
      </c>
      <c r="CA62" s="58">
        <f>IF(AND($H62="threat",$BW62=0.9,$BV62=0.2),$D62 &amp; ";","")</f>
        <v/>
      </c>
      <c r="CB62" s="58">
        <f>IF(AND($H62="threat",$BW62=0.9,$BV62=0.4),$D62 &amp; ";","")</f>
        <v/>
      </c>
      <c r="CC62" s="58">
        <f>IF(AND($H62="threat",$BW62=0.9,$BV62=0.8),$D62 &amp; ";","")</f>
        <v/>
      </c>
      <c r="CD62" s="58">
        <f>IF(AND($H62="threat",$BW62=0.7,$BV62=0.05),$D62 &amp; ";","")</f>
        <v/>
      </c>
      <c r="CE62" s="58">
        <f>IF(AND($H62="threat",$BW62=0.7,$BV62=0.1),$D62 &amp; ";","")</f>
        <v/>
      </c>
      <c r="CF62" s="58">
        <f>IF(AND($H62="threat",$BW62=0.7,$BV62=0.2),$D62 &amp; ";","")</f>
        <v/>
      </c>
      <c r="CG62" s="58">
        <f>IF(AND($H62="threat",$BW62=0.7,$BV62=0.4),$D62 &amp; ";","")</f>
        <v/>
      </c>
      <c r="CH62" s="58">
        <f>IF(AND($H62="threat",$BW62=0.7,$BV62=0.8),$D62 &amp; ";","")</f>
        <v/>
      </c>
      <c r="CI62" s="58">
        <f>IF(AND($H62="threat",$BW62=0.5,$BV62=0.05),$D62 &amp; ";","")</f>
        <v/>
      </c>
      <c r="CJ62" s="58">
        <f>IF(AND($H62="threat",$BW62=0.5,$BV62=0.1),$D62 &amp; ";","")</f>
        <v/>
      </c>
      <c r="CK62" s="58">
        <f>IF(AND($H62="threat",$BW62=0.5,$BV62=0.2),$D62 &amp; ";","")</f>
        <v/>
      </c>
      <c r="CL62" s="58">
        <f>IF(AND($H62="threat",$BW62=0.5,$BV62=0.4),$D62 &amp; ";","")</f>
        <v/>
      </c>
      <c r="CM62" s="58">
        <f>IF(AND($H62="threat",$BW62=0.5,$BV62=0.8),$D62 &amp; ";","")</f>
        <v/>
      </c>
      <c r="CN62" s="58">
        <f>IF(AND($H62="threat",$BW62=0.3,$BV62=0.05),$D62 &amp; ";","")</f>
        <v/>
      </c>
      <c r="CO62" s="58">
        <f>IF(AND($H62="threat",$BW62=0.3,$BV62=0.1),$D62 &amp; ";","")</f>
        <v/>
      </c>
      <c r="CP62" s="58">
        <f>IF(AND($H62="threat",$BW62=0.3,$BV62=0.2),$D62 &amp; ";","")</f>
        <v/>
      </c>
      <c r="CQ62" s="58">
        <f>IF(AND($H62="threat",$BW62=0.3,$BV62=0.4),$D62 &amp; ";","")</f>
        <v/>
      </c>
      <c r="CR62" s="58">
        <f>IF(AND($H62="threat",$BW62=0.3,$BV62=0.8),$D62 &amp; ";","")</f>
        <v/>
      </c>
      <c r="CS62" s="58">
        <f>IF(AND($H62="threat",$BW62=0.1,$BV62=0.05),$D62 &amp; ";","")</f>
        <v/>
      </c>
      <c r="CT62" s="58">
        <f>IF(AND($H62="threat",$BW62=0.1,$BV62=0.1),$D62 &amp; ";","")</f>
        <v/>
      </c>
      <c r="CU62" s="58">
        <f>IF(AND($H62="threat",$BW62=0.1,$BV62=0.2),$D62 &amp; ";","")</f>
        <v/>
      </c>
      <c r="CV62" s="58">
        <f>IF(AND($H62="threat",$BW62=0.1,$BV62=0.4),$D62 &amp; ";","")</f>
        <v/>
      </c>
      <c r="CW62" s="58">
        <f>IF(AND($H62="threat",$BW62=0.1,$BV62=0.8),$D62 &amp; ";","")</f>
        <v/>
      </c>
      <c r="CX62" s="39" t="n"/>
      <c r="CY62" s="58">
        <f>IF(AND($H62="opportunity",$BW62=0.9,$BV62=0.8),$D62 &amp; ";","")</f>
        <v/>
      </c>
      <c r="CZ62" s="58">
        <f>IF(AND($H62="opportunity",$BW62=0.9,$BV62=0.4),$D62 &amp; ";","")</f>
        <v/>
      </c>
      <c r="DA62" s="58">
        <f>IF(AND($H62="opportunity",$BW62=0.9,$BV62=0.2),$D62 &amp; ";","")</f>
        <v/>
      </c>
      <c r="DB62" s="58">
        <f>IF(AND($H62="opportunity",$BW62=0.9,$BV62=0.1),$D62 &amp; ";","")</f>
        <v/>
      </c>
      <c r="DC62" s="58">
        <f>IF(AND($H62="opportunity",$BW62=0.9,$BV62=0.05),$D62 &amp; ";","")</f>
        <v/>
      </c>
      <c r="DD62" s="58">
        <f>IF(AND($H62="opportunity",$BW62=0.7,$BV62=0.8),$D62 &amp; ";","")</f>
        <v/>
      </c>
      <c r="DE62" s="58">
        <f>IF(AND($H62="opportunity",$BW62=0.7,$BV62=0.4),$D62 &amp; ";","")</f>
        <v/>
      </c>
      <c r="DF62" s="58">
        <f>IF(AND($H62="opportunity",$BW62=0.7,$BV62=0.2),$D62 &amp; ";","")</f>
        <v/>
      </c>
      <c r="DG62" s="58">
        <f>IF(AND($H62="opportunity",$BW62=0.7,$BV62=0.1),$D62 &amp; ";","")</f>
        <v/>
      </c>
      <c r="DH62" s="58">
        <f>IF(AND($H62="opportunity",$BW62=0.7,$BV62=0.05),$D62 &amp; ";","")</f>
        <v/>
      </c>
      <c r="DI62" s="58">
        <f>IF(AND($H62="opportunity",$BW62=0.5,$BV62=0.8),$D62 &amp; ";","")</f>
        <v/>
      </c>
      <c r="DJ62" s="58">
        <f>IF(AND($H62="opportunity",$BW62=0.5,$BV62=0.4),$D62 &amp; ";","")</f>
        <v/>
      </c>
      <c r="DK62" s="58">
        <f>IF(AND($H62="opportunity",$BW62=0.5,$BV62=0.2),$D62 &amp; ";","")</f>
        <v/>
      </c>
      <c r="DL62" s="58">
        <f>IF(AND($H62="opportunity",$BW62=0.5,$BV62=0.1),$D62 &amp; ";","")</f>
        <v/>
      </c>
      <c r="DM62" s="58">
        <f>IF(AND($H62="opportunity",$BW62=0.5,$BV62=0.05),$D62 &amp; ";","")</f>
        <v/>
      </c>
      <c r="DN62" s="58">
        <f>IF(AND($H62="opportunity",$BW62=0.3,$BV62=0.8),$D62 &amp; ";","")</f>
        <v/>
      </c>
      <c r="DO62" s="58">
        <f>IF(AND($H62="opportunity",$BW62=0.3,$BV62=0.4),$D62 &amp; ";","")</f>
        <v/>
      </c>
      <c r="DP62" s="58">
        <f>IF(AND($H62="opportunity",$BW62=0.3,$BV62=0.2),$D62 &amp; ";","")</f>
        <v/>
      </c>
      <c r="DQ62" s="58">
        <f>IF(AND($H62="opportunity",$BW62=0.3,$BV62=0.1),$D62 &amp; ";","")</f>
        <v/>
      </c>
      <c r="DR62" s="58">
        <f>IF(AND($H62="opportunity",$BW62=0.3,$BV62=0.05),$D62 &amp; ";","")</f>
        <v/>
      </c>
      <c r="DS62" s="58">
        <f>IF(AND($H62="opportunity",$BW62=0.1,$BV62=0.8),$D62 &amp; ";","")</f>
        <v/>
      </c>
      <c r="DT62" s="58">
        <f>IF(AND($H62="opportunity",$BW62=0.1,$BV62=0.4),$D62 &amp; ";","")</f>
        <v/>
      </c>
      <c r="DU62" s="58">
        <f>IF(AND($H62="opportunity",$BW62=0.1,$BV62=0.2),$D62 &amp; ";","")</f>
        <v/>
      </c>
      <c r="DV62" s="58">
        <f>IF(AND($H62="opportunity",$BW62=0.1,$BV62=0.1),$D62 &amp; ";","")</f>
        <v/>
      </c>
      <c r="DW62" s="58">
        <f>IF(AND($H62="opportunity",$BW62=0.1,$BV62=0.05),$D62 &amp; ";","")</f>
        <v/>
      </c>
    </row>
    <row r="63">
      <c r="D63" s="60">
        <f>INDIRECT(ADDRESS(ROW()-22,COLUMN()-2,1,1,"Risk Register"))</f>
        <v/>
      </c>
      <c r="E63" s="143">
        <f>INDIRECT(ADDRESS(ROW()-22,COLUMN()-1,1,1,"Risk Register"))</f>
        <v/>
      </c>
      <c r="G63" s="56">
        <f>INDIRECT(ADDRESS(ROW()-22,COLUMN()+10,1,1,"Risk Register"))</f>
        <v/>
      </c>
      <c r="H63" s="60">
        <f>INDIRECT(ADDRESS(ROW()-22,COLUMN()+8,1,1,"Risk Register"))</f>
        <v/>
      </c>
      <c r="I63" s="54">
        <f>INDIRECT(ADDRESS(ROW()-22,COLUMN()+3,1,1,"Risk Register"))</f>
        <v/>
      </c>
      <c r="J63" s="143">
        <f>INDIRECT(ADDRESS(ROW()-22,COLUMN()+12,1,1,"Risk Register"))</f>
        <v/>
      </c>
      <c r="K63" s="143">
        <f>INDIRECT(ADDRESS(ROW()-22,COLUMN()-2,1,1,"Risk Register"))</f>
        <v/>
      </c>
      <c r="L63" s="176">
        <f>INDIRECT(ADDRESS(ROW()-22,COLUMN()+15,1,1,"Risk Register"))</f>
        <v/>
      </c>
      <c r="M63" s="54">
        <f>INDIRECT(ADDRESS(ROW()-22,COLUMN()+13,1,1,"Risk Register"))</f>
        <v/>
      </c>
      <c r="N63" s="143">
        <f>INDIRECT(ADDRESS(ROW()-22,COLUMN()-9,1,1,"Risk Register"))</f>
        <v/>
      </c>
      <c r="O63" s="143">
        <f>INDIRECT(ADDRESS(ROW()-22,COLUMN()-8,1,1,"Risk Register"))</f>
        <v/>
      </c>
      <c r="P63" s="56">
        <f>INDIRECT(ADDRESS(ROW()-22,COLUMN()+18,1,1,"Risk Register"))</f>
        <v/>
      </c>
      <c r="R63" s="57">
        <f>INDIRECT(ADDRESS(ROW()-22,COLUMN()-5,1,1,"Risk Register"))</f>
        <v/>
      </c>
      <c r="S63" s="58">
        <f>INDIRECT(ADDRESS(ROW()-22,COLUMN()-4,1,1,"Risk Register"))</f>
        <v/>
      </c>
      <c r="T63" s="59">
        <f>IF(AND($H63="threat",$G63&lt;=0.05),"gn",IF(AND($H63="threat",$G63&lt;=0.14),"y",IF(AND($H63="threat", $G63&gt;=0.15),"r",IF(AND($H63="opportunity",$G63&lt;=0.05),"gn",IF(AND($H63="opportunity",$G63&lt;=0.14),"lb",IF(AND($H63="opportunity",$G63&gt;=0.15),"db","z"))))))</f>
        <v/>
      </c>
      <c r="U63" s="58">
        <f>IF(AND($H63="threat",$S63=0.9,$R63=0.05),$D63 &amp; ";","")</f>
        <v/>
      </c>
      <c r="V63" s="58">
        <f>IF(AND($H63="threat",$S63=0.9,$R63=0.1),$D63 &amp; ";","")</f>
        <v/>
      </c>
      <c r="W63" s="58">
        <f>IF(AND($H63="threat",$S63=0.9,$R63=0.2),$D63 &amp; ";","")</f>
        <v/>
      </c>
      <c r="X63" s="58">
        <f>IF(AND($H63="threat",$S63=0.9,$R63=0.4),$D63 &amp; ";","")</f>
        <v/>
      </c>
      <c r="Y63" s="58">
        <f>IF(AND($H63="threat",$S63=0.9,$R63=0.8),$D63 &amp; ";","")</f>
        <v/>
      </c>
      <c r="Z63" s="58">
        <f>IF(AND($H63="threat",$S63=0.7,$R63=0.05),$D63 &amp; ";","")</f>
        <v/>
      </c>
      <c r="AA63" s="58">
        <f>IF(AND($H63="threat",$S63=0.7,$R63=0.1),$D63 &amp; ";","")</f>
        <v/>
      </c>
      <c r="AB63" s="58">
        <f>IF(AND($H63="threat",$S63=0.7,$R63=0.2),$D63 &amp; ";","")</f>
        <v/>
      </c>
      <c r="AC63" s="58">
        <f>IF(AND($H63="threat",$S63=0.7,$R63=0.4),$D63 &amp; ";","")</f>
        <v/>
      </c>
      <c r="AD63" s="58">
        <f>IF(AND($H63="threat",$S63=0.7,$R63=0.8),$D63 &amp; ";","")</f>
        <v/>
      </c>
      <c r="AE63" s="58">
        <f>IF(AND($H63="threat",$S63=0.5,$R63=0.05),$D63 &amp; ";","")</f>
        <v/>
      </c>
      <c r="AF63" s="58">
        <f>IF(AND($H63="threat",$S63=0.5,$R63=0.1),$D63 &amp; ";","")</f>
        <v/>
      </c>
      <c r="AG63" s="58">
        <f>IF(AND($H63="threat",$S63=0.5,$R63=0.2),$D63 &amp; ";","")</f>
        <v/>
      </c>
      <c r="AH63" s="58">
        <f>IF(AND($H63="threat",$S63=0.5,$R63=0.4),$D63 &amp; ";","")</f>
        <v/>
      </c>
      <c r="AI63" s="58">
        <f>IF(AND($H63="threat",$S63=0.5,$R63=0.8),$D63 &amp; ";","")</f>
        <v/>
      </c>
      <c r="AJ63" s="58">
        <f>IF(AND($H63="threat",$S63=0.3,$R63=0.05),$D63 &amp; ";","")</f>
        <v/>
      </c>
      <c r="AK63" s="58">
        <f>IF(AND($H63="threat",$S63=0.3,$R63=0.1),$D63 &amp; ";","")</f>
        <v/>
      </c>
      <c r="AL63" s="58">
        <f>IF(AND($H63="threat",$S63=0.3,$R63=0.2),$D63 &amp; ";","")</f>
        <v/>
      </c>
      <c r="AM63" s="58">
        <f>IF(AND($H63="threat",$S63=0.3,$R63=0.4),$D63 &amp; ";","")</f>
        <v/>
      </c>
      <c r="AN63" s="58">
        <f>IF(AND($H63="threat",$S63=0.3,$R63=0.8),$D63 &amp; ";","")</f>
        <v/>
      </c>
      <c r="AO63" s="58">
        <f>IF(AND($H63="threat",$S63=0.1,$R63=0.05),$D63 &amp; ";","")</f>
        <v/>
      </c>
      <c r="AP63" s="58">
        <f>IF(AND($H63="threat",$S63=0.1,$R63=0.1),$D63 &amp; ";","")</f>
        <v/>
      </c>
      <c r="AQ63" s="58">
        <f>IF(AND($H63="threat",$S63=0.1,$R63=0.2),$D63 &amp; ";","")</f>
        <v/>
      </c>
      <c r="AR63" s="58">
        <f>IF(AND($H63="threat",$S63=0.1,$R63=0.4),$D63 &amp; ";","")</f>
        <v/>
      </c>
      <c r="AS63" s="58">
        <f>IF(AND($H63="threat",$S63=0.1,$R63=0.8),$D63 &amp; ";","")</f>
        <v/>
      </c>
      <c r="AT63" s="39" t="n"/>
      <c r="AU63" s="58">
        <f>IF(AND($H63="opportunity",$S63=0.9,$R63=0.8),$D63 &amp; ";","")</f>
        <v/>
      </c>
      <c r="AV63" s="58">
        <f>IF(AND($H63="opportunity",$S63=0.9,$R63=0.4),$D63 &amp; ";","")</f>
        <v/>
      </c>
      <c r="AW63" s="58">
        <f>IF(AND($H63="opportunity",$S63=0.9,$R63=0.2),$D63 &amp; ";","")</f>
        <v/>
      </c>
      <c r="AX63" s="58">
        <f>IF(AND($H63="opportunity",$S63=0.9,$R63=0.1),$D63 &amp; ";","")</f>
        <v/>
      </c>
      <c r="AY63" s="58">
        <f>IF(AND($H63="opportunity",$S63=0.9,$R63=0.05),$D63 &amp; ";","")</f>
        <v/>
      </c>
      <c r="AZ63" s="58">
        <f>IF(AND($H63="opportunity",$S63=0.7,$R63=0.8),$D63 &amp; ";","")</f>
        <v/>
      </c>
      <c r="BA63" s="58">
        <f>IF(AND($H63="opportunity",$S63=0.7,$R63=0.4),$D63 &amp; ";","")</f>
        <v/>
      </c>
      <c r="BB63" s="58">
        <f>IF(AND($H63="opportunity",$S63=0.7,$R63=0.2),$D63 &amp; ";","")</f>
        <v/>
      </c>
      <c r="BC63" s="58">
        <f>IF(AND($H63="opportunity",$S63=0.7,$R63=0.1),$D63 &amp; ";","")</f>
        <v/>
      </c>
      <c r="BD63" s="58">
        <f>IF(AND($H63="opportunity",$S63=0.7,$R63=0.05),$D63 &amp; ";","")</f>
        <v/>
      </c>
      <c r="BE63" s="58">
        <f>IF(AND($H63="opportunity",$S63=0.5,$R63=0.8),$D63 &amp; ";","")</f>
        <v/>
      </c>
      <c r="BF63" s="58">
        <f>IF(AND($H63="opportunity",$S63=0.5,$R63=0.4),$D63 &amp; ";","")</f>
        <v/>
      </c>
      <c r="BG63" s="58">
        <f>IF(AND($H63="opportunity",$S63=0.5,$R63=0.2),$D63 &amp; ";","")</f>
        <v/>
      </c>
      <c r="BH63" s="58">
        <f>IF(AND($H63="opportunity",$S63=0.5,$R63=0.1),$D63 &amp; ";","")</f>
        <v/>
      </c>
      <c r="BI63" s="58">
        <f>IF(AND($H63="opportunity",$S63=0.5,$R63=0.05),$D63 &amp; ";","")</f>
        <v/>
      </c>
      <c r="BJ63" s="58">
        <f>IF(AND($H63="opportunity",$S63=0.3,$R63=0.8),$D63 &amp; ";","")</f>
        <v/>
      </c>
      <c r="BK63" s="58">
        <f>IF(AND($H63="opportunity",$S63=0.3,$R63=0.4),$D63 &amp; ";","")</f>
        <v/>
      </c>
      <c r="BL63" s="58">
        <f>IF(AND($H63="opportunity",$S63=0.3,$R63=0.2),$D63 &amp; ";","")</f>
        <v/>
      </c>
      <c r="BM63" s="58">
        <f>IF(AND($H63="opportunity",$S63=0.3,$R63=0.1),$D63 &amp; ";","")</f>
        <v/>
      </c>
      <c r="BN63" s="58">
        <f>IF(AND($H63="opportunity",$S63=0.3,$R63=0.05),$D63 &amp; ";","")</f>
        <v/>
      </c>
      <c r="BO63" s="58">
        <f>IF(AND($H63="opportunity",$S63=0.1,$R63=0.8),$D63 &amp; ";","")</f>
        <v/>
      </c>
      <c r="BP63" s="58">
        <f>IF(AND($H63="opportunity",$S63=0.1,$R63=0.4),$D63 &amp; ";","")</f>
        <v/>
      </c>
      <c r="BQ63" s="58">
        <f>IF(AND($H63="opportunity",$S63=0.1,$R63=0.2),$D63 &amp; ";","")</f>
        <v/>
      </c>
      <c r="BR63" s="58">
        <f>IF(AND($H63="opportunity",$S63=0.1,$R63=0.1),$D63 &amp; ";","")</f>
        <v/>
      </c>
      <c r="BS63" s="58">
        <f>IF(AND($H63="opportunity",$S63=0.1,$R63=0.05),$D63 &amp; ";","")</f>
        <v/>
      </c>
      <c r="BV63" s="57">
        <f>INDIRECT(ADDRESS(ROW()-22,COLUMN()-45,1,1,"Risk Register"))</f>
        <v/>
      </c>
      <c r="BW63" s="58">
        <f>INDIRECT(ADDRESS(ROW()-22,COLUMN()-44,1,1,"Risk Register"))</f>
        <v/>
      </c>
      <c r="BX63" s="59">
        <f>IF(AND($H63="threat",$P63&lt;=0.05),"gn",IF(AND($H63="threat",$P63&lt;=0.14),"y",IF(AND($H63="threat", $P63&gt;=0.15),"r",IF(AND($H63="opportunity",$P63&lt;=0.05),"gn",IF(AND($H63="opportunity",$P63&lt;=0.14),"lb",IF(AND($H63="opportunity",$P63&gt;=0.15),"db","z"))))))</f>
        <v/>
      </c>
      <c r="BY63" s="58">
        <f>IF(AND($H63="threat",$BW63=0.9,$BV63=0.05),$D63 &amp; ";","")</f>
        <v/>
      </c>
      <c r="BZ63" s="58">
        <f>IF(AND($H63="threat",$BW63=0.9,$BV63=0.1),$D63 &amp; ";","")</f>
        <v/>
      </c>
      <c r="CA63" s="58">
        <f>IF(AND($H63="threat",$BW63=0.9,$BV63=0.2),$D63 &amp; ";","")</f>
        <v/>
      </c>
      <c r="CB63" s="58">
        <f>IF(AND($H63="threat",$BW63=0.9,$BV63=0.4),$D63 &amp; ";","")</f>
        <v/>
      </c>
      <c r="CC63" s="58">
        <f>IF(AND($H63="threat",$BW63=0.9,$BV63=0.8),$D63 &amp; ";","")</f>
        <v/>
      </c>
      <c r="CD63" s="58">
        <f>IF(AND($H63="threat",$BW63=0.7,$BV63=0.05),$D63 &amp; ";","")</f>
        <v/>
      </c>
      <c r="CE63" s="58">
        <f>IF(AND($H63="threat",$BW63=0.7,$BV63=0.1),$D63 &amp; ";","")</f>
        <v/>
      </c>
      <c r="CF63" s="58">
        <f>IF(AND($H63="threat",$BW63=0.7,$BV63=0.2),$D63 &amp; ";","")</f>
        <v/>
      </c>
      <c r="CG63" s="58">
        <f>IF(AND($H63="threat",$BW63=0.7,$BV63=0.4),$D63 &amp; ";","")</f>
        <v/>
      </c>
      <c r="CH63" s="58">
        <f>IF(AND($H63="threat",$BW63=0.7,$BV63=0.8),$D63 &amp; ";","")</f>
        <v/>
      </c>
      <c r="CI63" s="58">
        <f>IF(AND($H63="threat",$BW63=0.5,$BV63=0.05),$D63 &amp; ";","")</f>
        <v/>
      </c>
      <c r="CJ63" s="58">
        <f>IF(AND($H63="threat",$BW63=0.5,$BV63=0.1),$D63 &amp; ";","")</f>
        <v/>
      </c>
      <c r="CK63" s="58">
        <f>IF(AND($H63="threat",$BW63=0.5,$BV63=0.2),$D63 &amp; ";","")</f>
        <v/>
      </c>
      <c r="CL63" s="58">
        <f>IF(AND($H63="threat",$BW63=0.5,$BV63=0.4),$D63 &amp; ";","")</f>
        <v/>
      </c>
      <c r="CM63" s="58">
        <f>IF(AND($H63="threat",$BW63=0.5,$BV63=0.8),$D63 &amp; ";","")</f>
        <v/>
      </c>
      <c r="CN63" s="58">
        <f>IF(AND($H63="threat",$BW63=0.3,$BV63=0.05),$D63 &amp; ";","")</f>
        <v/>
      </c>
      <c r="CO63" s="58">
        <f>IF(AND($H63="threat",$BW63=0.3,$BV63=0.1),$D63 &amp; ";","")</f>
        <v/>
      </c>
      <c r="CP63" s="58">
        <f>IF(AND($H63="threat",$BW63=0.3,$BV63=0.2),$D63 &amp; ";","")</f>
        <v/>
      </c>
      <c r="CQ63" s="58">
        <f>IF(AND($H63="threat",$BW63=0.3,$BV63=0.4),$D63 &amp; ";","")</f>
        <v/>
      </c>
      <c r="CR63" s="58">
        <f>IF(AND($H63="threat",$BW63=0.3,$BV63=0.8),$D63 &amp; ";","")</f>
        <v/>
      </c>
      <c r="CS63" s="58">
        <f>IF(AND($H63="threat",$BW63=0.1,$BV63=0.05),$D63 &amp; ";","")</f>
        <v/>
      </c>
      <c r="CT63" s="58">
        <f>IF(AND($H63="threat",$BW63=0.1,$BV63=0.1),$D63 &amp; ";","")</f>
        <v/>
      </c>
      <c r="CU63" s="58">
        <f>IF(AND($H63="threat",$BW63=0.1,$BV63=0.2),$D63 &amp; ";","")</f>
        <v/>
      </c>
      <c r="CV63" s="58">
        <f>IF(AND($H63="threat",$BW63=0.1,$BV63=0.4),$D63 &amp; ";","")</f>
        <v/>
      </c>
      <c r="CW63" s="58">
        <f>IF(AND($H63="threat",$BW63=0.1,$BV63=0.8),$D63 &amp; ";","")</f>
        <v/>
      </c>
      <c r="CX63" s="39" t="n"/>
      <c r="CY63" s="58">
        <f>IF(AND($H63="opportunity",$BW63=0.9,$BV63=0.8),$D63 &amp; ";","")</f>
        <v/>
      </c>
      <c r="CZ63" s="58">
        <f>IF(AND($H63="opportunity",$BW63=0.9,$BV63=0.4),$D63 &amp; ";","")</f>
        <v/>
      </c>
      <c r="DA63" s="58">
        <f>IF(AND($H63="opportunity",$BW63=0.9,$BV63=0.2),$D63 &amp; ";","")</f>
        <v/>
      </c>
      <c r="DB63" s="58">
        <f>IF(AND($H63="opportunity",$BW63=0.9,$BV63=0.1),$D63 &amp; ";","")</f>
        <v/>
      </c>
      <c r="DC63" s="58">
        <f>IF(AND($H63="opportunity",$BW63=0.9,$BV63=0.05),$D63 &amp; ";","")</f>
        <v/>
      </c>
      <c r="DD63" s="58">
        <f>IF(AND($H63="opportunity",$BW63=0.7,$BV63=0.8),$D63 &amp; ";","")</f>
        <v/>
      </c>
      <c r="DE63" s="58">
        <f>IF(AND($H63="opportunity",$BW63=0.7,$BV63=0.4),$D63 &amp; ";","")</f>
        <v/>
      </c>
      <c r="DF63" s="58">
        <f>IF(AND($H63="opportunity",$BW63=0.7,$BV63=0.2),$D63 &amp; ";","")</f>
        <v/>
      </c>
      <c r="DG63" s="58">
        <f>IF(AND($H63="opportunity",$BW63=0.7,$BV63=0.1),$D63 &amp; ";","")</f>
        <v/>
      </c>
      <c r="DH63" s="58">
        <f>IF(AND($H63="opportunity",$BW63=0.7,$BV63=0.05),$D63 &amp; ";","")</f>
        <v/>
      </c>
      <c r="DI63" s="58">
        <f>IF(AND($H63="opportunity",$BW63=0.5,$BV63=0.8),$D63 &amp; ";","")</f>
        <v/>
      </c>
      <c r="DJ63" s="58">
        <f>IF(AND($H63="opportunity",$BW63=0.5,$BV63=0.4),$D63 &amp; ";","")</f>
        <v/>
      </c>
      <c r="DK63" s="58">
        <f>IF(AND($H63="opportunity",$BW63=0.5,$BV63=0.2),$D63 &amp; ";","")</f>
        <v/>
      </c>
      <c r="DL63" s="58">
        <f>IF(AND($H63="opportunity",$BW63=0.5,$BV63=0.1),$D63 &amp; ";","")</f>
        <v/>
      </c>
      <c r="DM63" s="58">
        <f>IF(AND($H63="opportunity",$BW63=0.5,$BV63=0.05),$D63 &amp; ";","")</f>
        <v/>
      </c>
      <c r="DN63" s="58">
        <f>IF(AND($H63="opportunity",$BW63=0.3,$BV63=0.8),$D63 &amp; ";","")</f>
        <v/>
      </c>
      <c r="DO63" s="58">
        <f>IF(AND($H63="opportunity",$BW63=0.3,$BV63=0.4),$D63 &amp; ";","")</f>
        <v/>
      </c>
      <c r="DP63" s="58">
        <f>IF(AND($H63="opportunity",$BW63=0.3,$BV63=0.2),$D63 &amp; ";","")</f>
        <v/>
      </c>
      <c r="DQ63" s="58">
        <f>IF(AND($H63="opportunity",$BW63=0.3,$BV63=0.1),$D63 &amp; ";","")</f>
        <v/>
      </c>
      <c r="DR63" s="58">
        <f>IF(AND($H63="opportunity",$BW63=0.3,$BV63=0.05),$D63 &amp; ";","")</f>
        <v/>
      </c>
      <c r="DS63" s="58">
        <f>IF(AND($H63="opportunity",$BW63=0.1,$BV63=0.8),$D63 &amp; ";","")</f>
        <v/>
      </c>
      <c r="DT63" s="58">
        <f>IF(AND($H63="opportunity",$BW63=0.1,$BV63=0.4),$D63 &amp; ";","")</f>
        <v/>
      </c>
      <c r="DU63" s="58">
        <f>IF(AND($H63="opportunity",$BW63=0.1,$BV63=0.2),$D63 &amp; ";","")</f>
        <v/>
      </c>
      <c r="DV63" s="58">
        <f>IF(AND($H63="opportunity",$BW63=0.1,$BV63=0.1),$D63 &amp; ";","")</f>
        <v/>
      </c>
      <c r="DW63" s="58">
        <f>IF(AND($H63="opportunity",$BW63=0.1,$BV63=0.05),$D63 &amp; ";","")</f>
        <v/>
      </c>
    </row>
    <row r="64">
      <c r="D64" s="60">
        <f>INDIRECT(ADDRESS(ROW()-22,COLUMN()-2,1,1,"Risk Register"))</f>
        <v/>
      </c>
      <c r="E64" s="143">
        <f>INDIRECT(ADDRESS(ROW()-22,COLUMN()-1,1,1,"Risk Register"))</f>
        <v/>
      </c>
      <c r="G64" s="56">
        <f>INDIRECT(ADDRESS(ROW()-22,COLUMN()+10,1,1,"Risk Register"))</f>
        <v/>
      </c>
      <c r="H64" s="60">
        <f>INDIRECT(ADDRESS(ROW()-22,COLUMN()+8,1,1,"Risk Register"))</f>
        <v/>
      </c>
      <c r="I64" s="54">
        <f>INDIRECT(ADDRESS(ROW()-22,COLUMN()+3,1,1,"Risk Register"))</f>
        <v/>
      </c>
      <c r="J64" s="143">
        <f>INDIRECT(ADDRESS(ROW()-22,COLUMN()+12,1,1,"Risk Register"))</f>
        <v/>
      </c>
      <c r="K64" s="143">
        <f>INDIRECT(ADDRESS(ROW()-22,COLUMN()-2,1,1,"Risk Register"))</f>
        <v/>
      </c>
      <c r="L64" s="176">
        <f>INDIRECT(ADDRESS(ROW()-22,COLUMN()+15,1,1,"Risk Register"))</f>
        <v/>
      </c>
      <c r="M64" s="54">
        <f>INDIRECT(ADDRESS(ROW()-22,COLUMN()+13,1,1,"Risk Register"))</f>
        <v/>
      </c>
      <c r="N64" s="143">
        <f>INDIRECT(ADDRESS(ROW()-22,COLUMN()-9,1,1,"Risk Register"))</f>
        <v/>
      </c>
      <c r="O64" s="143">
        <f>INDIRECT(ADDRESS(ROW()-22,COLUMN()-8,1,1,"Risk Register"))</f>
        <v/>
      </c>
      <c r="P64" s="56">
        <f>INDIRECT(ADDRESS(ROW()-22,COLUMN()+18,1,1,"Risk Register"))</f>
        <v/>
      </c>
      <c r="R64" s="57">
        <f>INDIRECT(ADDRESS(ROW()-22,COLUMN()-5,1,1,"Risk Register"))</f>
        <v/>
      </c>
      <c r="S64" s="58">
        <f>INDIRECT(ADDRESS(ROW()-22,COLUMN()-4,1,1,"Risk Register"))</f>
        <v/>
      </c>
      <c r="T64" s="59">
        <f>IF(AND($H64="threat",$G64&lt;=0.05),"gn",IF(AND($H64="threat",$G64&lt;=0.14),"y",IF(AND($H64="threat", $G64&gt;=0.15),"r",IF(AND($H64="opportunity",$G64&lt;=0.05),"gn",IF(AND($H64="opportunity",$G64&lt;=0.14),"lb",IF(AND($H64="opportunity",$G64&gt;=0.15),"db","z"))))))</f>
        <v/>
      </c>
      <c r="U64" s="58">
        <f>IF(AND($H64="threat",$S64=0.9,$R64=0.05),$D64 &amp; ";","")</f>
        <v/>
      </c>
      <c r="V64" s="58">
        <f>IF(AND($H64="threat",$S64=0.9,$R64=0.1),$D64 &amp; ";","")</f>
        <v/>
      </c>
      <c r="W64" s="58">
        <f>IF(AND($H64="threat",$S64=0.9,$R64=0.2),$D64 &amp; ";","")</f>
        <v/>
      </c>
      <c r="X64" s="58">
        <f>IF(AND($H64="threat",$S64=0.9,$R64=0.4),$D64 &amp; ";","")</f>
        <v/>
      </c>
      <c r="Y64" s="58">
        <f>IF(AND($H64="threat",$S64=0.9,$R64=0.8),$D64 &amp; ";","")</f>
        <v/>
      </c>
      <c r="Z64" s="58">
        <f>IF(AND($H64="threat",$S64=0.7,$R64=0.05),$D64 &amp; ";","")</f>
        <v/>
      </c>
      <c r="AA64" s="58">
        <f>IF(AND($H64="threat",$S64=0.7,$R64=0.1),$D64 &amp; ";","")</f>
        <v/>
      </c>
      <c r="AB64" s="58">
        <f>IF(AND($H64="threat",$S64=0.7,$R64=0.2),$D64 &amp; ";","")</f>
        <v/>
      </c>
      <c r="AC64" s="58">
        <f>IF(AND($H64="threat",$S64=0.7,$R64=0.4),$D64 &amp; ";","")</f>
        <v/>
      </c>
      <c r="AD64" s="58">
        <f>IF(AND($H64="threat",$S64=0.7,$R64=0.8),$D64 &amp; ";","")</f>
        <v/>
      </c>
      <c r="AE64" s="58">
        <f>IF(AND($H64="threat",$S64=0.5,$R64=0.05),$D64 &amp; ";","")</f>
        <v/>
      </c>
      <c r="AF64" s="58">
        <f>IF(AND($H64="threat",$S64=0.5,$R64=0.1),$D64 &amp; ";","")</f>
        <v/>
      </c>
      <c r="AG64" s="58">
        <f>IF(AND($H64="threat",$S64=0.5,$R64=0.2),$D64 &amp; ";","")</f>
        <v/>
      </c>
      <c r="AH64" s="58">
        <f>IF(AND($H64="threat",$S64=0.5,$R64=0.4),$D64 &amp; ";","")</f>
        <v/>
      </c>
      <c r="AI64" s="58">
        <f>IF(AND($H64="threat",$S64=0.5,$R64=0.8),$D64 &amp; ";","")</f>
        <v/>
      </c>
      <c r="AJ64" s="58">
        <f>IF(AND($H64="threat",$S64=0.3,$R64=0.05),$D64 &amp; ";","")</f>
        <v/>
      </c>
      <c r="AK64" s="58">
        <f>IF(AND($H64="threat",$S64=0.3,$R64=0.1),$D64 &amp; ";","")</f>
        <v/>
      </c>
      <c r="AL64" s="58">
        <f>IF(AND($H64="threat",$S64=0.3,$R64=0.2),$D64 &amp; ";","")</f>
        <v/>
      </c>
      <c r="AM64" s="58">
        <f>IF(AND($H64="threat",$S64=0.3,$R64=0.4),$D64 &amp; ";","")</f>
        <v/>
      </c>
      <c r="AN64" s="58">
        <f>IF(AND($H64="threat",$S64=0.3,$R64=0.8),$D64 &amp; ";","")</f>
        <v/>
      </c>
      <c r="AO64" s="58">
        <f>IF(AND($H64="threat",$S64=0.1,$R64=0.05),$D64 &amp; ";","")</f>
        <v/>
      </c>
      <c r="AP64" s="58">
        <f>IF(AND($H64="threat",$S64=0.1,$R64=0.1),$D64 &amp; ";","")</f>
        <v/>
      </c>
      <c r="AQ64" s="58">
        <f>IF(AND($H64="threat",$S64=0.1,$R64=0.2),$D64 &amp; ";","")</f>
        <v/>
      </c>
      <c r="AR64" s="58">
        <f>IF(AND($H64="threat",$S64=0.1,$R64=0.4),$D64 &amp; ";","")</f>
        <v/>
      </c>
      <c r="AS64" s="58">
        <f>IF(AND($H64="threat",$S64=0.1,$R64=0.8),$D64 &amp; ";","")</f>
        <v/>
      </c>
      <c r="AT64" s="39" t="n"/>
      <c r="AU64" s="58">
        <f>IF(AND($H64="opportunity",$S64=0.9,$R64=0.8),$D64 &amp; ";","")</f>
        <v/>
      </c>
      <c r="AV64" s="58">
        <f>IF(AND($H64="opportunity",$S64=0.9,$R64=0.4),$D64 &amp; ";","")</f>
        <v/>
      </c>
      <c r="AW64" s="58">
        <f>IF(AND($H64="opportunity",$S64=0.9,$R64=0.2),$D64 &amp; ";","")</f>
        <v/>
      </c>
      <c r="AX64" s="58">
        <f>IF(AND($H64="opportunity",$S64=0.9,$R64=0.1),$D64 &amp; ";","")</f>
        <v/>
      </c>
      <c r="AY64" s="58">
        <f>IF(AND($H64="opportunity",$S64=0.9,$R64=0.05),$D64 &amp; ";","")</f>
        <v/>
      </c>
      <c r="AZ64" s="58">
        <f>IF(AND($H64="opportunity",$S64=0.7,$R64=0.8),$D64 &amp; ";","")</f>
        <v/>
      </c>
      <c r="BA64" s="58">
        <f>IF(AND($H64="opportunity",$S64=0.7,$R64=0.4),$D64 &amp; ";","")</f>
        <v/>
      </c>
      <c r="BB64" s="58">
        <f>IF(AND($H64="opportunity",$S64=0.7,$R64=0.2),$D64 &amp; ";","")</f>
        <v/>
      </c>
      <c r="BC64" s="58">
        <f>IF(AND($H64="opportunity",$S64=0.7,$R64=0.1),$D64 &amp; ";","")</f>
        <v/>
      </c>
      <c r="BD64" s="58">
        <f>IF(AND($H64="opportunity",$S64=0.7,$R64=0.05),$D64 &amp; ";","")</f>
        <v/>
      </c>
      <c r="BE64" s="58">
        <f>IF(AND($H64="opportunity",$S64=0.5,$R64=0.8),$D64 &amp; ";","")</f>
        <v/>
      </c>
      <c r="BF64" s="58">
        <f>IF(AND($H64="opportunity",$S64=0.5,$R64=0.4),$D64 &amp; ";","")</f>
        <v/>
      </c>
      <c r="BG64" s="58">
        <f>IF(AND($H64="opportunity",$S64=0.5,$R64=0.2),$D64 &amp; ";","")</f>
        <v/>
      </c>
      <c r="BH64" s="58">
        <f>IF(AND($H64="opportunity",$S64=0.5,$R64=0.1),$D64 &amp; ";","")</f>
        <v/>
      </c>
      <c r="BI64" s="58">
        <f>IF(AND($H64="opportunity",$S64=0.5,$R64=0.05),$D64 &amp; ";","")</f>
        <v/>
      </c>
      <c r="BJ64" s="58">
        <f>IF(AND($H64="opportunity",$S64=0.3,$R64=0.8),$D64 &amp; ";","")</f>
        <v/>
      </c>
      <c r="BK64" s="58">
        <f>IF(AND($H64="opportunity",$S64=0.3,$R64=0.4),$D64 &amp; ";","")</f>
        <v/>
      </c>
      <c r="BL64" s="58">
        <f>IF(AND($H64="opportunity",$S64=0.3,$R64=0.2),$D64 &amp; ";","")</f>
        <v/>
      </c>
      <c r="BM64" s="58">
        <f>IF(AND($H64="opportunity",$S64=0.3,$R64=0.1),$D64 &amp; ";","")</f>
        <v/>
      </c>
      <c r="BN64" s="58">
        <f>IF(AND($H64="opportunity",$S64=0.3,$R64=0.05),$D64 &amp; ";","")</f>
        <v/>
      </c>
      <c r="BO64" s="58">
        <f>IF(AND($H64="opportunity",$S64=0.1,$R64=0.8),$D64 &amp; ";","")</f>
        <v/>
      </c>
      <c r="BP64" s="58">
        <f>IF(AND($H64="opportunity",$S64=0.1,$R64=0.4),$D64 &amp; ";","")</f>
        <v/>
      </c>
      <c r="BQ64" s="58">
        <f>IF(AND($H64="opportunity",$S64=0.1,$R64=0.2),$D64 &amp; ";","")</f>
        <v/>
      </c>
      <c r="BR64" s="58">
        <f>IF(AND($H64="opportunity",$S64=0.1,$R64=0.1),$D64 &amp; ";","")</f>
        <v/>
      </c>
      <c r="BS64" s="58">
        <f>IF(AND($H64="opportunity",$S64=0.1,$R64=0.05),$D64 &amp; ";","")</f>
        <v/>
      </c>
      <c r="BV64" s="57">
        <f>INDIRECT(ADDRESS(ROW()-22,COLUMN()-45,1,1,"Risk Register"))</f>
        <v/>
      </c>
      <c r="BW64" s="58">
        <f>INDIRECT(ADDRESS(ROW()-22,COLUMN()-44,1,1,"Risk Register"))</f>
        <v/>
      </c>
      <c r="BX64" s="59">
        <f>IF(AND($H64="threat",$P64&lt;=0.05),"gn",IF(AND($H64="threat",$P64&lt;=0.14),"y",IF(AND($H64="threat", $P64&gt;=0.15),"r",IF(AND($H64="opportunity",$P64&lt;=0.05),"gn",IF(AND($H64="opportunity",$P64&lt;=0.14),"lb",IF(AND($H64="opportunity",$P64&gt;=0.15),"db","z"))))))</f>
        <v/>
      </c>
      <c r="BY64" s="58">
        <f>IF(AND($H64="threat",$BW64=0.9,$BV64=0.05),$D64 &amp; ";","")</f>
        <v/>
      </c>
      <c r="BZ64" s="58">
        <f>IF(AND($H64="threat",$BW64=0.9,$BV64=0.1),$D64 &amp; ";","")</f>
        <v/>
      </c>
      <c r="CA64" s="58">
        <f>IF(AND($H64="threat",$BW64=0.9,$BV64=0.2),$D64 &amp; ";","")</f>
        <v/>
      </c>
      <c r="CB64" s="58">
        <f>IF(AND($H64="threat",$BW64=0.9,$BV64=0.4),$D64 &amp; ";","")</f>
        <v/>
      </c>
      <c r="CC64" s="58">
        <f>IF(AND($H64="threat",$BW64=0.9,$BV64=0.8),$D64 &amp; ";","")</f>
        <v/>
      </c>
      <c r="CD64" s="58">
        <f>IF(AND($H64="threat",$BW64=0.7,$BV64=0.05),$D64 &amp; ";","")</f>
        <v/>
      </c>
      <c r="CE64" s="58">
        <f>IF(AND($H64="threat",$BW64=0.7,$BV64=0.1),$D64 &amp; ";","")</f>
        <v/>
      </c>
      <c r="CF64" s="58">
        <f>IF(AND($H64="threat",$BW64=0.7,$BV64=0.2),$D64 &amp; ";","")</f>
        <v/>
      </c>
      <c r="CG64" s="58">
        <f>IF(AND($H64="threat",$BW64=0.7,$BV64=0.4),$D64 &amp; ";","")</f>
        <v/>
      </c>
      <c r="CH64" s="58">
        <f>IF(AND($H64="threat",$BW64=0.7,$BV64=0.8),$D64 &amp; ";","")</f>
        <v/>
      </c>
      <c r="CI64" s="58">
        <f>IF(AND($H64="threat",$BW64=0.5,$BV64=0.05),$D64 &amp; ";","")</f>
        <v/>
      </c>
      <c r="CJ64" s="58">
        <f>IF(AND($H64="threat",$BW64=0.5,$BV64=0.1),$D64 &amp; ";","")</f>
        <v/>
      </c>
      <c r="CK64" s="58">
        <f>IF(AND($H64="threat",$BW64=0.5,$BV64=0.2),$D64 &amp; ";","")</f>
        <v/>
      </c>
      <c r="CL64" s="58">
        <f>IF(AND($H64="threat",$BW64=0.5,$BV64=0.4),$D64 &amp; ";","")</f>
        <v/>
      </c>
      <c r="CM64" s="58">
        <f>IF(AND($H64="threat",$BW64=0.5,$BV64=0.8),$D64 &amp; ";","")</f>
        <v/>
      </c>
      <c r="CN64" s="58">
        <f>IF(AND($H64="threat",$BW64=0.3,$BV64=0.05),$D64 &amp; ";","")</f>
        <v/>
      </c>
      <c r="CO64" s="58">
        <f>IF(AND($H64="threat",$BW64=0.3,$BV64=0.1),$D64 &amp; ";","")</f>
        <v/>
      </c>
      <c r="CP64" s="58">
        <f>IF(AND($H64="threat",$BW64=0.3,$BV64=0.2),$D64 &amp; ";","")</f>
        <v/>
      </c>
      <c r="CQ64" s="58">
        <f>IF(AND($H64="threat",$BW64=0.3,$BV64=0.4),$D64 &amp; ";","")</f>
        <v/>
      </c>
      <c r="CR64" s="58">
        <f>IF(AND($H64="threat",$BW64=0.3,$BV64=0.8),$D64 &amp; ";","")</f>
        <v/>
      </c>
      <c r="CS64" s="58">
        <f>IF(AND($H64="threat",$BW64=0.1,$BV64=0.05),$D64 &amp; ";","")</f>
        <v/>
      </c>
      <c r="CT64" s="58">
        <f>IF(AND($H64="threat",$BW64=0.1,$BV64=0.1),$D64 &amp; ";","")</f>
        <v/>
      </c>
      <c r="CU64" s="58">
        <f>IF(AND($H64="threat",$BW64=0.1,$BV64=0.2),$D64 &amp; ";","")</f>
        <v/>
      </c>
      <c r="CV64" s="58">
        <f>IF(AND($H64="threat",$BW64=0.1,$BV64=0.4),$D64 &amp; ";","")</f>
        <v/>
      </c>
      <c r="CW64" s="58">
        <f>IF(AND($H64="threat",$BW64=0.1,$BV64=0.8),$D64 &amp; ";","")</f>
        <v/>
      </c>
      <c r="CX64" s="39" t="n"/>
      <c r="CY64" s="58">
        <f>IF(AND($H64="opportunity",$BW64=0.9,$BV64=0.8),$D64 &amp; ";","")</f>
        <v/>
      </c>
      <c r="CZ64" s="58">
        <f>IF(AND($H64="opportunity",$BW64=0.9,$BV64=0.4),$D64 &amp; ";","")</f>
        <v/>
      </c>
      <c r="DA64" s="58">
        <f>IF(AND($H64="opportunity",$BW64=0.9,$BV64=0.2),$D64 &amp; ";","")</f>
        <v/>
      </c>
      <c r="DB64" s="58">
        <f>IF(AND($H64="opportunity",$BW64=0.9,$BV64=0.1),$D64 &amp; ";","")</f>
        <v/>
      </c>
      <c r="DC64" s="58">
        <f>IF(AND($H64="opportunity",$BW64=0.9,$BV64=0.05),$D64 &amp; ";","")</f>
        <v/>
      </c>
      <c r="DD64" s="58">
        <f>IF(AND($H64="opportunity",$BW64=0.7,$BV64=0.8),$D64 &amp; ";","")</f>
        <v/>
      </c>
      <c r="DE64" s="58">
        <f>IF(AND($H64="opportunity",$BW64=0.7,$BV64=0.4),$D64 &amp; ";","")</f>
        <v/>
      </c>
      <c r="DF64" s="58">
        <f>IF(AND($H64="opportunity",$BW64=0.7,$BV64=0.2),$D64 &amp; ";","")</f>
        <v/>
      </c>
      <c r="DG64" s="58">
        <f>IF(AND($H64="opportunity",$BW64=0.7,$BV64=0.1),$D64 &amp; ";","")</f>
        <v/>
      </c>
      <c r="DH64" s="58">
        <f>IF(AND($H64="opportunity",$BW64=0.7,$BV64=0.05),$D64 &amp; ";","")</f>
        <v/>
      </c>
      <c r="DI64" s="58">
        <f>IF(AND($H64="opportunity",$BW64=0.5,$BV64=0.8),$D64 &amp; ";","")</f>
        <v/>
      </c>
      <c r="DJ64" s="58">
        <f>IF(AND($H64="opportunity",$BW64=0.5,$BV64=0.4),$D64 &amp; ";","")</f>
        <v/>
      </c>
      <c r="DK64" s="58">
        <f>IF(AND($H64="opportunity",$BW64=0.5,$BV64=0.2),$D64 &amp; ";","")</f>
        <v/>
      </c>
      <c r="DL64" s="58">
        <f>IF(AND($H64="opportunity",$BW64=0.5,$BV64=0.1),$D64 &amp; ";","")</f>
        <v/>
      </c>
      <c r="DM64" s="58">
        <f>IF(AND($H64="opportunity",$BW64=0.5,$BV64=0.05),$D64 &amp; ";","")</f>
        <v/>
      </c>
      <c r="DN64" s="58">
        <f>IF(AND($H64="opportunity",$BW64=0.3,$BV64=0.8),$D64 &amp; ";","")</f>
        <v/>
      </c>
      <c r="DO64" s="58">
        <f>IF(AND($H64="opportunity",$BW64=0.3,$BV64=0.4),$D64 &amp; ";","")</f>
        <v/>
      </c>
      <c r="DP64" s="58">
        <f>IF(AND($H64="opportunity",$BW64=0.3,$BV64=0.2),$D64 &amp; ";","")</f>
        <v/>
      </c>
      <c r="DQ64" s="58">
        <f>IF(AND($H64="opportunity",$BW64=0.3,$BV64=0.1),$D64 &amp; ";","")</f>
        <v/>
      </c>
      <c r="DR64" s="58">
        <f>IF(AND($H64="opportunity",$BW64=0.3,$BV64=0.05),$D64 &amp; ";","")</f>
        <v/>
      </c>
      <c r="DS64" s="58">
        <f>IF(AND($H64="opportunity",$BW64=0.1,$BV64=0.8),$D64 &amp; ";","")</f>
        <v/>
      </c>
      <c r="DT64" s="58">
        <f>IF(AND($H64="opportunity",$BW64=0.1,$BV64=0.4),$D64 &amp; ";","")</f>
        <v/>
      </c>
      <c r="DU64" s="58">
        <f>IF(AND($H64="opportunity",$BW64=0.1,$BV64=0.2),$D64 &amp; ";","")</f>
        <v/>
      </c>
      <c r="DV64" s="58">
        <f>IF(AND($H64="opportunity",$BW64=0.1,$BV64=0.1),$D64 &amp; ";","")</f>
        <v/>
      </c>
      <c r="DW64" s="58">
        <f>IF(AND($H64="opportunity",$BW64=0.1,$BV64=0.05),$D64 &amp; ";","")</f>
        <v/>
      </c>
    </row>
    <row r="65">
      <c r="D65" s="60">
        <f>INDIRECT(ADDRESS(ROW()-22,COLUMN()-2,1,1,"Risk Register"))</f>
        <v/>
      </c>
      <c r="E65" s="143">
        <f>INDIRECT(ADDRESS(ROW()-22,COLUMN()-1,1,1,"Risk Register"))</f>
        <v/>
      </c>
      <c r="G65" s="56">
        <f>INDIRECT(ADDRESS(ROW()-22,COLUMN()+10,1,1,"Risk Register"))</f>
        <v/>
      </c>
      <c r="H65" s="60">
        <f>INDIRECT(ADDRESS(ROW()-22,COLUMN()+8,1,1,"Risk Register"))</f>
        <v/>
      </c>
      <c r="I65" s="54">
        <f>INDIRECT(ADDRESS(ROW()-22,COLUMN()+3,1,1,"Risk Register"))</f>
        <v/>
      </c>
      <c r="J65" s="143">
        <f>INDIRECT(ADDRESS(ROW()-22,COLUMN()+12,1,1,"Risk Register"))</f>
        <v/>
      </c>
      <c r="K65" s="143">
        <f>INDIRECT(ADDRESS(ROW()-22,COLUMN()-2,1,1,"Risk Register"))</f>
        <v/>
      </c>
      <c r="L65" s="176">
        <f>INDIRECT(ADDRESS(ROW()-22,COLUMN()+15,1,1,"Risk Register"))</f>
        <v/>
      </c>
      <c r="M65" s="54">
        <f>INDIRECT(ADDRESS(ROW()-22,COLUMN()+13,1,1,"Risk Register"))</f>
        <v/>
      </c>
      <c r="N65" s="143">
        <f>INDIRECT(ADDRESS(ROW()-22,COLUMN()-9,1,1,"Risk Register"))</f>
        <v/>
      </c>
      <c r="O65" s="143">
        <f>INDIRECT(ADDRESS(ROW()-22,COLUMN()-8,1,1,"Risk Register"))</f>
        <v/>
      </c>
      <c r="P65" s="56">
        <f>INDIRECT(ADDRESS(ROW()-22,COLUMN()+18,1,1,"Risk Register"))</f>
        <v/>
      </c>
      <c r="R65" s="57">
        <f>INDIRECT(ADDRESS(ROW()-22,COLUMN()-5,1,1,"Risk Register"))</f>
        <v/>
      </c>
      <c r="S65" s="58">
        <f>INDIRECT(ADDRESS(ROW()-22,COLUMN()-4,1,1,"Risk Register"))</f>
        <v/>
      </c>
      <c r="T65" s="59">
        <f>IF(AND($H65="threat",$G65&lt;=0.05),"gn",IF(AND($H65="threat",$G65&lt;=0.14),"y",IF(AND($H65="threat", $G65&gt;=0.15),"r",IF(AND($H65="opportunity",$G65&lt;=0.05),"gn",IF(AND($H65="opportunity",$G65&lt;=0.14),"lb",IF(AND($H65="opportunity",$G65&gt;=0.15),"db","z"))))))</f>
        <v/>
      </c>
      <c r="U65" s="58">
        <f>IF(AND($H65="threat",$S65=0.9,$R65=0.05),$D65 &amp; ";","")</f>
        <v/>
      </c>
      <c r="V65" s="58">
        <f>IF(AND($H65="threat",$S65=0.9,$R65=0.1),$D65 &amp; ";","")</f>
        <v/>
      </c>
      <c r="W65" s="58">
        <f>IF(AND($H65="threat",$S65=0.9,$R65=0.2),$D65 &amp; ";","")</f>
        <v/>
      </c>
      <c r="X65" s="58">
        <f>IF(AND($H65="threat",$S65=0.9,$R65=0.4),$D65 &amp; ";","")</f>
        <v/>
      </c>
      <c r="Y65" s="58">
        <f>IF(AND($H65="threat",$S65=0.9,$R65=0.8),$D65 &amp; ";","")</f>
        <v/>
      </c>
      <c r="Z65" s="58">
        <f>IF(AND($H65="threat",$S65=0.7,$R65=0.05),$D65 &amp; ";","")</f>
        <v/>
      </c>
      <c r="AA65" s="58">
        <f>IF(AND($H65="threat",$S65=0.7,$R65=0.1),$D65 &amp; ";","")</f>
        <v/>
      </c>
      <c r="AB65" s="58">
        <f>IF(AND($H65="threat",$S65=0.7,$R65=0.2),$D65 &amp; ";","")</f>
        <v/>
      </c>
      <c r="AC65" s="58">
        <f>IF(AND($H65="threat",$S65=0.7,$R65=0.4),$D65 &amp; ";","")</f>
        <v/>
      </c>
      <c r="AD65" s="58">
        <f>IF(AND($H65="threat",$S65=0.7,$R65=0.8),$D65 &amp; ";","")</f>
        <v/>
      </c>
      <c r="AE65" s="58">
        <f>IF(AND($H65="threat",$S65=0.5,$R65=0.05),$D65 &amp; ";","")</f>
        <v/>
      </c>
      <c r="AF65" s="58">
        <f>IF(AND($H65="threat",$S65=0.5,$R65=0.1),$D65 &amp; ";","")</f>
        <v/>
      </c>
      <c r="AG65" s="58">
        <f>IF(AND($H65="threat",$S65=0.5,$R65=0.2),$D65 &amp; ";","")</f>
        <v/>
      </c>
      <c r="AH65" s="58">
        <f>IF(AND($H65="threat",$S65=0.5,$R65=0.4),$D65 &amp; ";","")</f>
        <v/>
      </c>
      <c r="AI65" s="58">
        <f>IF(AND($H65="threat",$S65=0.5,$R65=0.8),$D65 &amp; ";","")</f>
        <v/>
      </c>
      <c r="AJ65" s="58">
        <f>IF(AND($H65="threat",$S65=0.3,$R65=0.05),$D65 &amp; ";","")</f>
        <v/>
      </c>
      <c r="AK65" s="58">
        <f>IF(AND($H65="threat",$S65=0.3,$R65=0.1),$D65 &amp; ";","")</f>
        <v/>
      </c>
      <c r="AL65" s="58">
        <f>IF(AND($H65="threat",$S65=0.3,$R65=0.2),$D65 &amp; ";","")</f>
        <v/>
      </c>
      <c r="AM65" s="58">
        <f>IF(AND($H65="threat",$S65=0.3,$R65=0.4),$D65 &amp; ";","")</f>
        <v/>
      </c>
      <c r="AN65" s="58">
        <f>IF(AND($H65="threat",$S65=0.3,$R65=0.8),$D65 &amp; ";","")</f>
        <v/>
      </c>
      <c r="AO65" s="58">
        <f>IF(AND($H65="threat",$S65=0.1,$R65=0.05),$D65 &amp; ";","")</f>
        <v/>
      </c>
      <c r="AP65" s="58">
        <f>IF(AND($H65="threat",$S65=0.1,$R65=0.1),$D65 &amp; ";","")</f>
        <v/>
      </c>
      <c r="AQ65" s="58">
        <f>IF(AND($H65="threat",$S65=0.1,$R65=0.2),$D65 &amp; ";","")</f>
        <v/>
      </c>
      <c r="AR65" s="58">
        <f>IF(AND($H65="threat",$S65=0.1,$R65=0.4),$D65 &amp; ";","")</f>
        <v/>
      </c>
      <c r="AS65" s="58">
        <f>IF(AND($H65="threat",$S65=0.1,$R65=0.8),$D65 &amp; ";","")</f>
        <v/>
      </c>
      <c r="AT65" s="39" t="n"/>
      <c r="AU65" s="58">
        <f>IF(AND($H65="opportunity",$S65=0.9,$R65=0.8),$D65 &amp; ";","")</f>
        <v/>
      </c>
      <c r="AV65" s="58">
        <f>IF(AND($H65="opportunity",$S65=0.9,$R65=0.4),$D65 &amp; ";","")</f>
        <v/>
      </c>
      <c r="AW65" s="58">
        <f>IF(AND($H65="opportunity",$S65=0.9,$R65=0.2),$D65 &amp; ";","")</f>
        <v/>
      </c>
      <c r="AX65" s="58">
        <f>IF(AND($H65="opportunity",$S65=0.9,$R65=0.1),$D65 &amp; ";","")</f>
        <v/>
      </c>
      <c r="AY65" s="58">
        <f>IF(AND($H65="opportunity",$S65=0.9,$R65=0.05),$D65 &amp; ";","")</f>
        <v/>
      </c>
      <c r="AZ65" s="58">
        <f>IF(AND($H65="opportunity",$S65=0.7,$R65=0.8),$D65 &amp; ";","")</f>
        <v/>
      </c>
      <c r="BA65" s="58">
        <f>IF(AND($H65="opportunity",$S65=0.7,$R65=0.4),$D65 &amp; ";","")</f>
        <v/>
      </c>
      <c r="BB65" s="58">
        <f>IF(AND($H65="opportunity",$S65=0.7,$R65=0.2),$D65 &amp; ";","")</f>
        <v/>
      </c>
      <c r="BC65" s="58">
        <f>IF(AND($H65="opportunity",$S65=0.7,$R65=0.1),$D65 &amp; ";","")</f>
        <v/>
      </c>
      <c r="BD65" s="58">
        <f>IF(AND($H65="opportunity",$S65=0.7,$R65=0.05),$D65 &amp; ";","")</f>
        <v/>
      </c>
      <c r="BE65" s="58">
        <f>IF(AND($H65="opportunity",$S65=0.5,$R65=0.8),$D65 &amp; ";","")</f>
        <v/>
      </c>
      <c r="BF65" s="58">
        <f>IF(AND($H65="opportunity",$S65=0.5,$R65=0.4),$D65 &amp; ";","")</f>
        <v/>
      </c>
      <c r="BG65" s="58">
        <f>IF(AND($H65="opportunity",$S65=0.5,$R65=0.2),$D65 &amp; ";","")</f>
        <v/>
      </c>
      <c r="BH65" s="58">
        <f>IF(AND($H65="opportunity",$S65=0.5,$R65=0.1),$D65 &amp; ";","")</f>
        <v/>
      </c>
      <c r="BI65" s="58">
        <f>IF(AND($H65="opportunity",$S65=0.5,$R65=0.05),$D65 &amp; ";","")</f>
        <v/>
      </c>
      <c r="BJ65" s="58">
        <f>IF(AND($H65="opportunity",$S65=0.3,$R65=0.8),$D65 &amp; ";","")</f>
        <v/>
      </c>
      <c r="BK65" s="58">
        <f>IF(AND($H65="opportunity",$S65=0.3,$R65=0.4),$D65 &amp; ";","")</f>
        <v/>
      </c>
      <c r="BL65" s="58">
        <f>IF(AND($H65="opportunity",$S65=0.3,$R65=0.2),$D65 &amp; ";","")</f>
        <v/>
      </c>
      <c r="BM65" s="58">
        <f>IF(AND($H65="opportunity",$S65=0.3,$R65=0.1),$D65 &amp; ";","")</f>
        <v/>
      </c>
      <c r="BN65" s="58">
        <f>IF(AND($H65="opportunity",$S65=0.3,$R65=0.05),$D65 &amp; ";","")</f>
        <v/>
      </c>
      <c r="BO65" s="58">
        <f>IF(AND($H65="opportunity",$S65=0.1,$R65=0.8),$D65 &amp; ";","")</f>
        <v/>
      </c>
      <c r="BP65" s="58">
        <f>IF(AND($H65="opportunity",$S65=0.1,$R65=0.4),$D65 &amp; ";","")</f>
        <v/>
      </c>
      <c r="BQ65" s="58">
        <f>IF(AND($H65="opportunity",$S65=0.1,$R65=0.2),$D65 &amp; ";","")</f>
        <v/>
      </c>
      <c r="BR65" s="58">
        <f>IF(AND($H65="opportunity",$S65=0.1,$R65=0.1),$D65 &amp; ";","")</f>
        <v/>
      </c>
      <c r="BS65" s="58">
        <f>IF(AND($H65="opportunity",$S65=0.1,$R65=0.05),$D65 &amp; ";","")</f>
        <v/>
      </c>
      <c r="BV65" s="57">
        <f>INDIRECT(ADDRESS(ROW()-22,COLUMN()-45,1,1,"Risk Register"))</f>
        <v/>
      </c>
      <c r="BW65" s="58">
        <f>INDIRECT(ADDRESS(ROW()-22,COLUMN()-44,1,1,"Risk Register"))</f>
        <v/>
      </c>
      <c r="BX65" s="59">
        <f>IF(AND($H65="threat",$P65&lt;=0.05),"gn",IF(AND($H65="threat",$P65&lt;=0.14),"y",IF(AND($H65="threat", $P65&gt;=0.15),"r",IF(AND($H65="opportunity",$P65&lt;=0.05),"gn",IF(AND($H65="opportunity",$P65&lt;=0.14),"lb",IF(AND($H65="opportunity",$P65&gt;=0.15),"db","z"))))))</f>
        <v/>
      </c>
      <c r="BY65" s="58">
        <f>IF(AND($H65="threat",$BW65=0.9,$BV65=0.05),$D65 &amp; ";","")</f>
        <v/>
      </c>
      <c r="BZ65" s="58">
        <f>IF(AND($H65="threat",$BW65=0.9,$BV65=0.1),$D65 &amp; ";","")</f>
        <v/>
      </c>
      <c r="CA65" s="58">
        <f>IF(AND($H65="threat",$BW65=0.9,$BV65=0.2),$D65 &amp; ";","")</f>
        <v/>
      </c>
      <c r="CB65" s="58">
        <f>IF(AND($H65="threat",$BW65=0.9,$BV65=0.4),$D65 &amp; ";","")</f>
        <v/>
      </c>
      <c r="CC65" s="58">
        <f>IF(AND($H65="threat",$BW65=0.9,$BV65=0.8),$D65 &amp; ";","")</f>
        <v/>
      </c>
      <c r="CD65" s="58">
        <f>IF(AND($H65="threat",$BW65=0.7,$BV65=0.05),$D65 &amp; ";","")</f>
        <v/>
      </c>
      <c r="CE65" s="58">
        <f>IF(AND($H65="threat",$BW65=0.7,$BV65=0.1),$D65 &amp; ";","")</f>
        <v/>
      </c>
      <c r="CF65" s="58">
        <f>IF(AND($H65="threat",$BW65=0.7,$BV65=0.2),$D65 &amp; ";","")</f>
        <v/>
      </c>
      <c r="CG65" s="58">
        <f>IF(AND($H65="threat",$BW65=0.7,$BV65=0.4),$D65 &amp; ";","")</f>
        <v/>
      </c>
      <c r="CH65" s="58">
        <f>IF(AND($H65="threat",$BW65=0.7,$BV65=0.8),$D65 &amp; ";","")</f>
        <v/>
      </c>
      <c r="CI65" s="58">
        <f>IF(AND($H65="threat",$BW65=0.5,$BV65=0.05),$D65 &amp; ";","")</f>
        <v/>
      </c>
      <c r="CJ65" s="58">
        <f>IF(AND($H65="threat",$BW65=0.5,$BV65=0.1),$D65 &amp; ";","")</f>
        <v/>
      </c>
      <c r="CK65" s="58">
        <f>IF(AND($H65="threat",$BW65=0.5,$BV65=0.2),$D65 &amp; ";","")</f>
        <v/>
      </c>
      <c r="CL65" s="58">
        <f>IF(AND($H65="threat",$BW65=0.5,$BV65=0.4),$D65 &amp; ";","")</f>
        <v/>
      </c>
      <c r="CM65" s="58">
        <f>IF(AND($H65="threat",$BW65=0.5,$BV65=0.8),$D65 &amp; ";","")</f>
        <v/>
      </c>
      <c r="CN65" s="58">
        <f>IF(AND($H65="threat",$BW65=0.3,$BV65=0.05),$D65 &amp; ";","")</f>
        <v/>
      </c>
      <c r="CO65" s="58">
        <f>IF(AND($H65="threat",$BW65=0.3,$BV65=0.1),$D65 &amp; ";","")</f>
        <v/>
      </c>
      <c r="CP65" s="58">
        <f>IF(AND($H65="threat",$BW65=0.3,$BV65=0.2),$D65 &amp; ";","")</f>
        <v/>
      </c>
      <c r="CQ65" s="58">
        <f>IF(AND($H65="threat",$BW65=0.3,$BV65=0.4),$D65 &amp; ";","")</f>
        <v/>
      </c>
      <c r="CR65" s="58">
        <f>IF(AND($H65="threat",$BW65=0.3,$BV65=0.8),$D65 &amp; ";","")</f>
        <v/>
      </c>
      <c r="CS65" s="58">
        <f>IF(AND($H65="threat",$BW65=0.1,$BV65=0.05),$D65 &amp; ";","")</f>
        <v/>
      </c>
      <c r="CT65" s="58">
        <f>IF(AND($H65="threat",$BW65=0.1,$BV65=0.1),$D65 &amp; ";","")</f>
        <v/>
      </c>
      <c r="CU65" s="58">
        <f>IF(AND($H65="threat",$BW65=0.1,$BV65=0.2),$D65 &amp; ";","")</f>
        <v/>
      </c>
      <c r="CV65" s="58">
        <f>IF(AND($H65="threat",$BW65=0.1,$BV65=0.4),$D65 &amp; ";","")</f>
        <v/>
      </c>
      <c r="CW65" s="58">
        <f>IF(AND($H65="threat",$BW65=0.1,$BV65=0.8),$D65 &amp; ";","")</f>
        <v/>
      </c>
      <c r="CX65" s="39" t="n"/>
      <c r="CY65" s="58">
        <f>IF(AND($H65="opportunity",$BW65=0.9,$BV65=0.8),$D65 &amp; ";","")</f>
        <v/>
      </c>
      <c r="CZ65" s="58">
        <f>IF(AND($H65="opportunity",$BW65=0.9,$BV65=0.4),$D65 &amp; ";","")</f>
        <v/>
      </c>
      <c r="DA65" s="58">
        <f>IF(AND($H65="opportunity",$BW65=0.9,$BV65=0.2),$D65 &amp; ";","")</f>
        <v/>
      </c>
      <c r="DB65" s="58">
        <f>IF(AND($H65="opportunity",$BW65=0.9,$BV65=0.1),$D65 &amp; ";","")</f>
        <v/>
      </c>
      <c r="DC65" s="58">
        <f>IF(AND($H65="opportunity",$BW65=0.9,$BV65=0.05),$D65 &amp; ";","")</f>
        <v/>
      </c>
      <c r="DD65" s="58">
        <f>IF(AND($H65="opportunity",$BW65=0.7,$BV65=0.8),$D65 &amp; ";","")</f>
        <v/>
      </c>
      <c r="DE65" s="58">
        <f>IF(AND($H65="opportunity",$BW65=0.7,$BV65=0.4),$D65 &amp; ";","")</f>
        <v/>
      </c>
      <c r="DF65" s="58">
        <f>IF(AND($H65="opportunity",$BW65=0.7,$BV65=0.2),$D65 &amp; ";","")</f>
        <v/>
      </c>
      <c r="DG65" s="58">
        <f>IF(AND($H65="opportunity",$BW65=0.7,$BV65=0.1),$D65 &amp; ";","")</f>
        <v/>
      </c>
      <c r="DH65" s="58">
        <f>IF(AND($H65="opportunity",$BW65=0.7,$BV65=0.05),$D65 &amp; ";","")</f>
        <v/>
      </c>
      <c r="DI65" s="58">
        <f>IF(AND($H65="opportunity",$BW65=0.5,$BV65=0.8),$D65 &amp; ";","")</f>
        <v/>
      </c>
      <c r="DJ65" s="58">
        <f>IF(AND($H65="opportunity",$BW65=0.5,$BV65=0.4),$D65 &amp; ";","")</f>
        <v/>
      </c>
      <c r="DK65" s="58">
        <f>IF(AND($H65="opportunity",$BW65=0.5,$BV65=0.2),$D65 &amp; ";","")</f>
        <v/>
      </c>
      <c r="DL65" s="58">
        <f>IF(AND($H65="opportunity",$BW65=0.5,$BV65=0.1),$D65 &amp; ";","")</f>
        <v/>
      </c>
      <c r="DM65" s="58">
        <f>IF(AND($H65="opportunity",$BW65=0.5,$BV65=0.05),$D65 &amp; ";","")</f>
        <v/>
      </c>
      <c r="DN65" s="58">
        <f>IF(AND($H65="opportunity",$BW65=0.3,$BV65=0.8),$D65 &amp; ";","")</f>
        <v/>
      </c>
      <c r="DO65" s="58">
        <f>IF(AND($H65="opportunity",$BW65=0.3,$BV65=0.4),$D65 &amp; ";","")</f>
        <v/>
      </c>
      <c r="DP65" s="58">
        <f>IF(AND($H65="opportunity",$BW65=0.3,$BV65=0.2),$D65 &amp; ";","")</f>
        <v/>
      </c>
      <c r="DQ65" s="58">
        <f>IF(AND($H65="opportunity",$BW65=0.3,$BV65=0.1),$D65 &amp; ";","")</f>
        <v/>
      </c>
      <c r="DR65" s="58">
        <f>IF(AND($H65="opportunity",$BW65=0.3,$BV65=0.05),$D65 &amp; ";","")</f>
        <v/>
      </c>
      <c r="DS65" s="58">
        <f>IF(AND($H65="opportunity",$BW65=0.1,$BV65=0.8),$D65 &amp; ";","")</f>
        <v/>
      </c>
      <c r="DT65" s="58">
        <f>IF(AND($H65="opportunity",$BW65=0.1,$BV65=0.4),$D65 &amp; ";","")</f>
        <v/>
      </c>
      <c r="DU65" s="58">
        <f>IF(AND($H65="opportunity",$BW65=0.1,$BV65=0.2),$D65 &amp; ";","")</f>
        <v/>
      </c>
      <c r="DV65" s="58">
        <f>IF(AND($H65="opportunity",$BW65=0.1,$BV65=0.1),$D65 &amp; ";","")</f>
        <v/>
      </c>
      <c r="DW65" s="58">
        <f>IF(AND($H65="opportunity",$BW65=0.1,$BV65=0.05),$D65 &amp; ";","")</f>
        <v/>
      </c>
    </row>
    <row r="66">
      <c r="D66" s="60">
        <f>INDIRECT(ADDRESS(ROW()-22,COLUMN()-2,1,1,"Risk Register"))</f>
        <v/>
      </c>
      <c r="E66" s="143">
        <f>INDIRECT(ADDRESS(ROW()-22,COLUMN()-1,1,1,"Risk Register"))</f>
        <v/>
      </c>
      <c r="G66" s="56">
        <f>INDIRECT(ADDRESS(ROW()-22,COLUMN()+10,1,1,"Risk Register"))</f>
        <v/>
      </c>
      <c r="H66" s="60">
        <f>INDIRECT(ADDRESS(ROW()-22,COLUMN()+8,1,1,"Risk Register"))</f>
        <v/>
      </c>
      <c r="I66" s="54">
        <f>INDIRECT(ADDRESS(ROW()-22,COLUMN()+3,1,1,"Risk Register"))</f>
        <v/>
      </c>
      <c r="J66" s="143">
        <f>INDIRECT(ADDRESS(ROW()-22,COLUMN()+12,1,1,"Risk Register"))</f>
        <v/>
      </c>
      <c r="K66" s="143">
        <f>INDIRECT(ADDRESS(ROW()-22,COLUMN()-2,1,1,"Risk Register"))</f>
        <v/>
      </c>
      <c r="L66" s="176">
        <f>INDIRECT(ADDRESS(ROW()-22,COLUMN()+15,1,1,"Risk Register"))</f>
        <v/>
      </c>
      <c r="M66" s="54">
        <f>INDIRECT(ADDRESS(ROW()-22,COLUMN()+13,1,1,"Risk Register"))</f>
        <v/>
      </c>
      <c r="N66" s="143">
        <f>INDIRECT(ADDRESS(ROW()-22,COLUMN()-9,1,1,"Risk Register"))</f>
        <v/>
      </c>
      <c r="O66" s="143">
        <f>INDIRECT(ADDRESS(ROW()-22,COLUMN()-8,1,1,"Risk Register"))</f>
        <v/>
      </c>
      <c r="P66" s="56">
        <f>INDIRECT(ADDRESS(ROW()-22,COLUMN()+18,1,1,"Risk Register"))</f>
        <v/>
      </c>
      <c r="R66" s="57">
        <f>INDIRECT(ADDRESS(ROW()-22,COLUMN()-5,1,1,"Risk Register"))</f>
        <v/>
      </c>
      <c r="S66" s="58">
        <f>INDIRECT(ADDRESS(ROW()-22,COLUMN()-4,1,1,"Risk Register"))</f>
        <v/>
      </c>
      <c r="T66" s="59">
        <f>IF(AND($H66="threat",$G66&lt;=0.05),"gn",IF(AND($H66="threat",$G66&lt;=0.14),"y",IF(AND($H66="threat", $G66&gt;=0.15),"r",IF(AND($H66="opportunity",$G66&lt;=0.05),"gn",IF(AND($H66="opportunity",$G66&lt;=0.14),"lb",IF(AND($H66="opportunity",$G66&gt;=0.15),"db","z"))))))</f>
        <v/>
      </c>
      <c r="U66" s="58">
        <f>IF(AND($H66="threat",$S66=0.9,$R66=0.05),$D66 &amp; ";","")</f>
        <v/>
      </c>
      <c r="V66" s="58">
        <f>IF(AND($H66="threat",$S66=0.9,$R66=0.1),$D66 &amp; ";","")</f>
        <v/>
      </c>
      <c r="W66" s="58">
        <f>IF(AND($H66="threat",$S66=0.9,$R66=0.2),$D66 &amp; ";","")</f>
        <v/>
      </c>
      <c r="X66" s="58">
        <f>IF(AND($H66="threat",$S66=0.9,$R66=0.4),$D66 &amp; ";","")</f>
        <v/>
      </c>
      <c r="Y66" s="58">
        <f>IF(AND($H66="threat",$S66=0.9,$R66=0.8),$D66 &amp; ";","")</f>
        <v/>
      </c>
      <c r="Z66" s="58">
        <f>IF(AND($H66="threat",$S66=0.7,$R66=0.05),$D66 &amp; ";","")</f>
        <v/>
      </c>
      <c r="AA66" s="58">
        <f>IF(AND($H66="threat",$S66=0.7,$R66=0.1),$D66 &amp; ";","")</f>
        <v/>
      </c>
      <c r="AB66" s="58">
        <f>IF(AND($H66="threat",$S66=0.7,$R66=0.2),$D66 &amp; ";","")</f>
        <v/>
      </c>
      <c r="AC66" s="58">
        <f>IF(AND($H66="threat",$S66=0.7,$R66=0.4),$D66 &amp; ";","")</f>
        <v/>
      </c>
      <c r="AD66" s="58">
        <f>IF(AND($H66="threat",$S66=0.7,$R66=0.8),$D66 &amp; ";","")</f>
        <v/>
      </c>
      <c r="AE66" s="58">
        <f>IF(AND($H66="threat",$S66=0.5,$R66=0.05),$D66 &amp; ";","")</f>
        <v/>
      </c>
      <c r="AF66" s="58">
        <f>IF(AND($H66="threat",$S66=0.5,$R66=0.1),$D66 &amp; ";","")</f>
        <v/>
      </c>
      <c r="AG66" s="58">
        <f>IF(AND($H66="threat",$S66=0.5,$R66=0.2),$D66 &amp; ";","")</f>
        <v/>
      </c>
      <c r="AH66" s="58">
        <f>IF(AND($H66="threat",$S66=0.5,$R66=0.4),$D66 &amp; ";","")</f>
        <v/>
      </c>
      <c r="AI66" s="58">
        <f>IF(AND($H66="threat",$S66=0.5,$R66=0.8),$D66 &amp; ";","")</f>
        <v/>
      </c>
      <c r="AJ66" s="58">
        <f>IF(AND($H66="threat",$S66=0.3,$R66=0.05),$D66 &amp; ";","")</f>
        <v/>
      </c>
      <c r="AK66" s="58">
        <f>IF(AND($H66="threat",$S66=0.3,$R66=0.1),$D66 &amp; ";","")</f>
        <v/>
      </c>
      <c r="AL66" s="58">
        <f>IF(AND($H66="threat",$S66=0.3,$R66=0.2),$D66 &amp; ";","")</f>
        <v/>
      </c>
      <c r="AM66" s="58">
        <f>IF(AND($H66="threat",$S66=0.3,$R66=0.4),$D66 &amp; ";","")</f>
        <v/>
      </c>
      <c r="AN66" s="58">
        <f>IF(AND($H66="threat",$S66=0.3,$R66=0.8),$D66 &amp; ";","")</f>
        <v/>
      </c>
      <c r="AO66" s="58">
        <f>IF(AND($H66="threat",$S66=0.1,$R66=0.05),$D66 &amp; ";","")</f>
        <v/>
      </c>
      <c r="AP66" s="58">
        <f>IF(AND($H66="threat",$S66=0.1,$R66=0.1),$D66 &amp; ";","")</f>
        <v/>
      </c>
      <c r="AQ66" s="58">
        <f>IF(AND($H66="threat",$S66=0.1,$R66=0.2),$D66 &amp; ";","")</f>
        <v/>
      </c>
      <c r="AR66" s="58">
        <f>IF(AND($H66="threat",$S66=0.1,$R66=0.4),$D66 &amp; ";","")</f>
        <v/>
      </c>
      <c r="AS66" s="58">
        <f>IF(AND($H66="threat",$S66=0.1,$R66=0.8),$D66 &amp; ";","")</f>
        <v/>
      </c>
      <c r="AT66" s="39" t="n"/>
      <c r="AU66" s="58">
        <f>IF(AND($H66="opportunity",$S66=0.9,$R66=0.8),$D66 &amp; ";","")</f>
        <v/>
      </c>
      <c r="AV66" s="58">
        <f>IF(AND($H66="opportunity",$S66=0.9,$R66=0.4),$D66 &amp; ";","")</f>
        <v/>
      </c>
      <c r="AW66" s="58">
        <f>IF(AND($H66="opportunity",$S66=0.9,$R66=0.2),$D66 &amp; ";","")</f>
        <v/>
      </c>
      <c r="AX66" s="58">
        <f>IF(AND($H66="opportunity",$S66=0.9,$R66=0.1),$D66 &amp; ";","")</f>
        <v/>
      </c>
      <c r="AY66" s="58">
        <f>IF(AND($H66="opportunity",$S66=0.9,$R66=0.05),$D66 &amp; ";","")</f>
        <v/>
      </c>
      <c r="AZ66" s="58">
        <f>IF(AND($H66="opportunity",$S66=0.7,$R66=0.8),$D66 &amp; ";","")</f>
        <v/>
      </c>
      <c r="BA66" s="58">
        <f>IF(AND($H66="opportunity",$S66=0.7,$R66=0.4),$D66 &amp; ";","")</f>
        <v/>
      </c>
      <c r="BB66" s="58">
        <f>IF(AND($H66="opportunity",$S66=0.7,$R66=0.2),$D66 &amp; ";","")</f>
        <v/>
      </c>
      <c r="BC66" s="58">
        <f>IF(AND($H66="opportunity",$S66=0.7,$R66=0.1),$D66 &amp; ";","")</f>
        <v/>
      </c>
      <c r="BD66" s="58">
        <f>IF(AND($H66="opportunity",$S66=0.7,$R66=0.05),$D66 &amp; ";","")</f>
        <v/>
      </c>
      <c r="BE66" s="58">
        <f>IF(AND($H66="opportunity",$S66=0.5,$R66=0.8),$D66 &amp; ";","")</f>
        <v/>
      </c>
      <c r="BF66" s="58">
        <f>IF(AND($H66="opportunity",$S66=0.5,$R66=0.4),$D66 &amp; ";","")</f>
        <v/>
      </c>
      <c r="BG66" s="58">
        <f>IF(AND($H66="opportunity",$S66=0.5,$R66=0.2),$D66 &amp; ";","")</f>
        <v/>
      </c>
      <c r="BH66" s="58">
        <f>IF(AND($H66="opportunity",$S66=0.5,$R66=0.1),$D66 &amp; ";","")</f>
        <v/>
      </c>
      <c r="BI66" s="58">
        <f>IF(AND($H66="opportunity",$S66=0.5,$R66=0.05),$D66 &amp; ";","")</f>
        <v/>
      </c>
      <c r="BJ66" s="58">
        <f>IF(AND($H66="opportunity",$S66=0.3,$R66=0.8),$D66 &amp; ";","")</f>
        <v/>
      </c>
      <c r="BK66" s="58">
        <f>IF(AND($H66="opportunity",$S66=0.3,$R66=0.4),$D66 &amp; ";","")</f>
        <v/>
      </c>
      <c r="BL66" s="58">
        <f>IF(AND($H66="opportunity",$S66=0.3,$R66=0.2),$D66 &amp; ";","")</f>
        <v/>
      </c>
      <c r="BM66" s="58">
        <f>IF(AND($H66="opportunity",$S66=0.3,$R66=0.1),$D66 &amp; ";","")</f>
        <v/>
      </c>
      <c r="BN66" s="58">
        <f>IF(AND($H66="opportunity",$S66=0.3,$R66=0.05),$D66 &amp; ";","")</f>
        <v/>
      </c>
      <c r="BO66" s="58">
        <f>IF(AND($H66="opportunity",$S66=0.1,$R66=0.8),$D66 &amp; ";","")</f>
        <v/>
      </c>
      <c r="BP66" s="58">
        <f>IF(AND($H66="opportunity",$S66=0.1,$R66=0.4),$D66 &amp; ";","")</f>
        <v/>
      </c>
      <c r="BQ66" s="58">
        <f>IF(AND($H66="opportunity",$S66=0.1,$R66=0.2),$D66 &amp; ";","")</f>
        <v/>
      </c>
      <c r="BR66" s="58">
        <f>IF(AND($H66="opportunity",$S66=0.1,$R66=0.1),$D66 &amp; ";","")</f>
        <v/>
      </c>
      <c r="BS66" s="58">
        <f>IF(AND($H66="opportunity",$S66=0.1,$R66=0.05),$D66 &amp; ";","")</f>
        <v/>
      </c>
      <c r="BV66" s="57">
        <f>INDIRECT(ADDRESS(ROW()-22,COLUMN()-45,1,1,"Risk Register"))</f>
        <v/>
      </c>
      <c r="BW66" s="58">
        <f>INDIRECT(ADDRESS(ROW()-22,COLUMN()-44,1,1,"Risk Register"))</f>
        <v/>
      </c>
      <c r="BX66" s="59">
        <f>IF(AND($H66="threat",$P66&lt;=0.05),"gn",IF(AND($H66="threat",$P66&lt;=0.14),"y",IF(AND($H66="threat", $P66&gt;=0.15),"r",IF(AND($H66="opportunity",$P66&lt;=0.05),"gn",IF(AND($H66="opportunity",$P66&lt;=0.14),"lb",IF(AND($H66="opportunity",$P66&gt;=0.15),"db","z"))))))</f>
        <v/>
      </c>
      <c r="BY66" s="58">
        <f>IF(AND($H66="threat",$BW66=0.9,$BV66=0.05),$D66 &amp; ";","")</f>
        <v/>
      </c>
      <c r="BZ66" s="58">
        <f>IF(AND($H66="threat",$BW66=0.9,$BV66=0.1),$D66 &amp; ";","")</f>
        <v/>
      </c>
      <c r="CA66" s="58">
        <f>IF(AND($H66="threat",$BW66=0.9,$BV66=0.2),$D66 &amp; ";","")</f>
        <v/>
      </c>
      <c r="CB66" s="58">
        <f>IF(AND($H66="threat",$BW66=0.9,$BV66=0.4),$D66 &amp; ";","")</f>
        <v/>
      </c>
      <c r="CC66" s="58">
        <f>IF(AND($H66="threat",$BW66=0.9,$BV66=0.8),$D66 &amp; ";","")</f>
        <v/>
      </c>
      <c r="CD66" s="58">
        <f>IF(AND($H66="threat",$BW66=0.7,$BV66=0.05),$D66 &amp; ";","")</f>
        <v/>
      </c>
      <c r="CE66" s="58">
        <f>IF(AND($H66="threat",$BW66=0.7,$BV66=0.1),$D66 &amp; ";","")</f>
        <v/>
      </c>
      <c r="CF66" s="58">
        <f>IF(AND($H66="threat",$BW66=0.7,$BV66=0.2),$D66 &amp; ";","")</f>
        <v/>
      </c>
      <c r="CG66" s="58">
        <f>IF(AND($H66="threat",$BW66=0.7,$BV66=0.4),$D66 &amp; ";","")</f>
        <v/>
      </c>
      <c r="CH66" s="58">
        <f>IF(AND($H66="threat",$BW66=0.7,$BV66=0.8),$D66 &amp; ";","")</f>
        <v/>
      </c>
      <c r="CI66" s="58">
        <f>IF(AND($H66="threat",$BW66=0.5,$BV66=0.05),$D66 &amp; ";","")</f>
        <v/>
      </c>
      <c r="CJ66" s="58">
        <f>IF(AND($H66="threat",$BW66=0.5,$BV66=0.1),$D66 &amp; ";","")</f>
        <v/>
      </c>
      <c r="CK66" s="58">
        <f>IF(AND($H66="threat",$BW66=0.5,$BV66=0.2),$D66 &amp; ";","")</f>
        <v/>
      </c>
      <c r="CL66" s="58">
        <f>IF(AND($H66="threat",$BW66=0.5,$BV66=0.4),$D66 &amp; ";","")</f>
        <v/>
      </c>
      <c r="CM66" s="58">
        <f>IF(AND($H66="threat",$BW66=0.5,$BV66=0.8),$D66 &amp; ";","")</f>
        <v/>
      </c>
      <c r="CN66" s="58">
        <f>IF(AND($H66="threat",$BW66=0.3,$BV66=0.05),$D66 &amp; ";","")</f>
        <v/>
      </c>
      <c r="CO66" s="58">
        <f>IF(AND($H66="threat",$BW66=0.3,$BV66=0.1),$D66 &amp; ";","")</f>
        <v/>
      </c>
      <c r="CP66" s="58">
        <f>IF(AND($H66="threat",$BW66=0.3,$BV66=0.2),$D66 &amp; ";","")</f>
        <v/>
      </c>
      <c r="CQ66" s="58">
        <f>IF(AND($H66="threat",$BW66=0.3,$BV66=0.4),$D66 &amp; ";","")</f>
        <v/>
      </c>
      <c r="CR66" s="58">
        <f>IF(AND($H66="threat",$BW66=0.3,$BV66=0.8),$D66 &amp; ";","")</f>
        <v/>
      </c>
      <c r="CS66" s="58">
        <f>IF(AND($H66="threat",$BW66=0.1,$BV66=0.05),$D66 &amp; ";","")</f>
        <v/>
      </c>
      <c r="CT66" s="58">
        <f>IF(AND($H66="threat",$BW66=0.1,$BV66=0.1),$D66 &amp; ";","")</f>
        <v/>
      </c>
      <c r="CU66" s="58">
        <f>IF(AND($H66="threat",$BW66=0.1,$BV66=0.2),$D66 &amp; ";","")</f>
        <v/>
      </c>
      <c r="CV66" s="58">
        <f>IF(AND($H66="threat",$BW66=0.1,$BV66=0.4),$D66 &amp; ";","")</f>
        <v/>
      </c>
      <c r="CW66" s="58">
        <f>IF(AND($H66="threat",$BW66=0.1,$BV66=0.8),$D66 &amp; ";","")</f>
        <v/>
      </c>
      <c r="CX66" s="39" t="n"/>
      <c r="CY66" s="58">
        <f>IF(AND($H66="opportunity",$BW66=0.9,$BV66=0.8),$D66 &amp; ";","")</f>
        <v/>
      </c>
      <c r="CZ66" s="58">
        <f>IF(AND($H66="opportunity",$BW66=0.9,$BV66=0.4),$D66 &amp; ";","")</f>
        <v/>
      </c>
      <c r="DA66" s="58">
        <f>IF(AND($H66="opportunity",$BW66=0.9,$BV66=0.2),$D66 &amp; ";","")</f>
        <v/>
      </c>
      <c r="DB66" s="58">
        <f>IF(AND($H66="opportunity",$BW66=0.9,$BV66=0.1),$D66 &amp; ";","")</f>
        <v/>
      </c>
      <c r="DC66" s="58">
        <f>IF(AND($H66="opportunity",$BW66=0.9,$BV66=0.05),$D66 &amp; ";","")</f>
        <v/>
      </c>
      <c r="DD66" s="58">
        <f>IF(AND($H66="opportunity",$BW66=0.7,$BV66=0.8),$D66 &amp; ";","")</f>
        <v/>
      </c>
      <c r="DE66" s="58">
        <f>IF(AND($H66="opportunity",$BW66=0.7,$BV66=0.4),$D66 &amp; ";","")</f>
        <v/>
      </c>
      <c r="DF66" s="58">
        <f>IF(AND($H66="opportunity",$BW66=0.7,$BV66=0.2),$D66 &amp; ";","")</f>
        <v/>
      </c>
      <c r="DG66" s="58">
        <f>IF(AND($H66="opportunity",$BW66=0.7,$BV66=0.1),$D66 &amp; ";","")</f>
        <v/>
      </c>
      <c r="DH66" s="58">
        <f>IF(AND($H66="opportunity",$BW66=0.7,$BV66=0.05),$D66 &amp; ";","")</f>
        <v/>
      </c>
      <c r="DI66" s="58">
        <f>IF(AND($H66="opportunity",$BW66=0.5,$BV66=0.8),$D66 &amp; ";","")</f>
        <v/>
      </c>
      <c r="DJ66" s="58">
        <f>IF(AND($H66="opportunity",$BW66=0.5,$BV66=0.4),$D66 &amp; ";","")</f>
        <v/>
      </c>
      <c r="DK66" s="58">
        <f>IF(AND($H66="opportunity",$BW66=0.5,$BV66=0.2),$D66 &amp; ";","")</f>
        <v/>
      </c>
      <c r="DL66" s="58">
        <f>IF(AND($H66="opportunity",$BW66=0.5,$BV66=0.1),$D66 &amp; ";","")</f>
        <v/>
      </c>
      <c r="DM66" s="58">
        <f>IF(AND($H66="opportunity",$BW66=0.5,$BV66=0.05),$D66 &amp; ";","")</f>
        <v/>
      </c>
      <c r="DN66" s="58">
        <f>IF(AND($H66="opportunity",$BW66=0.3,$BV66=0.8),$D66 &amp; ";","")</f>
        <v/>
      </c>
      <c r="DO66" s="58">
        <f>IF(AND($H66="opportunity",$BW66=0.3,$BV66=0.4),$D66 &amp; ";","")</f>
        <v/>
      </c>
      <c r="DP66" s="58">
        <f>IF(AND($H66="opportunity",$BW66=0.3,$BV66=0.2),$D66 &amp; ";","")</f>
        <v/>
      </c>
      <c r="DQ66" s="58">
        <f>IF(AND($H66="opportunity",$BW66=0.3,$BV66=0.1),$D66 &amp; ";","")</f>
        <v/>
      </c>
      <c r="DR66" s="58">
        <f>IF(AND($H66="opportunity",$BW66=0.3,$BV66=0.05),$D66 &amp; ";","")</f>
        <v/>
      </c>
      <c r="DS66" s="58">
        <f>IF(AND($H66="opportunity",$BW66=0.1,$BV66=0.8),$D66 &amp; ";","")</f>
        <v/>
      </c>
      <c r="DT66" s="58">
        <f>IF(AND($H66="opportunity",$BW66=0.1,$BV66=0.4),$D66 &amp; ";","")</f>
        <v/>
      </c>
      <c r="DU66" s="58">
        <f>IF(AND($H66="opportunity",$BW66=0.1,$BV66=0.2),$D66 &amp; ";","")</f>
        <v/>
      </c>
      <c r="DV66" s="58">
        <f>IF(AND($H66="opportunity",$BW66=0.1,$BV66=0.1),$D66 &amp; ";","")</f>
        <v/>
      </c>
      <c r="DW66" s="58">
        <f>IF(AND($H66="opportunity",$BW66=0.1,$BV66=0.05),$D66 &amp; ";","")</f>
        <v/>
      </c>
    </row>
    <row r="67">
      <c r="D67" s="60">
        <f>INDIRECT(ADDRESS(ROW()-22,COLUMN()-2,1,1,"Risk Register"))</f>
        <v/>
      </c>
      <c r="E67" s="143">
        <f>INDIRECT(ADDRESS(ROW()-22,COLUMN()-1,1,1,"Risk Register"))</f>
        <v/>
      </c>
      <c r="G67" s="56">
        <f>INDIRECT(ADDRESS(ROW()-22,COLUMN()+10,1,1,"Risk Register"))</f>
        <v/>
      </c>
      <c r="H67" s="60">
        <f>INDIRECT(ADDRESS(ROW()-22,COLUMN()+8,1,1,"Risk Register"))</f>
        <v/>
      </c>
      <c r="I67" s="54">
        <f>INDIRECT(ADDRESS(ROW()-22,COLUMN()+3,1,1,"Risk Register"))</f>
        <v/>
      </c>
      <c r="J67" s="143">
        <f>INDIRECT(ADDRESS(ROW()-22,COLUMN()+12,1,1,"Risk Register"))</f>
        <v/>
      </c>
      <c r="K67" s="143">
        <f>INDIRECT(ADDRESS(ROW()-22,COLUMN()-2,1,1,"Risk Register"))</f>
        <v/>
      </c>
      <c r="L67" s="176">
        <f>INDIRECT(ADDRESS(ROW()-22,COLUMN()+15,1,1,"Risk Register"))</f>
        <v/>
      </c>
      <c r="M67" s="54">
        <f>INDIRECT(ADDRESS(ROW()-22,COLUMN()+13,1,1,"Risk Register"))</f>
        <v/>
      </c>
      <c r="N67" s="143">
        <f>INDIRECT(ADDRESS(ROW()-22,COLUMN()-9,1,1,"Risk Register"))</f>
        <v/>
      </c>
      <c r="O67" s="143">
        <f>INDIRECT(ADDRESS(ROW()-22,COLUMN()-8,1,1,"Risk Register"))</f>
        <v/>
      </c>
      <c r="P67" s="56">
        <f>INDIRECT(ADDRESS(ROW()-22,COLUMN()+18,1,1,"Risk Register"))</f>
        <v/>
      </c>
      <c r="R67" s="57">
        <f>INDIRECT(ADDRESS(ROW()-22,COLUMN()-5,1,1,"Risk Register"))</f>
        <v/>
      </c>
      <c r="S67" s="58">
        <f>INDIRECT(ADDRESS(ROW()-22,COLUMN()-4,1,1,"Risk Register"))</f>
        <v/>
      </c>
      <c r="T67" s="59">
        <f>IF(AND($H67="threat",$G67&lt;=0.05),"gn",IF(AND($H67="threat",$G67&lt;=0.14),"y",IF(AND($H67="threat", $G67&gt;=0.15),"r",IF(AND($H67="opportunity",$G67&lt;=0.05),"gn",IF(AND($H67="opportunity",$G67&lt;=0.14),"lb",IF(AND($H67="opportunity",$G67&gt;=0.15),"db","z"))))))</f>
        <v/>
      </c>
      <c r="U67" s="58">
        <f>IF(AND($H67="threat",$S67=0.9,$R67=0.05),$D67 &amp; ";","")</f>
        <v/>
      </c>
      <c r="V67" s="58">
        <f>IF(AND($H67="threat",$S67=0.9,$R67=0.1),$D67 &amp; ";","")</f>
        <v/>
      </c>
      <c r="W67" s="58">
        <f>IF(AND($H67="threat",$S67=0.9,$R67=0.2),$D67 &amp; ";","")</f>
        <v/>
      </c>
      <c r="X67" s="58">
        <f>IF(AND($H67="threat",$S67=0.9,$R67=0.4),$D67 &amp; ";","")</f>
        <v/>
      </c>
      <c r="Y67" s="58">
        <f>IF(AND($H67="threat",$S67=0.9,$R67=0.8),$D67 &amp; ";","")</f>
        <v/>
      </c>
      <c r="Z67" s="58">
        <f>IF(AND($H67="threat",$S67=0.7,$R67=0.05),$D67 &amp; ";","")</f>
        <v/>
      </c>
      <c r="AA67" s="58">
        <f>IF(AND($H67="threat",$S67=0.7,$R67=0.1),$D67 &amp; ";","")</f>
        <v/>
      </c>
      <c r="AB67" s="58">
        <f>IF(AND($H67="threat",$S67=0.7,$R67=0.2),$D67 &amp; ";","")</f>
        <v/>
      </c>
      <c r="AC67" s="58">
        <f>IF(AND($H67="threat",$S67=0.7,$R67=0.4),$D67 &amp; ";","")</f>
        <v/>
      </c>
      <c r="AD67" s="58">
        <f>IF(AND($H67="threat",$S67=0.7,$R67=0.8),$D67 &amp; ";","")</f>
        <v/>
      </c>
      <c r="AE67" s="58">
        <f>IF(AND($H67="threat",$S67=0.5,$R67=0.05),$D67 &amp; ";","")</f>
        <v/>
      </c>
      <c r="AF67" s="58">
        <f>IF(AND($H67="threat",$S67=0.5,$R67=0.1),$D67 &amp; ";","")</f>
        <v/>
      </c>
      <c r="AG67" s="58">
        <f>IF(AND($H67="threat",$S67=0.5,$R67=0.2),$D67 &amp; ";","")</f>
        <v/>
      </c>
      <c r="AH67" s="58">
        <f>IF(AND($H67="threat",$S67=0.5,$R67=0.4),$D67 &amp; ";","")</f>
        <v/>
      </c>
      <c r="AI67" s="58">
        <f>IF(AND($H67="threat",$S67=0.5,$R67=0.8),$D67 &amp; ";","")</f>
        <v/>
      </c>
      <c r="AJ67" s="58">
        <f>IF(AND($H67="threat",$S67=0.3,$R67=0.05),$D67 &amp; ";","")</f>
        <v/>
      </c>
      <c r="AK67" s="58">
        <f>IF(AND($H67="threat",$S67=0.3,$R67=0.1),$D67 &amp; ";","")</f>
        <v/>
      </c>
      <c r="AL67" s="58">
        <f>IF(AND($H67="threat",$S67=0.3,$R67=0.2),$D67 &amp; ";","")</f>
        <v/>
      </c>
      <c r="AM67" s="58">
        <f>IF(AND($H67="threat",$S67=0.3,$R67=0.4),$D67 &amp; ";","")</f>
        <v/>
      </c>
      <c r="AN67" s="58">
        <f>IF(AND($H67="threat",$S67=0.3,$R67=0.8),$D67 &amp; ";","")</f>
        <v/>
      </c>
      <c r="AO67" s="58">
        <f>IF(AND($H67="threat",$S67=0.1,$R67=0.05),$D67 &amp; ";","")</f>
        <v/>
      </c>
      <c r="AP67" s="58">
        <f>IF(AND($H67="threat",$S67=0.1,$R67=0.1),$D67 &amp; ";","")</f>
        <v/>
      </c>
      <c r="AQ67" s="58">
        <f>IF(AND($H67="threat",$S67=0.1,$R67=0.2),$D67 &amp; ";","")</f>
        <v/>
      </c>
      <c r="AR67" s="58">
        <f>IF(AND($H67="threat",$S67=0.1,$R67=0.4),$D67 &amp; ";","")</f>
        <v/>
      </c>
      <c r="AS67" s="58">
        <f>IF(AND($H67="threat",$S67=0.1,$R67=0.8),$D67 &amp; ";","")</f>
        <v/>
      </c>
      <c r="AT67" s="39" t="n"/>
      <c r="AU67" s="58">
        <f>IF(AND($H67="opportunity",$S67=0.9,$R67=0.8),$D67 &amp; ";","")</f>
        <v/>
      </c>
      <c r="AV67" s="58">
        <f>IF(AND($H67="opportunity",$S67=0.9,$R67=0.4),$D67 &amp; ";","")</f>
        <v/>
      </c>
      <c r="AW67" s="58">
        <f>IF(AND($H67="opportunity",$S67=0.9,$R67=0.2),$D67 &amp; ";","")</f>
        <v/>
      </c>
      <c r="AX67" s="58">
        <f>IF(AND($H67="opportunity",$S67=0.9,$R67=0.1),$D67 &amp; ";","")</f>
        <v/>
      </c>
      <c r="AY67" s="58">
        <f>IF(AND($H67="opportunity",$S67=0.9,$R67=0.05),$D67 &amp; ";","")</f>
        <v/>
      </c>
      <c r="AZ67" s="58">
        <f>IF(AND($H67="opportunity",$S67=0.7,$R67=0.8),$D67 &amp; ";","")</f>
        <v/>
      </c>
      <c r="BA67" s="58">
        <f>IF(AND($H67="opportunity",$S67=0.7,$R67=0.4),$D67 &amp; ";","")</f>
        <v/>
      </c>
      <c r="BB67" s="58">
        <f>IF(AND($H67="opportunity",$S67=0.7,$R67=0.2),$D67 &amp; ";","")</f>
        <v/>
      </c>
      <c r="BC67" s="58">
        <f>IF(AND($H67="opportunity",$S67=0.7,$R67=0.1),$D67 &amp; ";","")</f>
        <v/>
      </c>
      <c r="BD67" s="58">
        <f>IF(AND($H67="opportunity",$S67=0.7,$R67=0.05),$D67 &amp; ";","")</f>
        <v/>
      </c>
      <c r="BE67" s="58">
        <f>IF(AND($H67="opportunity",$S67=0.5,$R67=0.8),$D67 &amp; ";","")</f>
        <v/>
      </c>
      <c r="BF67" s="58">
        <f>IF(AND($H67="opportunity",$S67=0.5,$R67=0.4),$D67 &amp; ";","")</f>
        <v/>
      </c>
      <c r="BG67" s="58">
        <f>IF(AND($H67="opportunity",$S67=0.5,$R67=0.2),$D67 &amp; ";","")</f>
        <v/>
      </c>
      <c r="BH67" s="58">
        <f>IF(AND($H67="opportunity",$S67=0.5,$R67=0.1),$D67 &amp; ";","")</f>
        <v/>
      </c>
      <c r="BI67" s="58">
        <f>IF(AND($H67="opportunity",$S67=0.5,$R67=0.05),$D67 &amp; ";","")</f>
        <v/>
      </c>
      <c r="BJ67" s="58">
        <f>IF(AND($H67="opportunity",$S67=0.3,$R67=0.8),$D67 &amp; ";","")</f>
        <v/>
      </c>
      <c r="BK67" s="58">
        <f>IF(AND($H67="opportunity",$S67=0.3,$R67=0.4),$D67 &amp; ";","")</f>
        <v/>
      </c>
      <c r="BL67" s="58">
        <f>IF(AND($H67="opportunity",$S67=0.3,$R67=0.2),$D67 &amp; ";","")</f>
        <v/>
      </c>
      <c r="BM67" s="58">
        <f>IF(AND($H67="opportunity",$S67=0.3,$R67=0.1),$D67 &amp; ";","")</f>
        <v/>
      </c>
      <c r="BN67" s="58">
        <f>IF(AND($H67="opportunity",$S67=0.3,$R67=0.05),$D67 &amp; ";","")</f>
        <v/>
      </c>
      <c r="BO67" s="58">
        <f>IF(AND($H67="opportunity",$S67=0.1,$R67=0.8),$D67 &amp; ";","")</f>
        <v/>
      </c>
      <c r="BP67" s="58">
        <f>IF(AND($H67="opportunity",$S67=0.1,$R67=0.4),$D67 &amp; ";","")</f>
        <v/>
      </c>
      <c r="BQ67" s="58">
        <f>IF(AND($H67="opportunity",$S67=0.1,$R67=0.2),$D67 &amp; ";","")</f>
        <v/>
      </c>
      <c r="BR67" s="58">
        <f>IF(AND($H67="opportunity",$S67=0.1,$R67=0.1),$D67 &amp; ";","")</f>
        <v/>
      </c>
      <c r="BS67" s="58">
        <f>IF(AND($H67="opportunity",$S67=0.1,$R67=0.05),$D67 &amp; ";","")</f>
        <v/>
      </c>
      <c r="BV67" s="57">
        <f>INDIRECT(ADDRESS(ROW()-22,COLUMN()-45,1,1,"Risk Register"))</f>
        <v/>
      </c>
      <c r="BW67" s="58">
        <f>INDIRECT(ADDRESS(ROW()-22,COLUMN()-44,1,1,"Risk Register"))</f>
        <v/>
      </c>
      <c r="BX67" s="59">
        <f>IF(AND($H67="threat",$P67&lt;=0.05),"gn",IF(AND($H67="threat",$P67&lt;=0.14),"y",IF(AND($H67="threat", $P67&gt;=0.15),"r",IF(AND($H67="opportunity",$P67&lt;=0.05),"gn",IF(AND($H67="opportunity",$P67&lt;=0.14),"lb",IF(AND($H67="opportunity",$P67&gt;=0.15),"db","z"))))))</f>
        <v/>
      </c>
      <c r="BY67" s="58">
        <f>IF(AND($H67="threat",$BW67=0.9,$BV67=0.05),$D67 &amp; ";","")</f>
        <v/>
      </c>
      <c r="BZ67" s="58">
        <f>IF(AND($H67="threat",$BW67=0.9,$BV67=0.1),$D67 &amp; ";","")</f>
        <v/>
      </c>
      <c r="CA67" s="58">
        <f>IF(AND($H67="threat",$BW67=0.9,$BV67=0.2),$D67 &amp; ";","")</f>
        <v/>
      </c>
      <c r="CB67" s="58">
        <f>IF(AND($H67="threat",$BW67=0.9,$BV67=0.4),$D67 &amp; ";","")</f>
        <v/>
      </c>
      <c r="CC67" s="58">
        <f>IF(AND($H67="threat",$BW67=0.9,$BV67=0.8),$D67 &amp; ";","")</f>
        <v/>
      </c>
      <c r="CD67" s="58">
        <f>IF(AND($H67="threat",$BW67=0.7,$BV67=0.05),$D67 &amp; ";","")</f>
        <v/>
      </c>
      <c r="CE67" s="58">
        <f>IF(AND($H67="threat",$BW67=0.7,$BV67=0.1),$D67 &amp; ";","")</f>
        <v/>
      </c>
      <c r="CF67" s="58">
        <f>IF(AND($H67="threat",$BW67=0.7,$BV67=0.2),$D67 &amp; ";","")</f>
        <v/>
      </c>
      <c r="CG67" s="58">
        <f>IF(AND($H67="threat",$BW67=0.7,$BV67=0.4),$D67 &amp; ";","")</f>
        <v/>
      </c>
      <c r="CH67" s="58">
        <f>IF(AND($H67="threat",$BW67=0.7,$BV67=0.8),$D67 &amp; ";","")</f>
        <v/>
      </c>
      <c r="CI67" s="58">
        <f>IF(AND($H67="threat",$BW67=0.5,$BV67=0.05),$D67 &amp; ";","")</f>
        <v/>
      </c>
      <c r="CJ67" s="58">
        <f>IF(AND($H67="threat",$BW67=0.5,$BV67=0.1),$D67 &amp; ";","")</f>
        <v/>
      </c>
      <c r="CK67" s="58">
        <f>IF(AND($H67="threat",$BW67=0.5,$BV67=0.2),$D67 &amp; ";","")</f>
        <v/>
      </c>
      <c r="CL67" s="58">
        <f>IF(AND($H67="threat",$BW67=0.5,$BV67=0.4),$D67 &amp; ";","")</f>
        <v/>
      </c>
      <c r="CM67" s="58">
        <f>IF(AND($H67="threat",$BW67=0.5,$BV67=0.8),$D67 &amp; ";","")</f>
        <v/>
      </c>
      <c r="CN67" s="58">
        <f>IF(AND($H67="threat",$BW67=0.3,$BV67=0.05),$D67 &amp; ";","")</f>
        <v/>
      </c>
      <c r="CO67" s="58">
        <f>IF(AND($H67="threat",$BW67=0.3,$BV67=0.1),$D67 &amp; ";","")</f>
        <v/>
      </c>
      <c r="CP67" s="58">
        <f>IF(AND($H67="threat",$BW67=0.3,$BV67=0.2),$D67 &amp; ";","")</f>
        <v/>
      </c>
      <c r="CQ67" s="58">
        <f>IF(AND($H67="threat",$BW67=0.3,$BV67=0.4),$D67 &amp; ";","")</f>
        <v/>
      </c>
      <c r="CR67" s="58">
        <f>IF(AND($H67="threat",$BW67=0.3,$BV67=0.8),$D67 &amp; ";","")</f>
        <v/>
      </c>
      <c r="CS67" s="58">
        <f>IF(AND($H67="threat",$BW67=0.1,$BV67=0.05),$D67 &amp; ";","")</f>
        <v/>
      </c>
      <c r="CT67" s="58">
        <f>IF(AND($H67="threat",$BW67=0.1,$BV67=0.1),$D67 &amp; ";","")</f>
        <v/>
      </c>
      <c r="CU67" s="58">
        <f>IF(AND($H67="threat",$BW67=0.1,$BV67=0.2),$D67 &amp; ";","")</f>
        <v/>
      </c>
      <c r="CV67" s="58">
        <f>IF(AND($H67="threat",$BW67=0.1,$BV67=0.4),$D67 &amp; ";","")</f>
        <v/>
      </c>
      <c r="CW67" s="58">
        <f>IF(AND($H67="threat",$BW67=0.1,$BV67=0.8),$D67 &amp; ";","")</f>
        <v/>
      </c>
      <c r="CX67" s="39" t="n"/>
      <c r="CY67" s="58">
        <f>IF(AND($H67="opportunity",$BW67=0.9,$BV67=0.8),$D67 &amp; ";","")</f>
        <v/>
      </c>
      <c r="CZ67" s="58">
        <f>IF(AND($H67="opportunity",$BW67=0.9,$BV67=0.4),$D67 &amp; ";","")</f>
        <v/>
      </c>
      <c r="DA67" s="58">
        <f>IF(AND($H67="opportunity",$BW67=0.9,$BV67=0.2),$D67 &amp; ";","")</f>
        <v/>
      </c>
      <c r="DB67" s="58">
        <f>IF(AND($H67="opportunity",$BW67=0.9,$BV67=0.1),$D67 &amp; ";","")</f>
        <v/>
      </c>
      <c r="DC67" s="58">
        <f>IF(AND($H67="opportunity",$BW67=0.9,$BV67=0.05),$D67 &amp; ";","")</f>
        <v/>
      </c>
      <c r="DD67" s="58">
        <f>IF(AND($H67="opportunity",$BW67=0.7,$BV67=0.8),$D67 &amp; ";","")</f>
        <v/>
      </c>
      <c r="DE67" s="58">
        <f>IF(AND($H67="opportunity",$BW67=0.7,$BV67=0.4),$D67 &amp; ";","")</f>
        <v/>
      </c>
      <c r="DF67" s="58">
        <f>IF(AND($H67="opportunity",$BW67=0.7,$BV67=0.2),$D67 &amp; ";","")</f>
        <v/>
      </c>
      <c r="DG67" s="58">
        <f>IF(AND($H67="opportunity",$BW67=0.7,$BV67=0.1),$D67 &amp; ";","")</f>
        <v/>
      </c>
      <c r="DH67" s="58">
        <f>IF(AND($H67="opportunity",$BW67=0.7,$BV67=0.05),$D67 &amp; ";","")</f>
        <v/>
      </c>
      <c r="DI67" s="58">
        <f>IF(AND($H67="opportunity",$BW67=0.5,$BV67=0.8),$D67 &amp; ";","")</f>
        <v/>
      </c>
      <c r="DJ67" s="58">
        <f>IF(AND($H67="opportunity",$BW67=0.5,$BV67=0.4),$D67 &amp; ";","")</f>
        <v/>
      </c>
      <c r="DK67" s="58">
        <f>IF(AND($H67="opportunity",$BW67=0.5,$BV67=0.2),$D67 &amp; ";","")</f>
        <v/>
      </c>
      <c r="DL67" s="58">
        <f>IF(AND($H67="opportunity",$BW67=0.5,$BV67=0.1),$D67 &amp; ";","")</f>
        <v/>
      </c>
      <c r="DM67" s="58">
        <f>IF(AND($H67="opportunity",$BW67=0.5,$BV67=0.05),$D67 &amp; ";","")</f>
        <v/>
      </c>
      <c r="DN67" s="58">
        <f>IF(AND($H67="opportunity",$BW67=0.3,$BV67=0.8),$D67 &amp; ";","")</f>
        <v/>
      </c>
      <c r="DO67" s="58">
        <f>IF(AND($H67="opportunity",$BW67=0.3,$BV67=0.4),$D67 &amp; ";","")</f>
        <v/>
      </c>
      <c r="DP67" s="58">
        <f>IF(AND($H67="opportunity",$BW67=0.3,$BV67=0.2),$D67 &amp; ";","")</f>
        <v/>
      </c>
      <c r="DQ67" s="58">
        <f>IF(AND($H67="opportunity",$BW67=0.3,$BV67=0.1),$D67 &amp; ";","")</f>
        <v/>
      </c>
      <c r="DR67" s="58">
        <f>IF(AND($H67="opportunity",$BW67=0.3,$BV67=0.05),$D67 &amp; ";","")</f>
        <v/>
      </c>
      <c r="DS67" s="58">
        <f>IF(AND($H67="opportunity",$BW67=0.1,$BV67=0.8),$D67 &amp; ";","")</f>
        <v/>
      </c>
      <c r="DT67" s="58">
        <f>IF(AND($H67="opportunity",$BW67=0.1,$BV67=0.4),$D67 &amp; ";","")</f>
        <v/>
      </c>
      <c r="DU67" s="58">
        <f>IF(AND($H67="opportunity",$BW67=0.1,$BV67=0.2),$D67 &amp; ";","")</f>
        <v/>
      </c>
      <c r="DV67" s="58">
        <f>IF(AND($H67="opportunity",$BW67=0.1,$BV67=0.1),$D67 &amp; ";","")</f>
        <v/>
      </c>
      <c r="DW67" s="58">
        <f>IF(AND($H67="opportunity",$BW67=0.1,$BV67=0.05),$D67 &amp; ";","")</f>
        <v/>
      </c>
    </row>
    <row r="68">
      <c r="D68" s="60">
        <f>INDIRECT(ADDRESS(ROW()-22,COLUMN()-2,1,1,"Risk Register"))</f>
        <v/>
      </c>
      <c r="E68" s="143">
        <f>INDIRECT(ADDRESS(ROW()-22,COLUMN()-1,1,1,"Risk Register"))</f>
        <v/>
      </c>
      <c r="G68" s="56">
        <f>INDIRECT(ADDRESS(ROW()-22,COLUMN()+10,1,1,"Risk Register"))</f>
        <v/>
      </c>
      <c r="H68" s="60">
        <f>INDIRECT(ADDRESS(ROW()-22,COLUMN()+8,1,1,"Risk Register"))</f>
        <v/>
      </c>
      <c r="I68" s="54">
        <f>INDIRECT(ADDRESS(ROW()-22,COLUMN()+3,1,1,"Risk Register"))</f>
        <v/>
      </c>
      <c r="J68" s="143">
        <f>INDIRECT(ADDRESS(ROW()-22,COLUMN()+12,1,1,"Risk Register"))</f>
        <v/>
      </c>
      <c r="K68" s="143">
        <f>INDIRECT(ADDRESS(ROW()-22,COLUMN()-2,1,1,"Risk Register"))</f>
        <v/>
      </c>
      <c r="L68" s="176">
        <f>INDIRECT(ADDRESS(ROW()-22,COLUMN()+15,1,1,"Risk Register"))</f>
        <v/>
      </c>
      <c r="M68" s="54">
        <f>INDIRECT(ADDRESS(ROW()-22,COLUMN()+13,1,1,"Risk Register"))</f>
        <v/>
      </c>
      <c r="N68" s="143">
        <f>INDIRECT(ADDRESS(ROW()-22,COLUMN()-9,1,1,"Risk Register"))</f>
        <v/>
      </c>
      <c r="O68" s="143">
        <f>INDIRECT(ADDRESS(ROW()-22,COLUMN()-8,1,1,"Risk Register"))</f>
        <v/>
      </c>
      <c r="P68" s="56">
        <f>INDIRECT(ADDRESS(ROW()-22,COLUMN()+18,1,1,"Risk Register"))</f>
        <v/>
      </c>
      <c r="R68" s="57">
        <f>INDIRECT(ADDRESS(ROW()-22,COLUMN()-5,1,1,"Risk Register"))</f>
        <v/>
      </c>
      <c r="S68" s="58">
        <f>INDIRECT(ADDRESS(ROW()-22,COLUMN()-4,1,1,"Risk Register"))</f>
        <v/>
      </c>
      <c r="T68" s="59">
        <f>IF(AND($H68="threat",$G68&lt;=0.05),"gn",IF(AND($H68="threat",$G68&lt;=0.14),"y",IF(AND($H68="threat", $G68&gt;=0.15),"r",IF(AND($H68="opportunity",$G68&lt;=0.05),"gn",IF(AND($H68="opportunity",$G68&lt;=0.14),"lb",IF(AND($H68="opportunity",$G68&gt;=0.15),"db","z"))))))</f>
        <v/>
      </c>
      <c r="U68" s="58">
        <f>IF(AND($H68="threat",$S68=0.9,$R68=0.05),$D68 &amp; ";","")</f>
        <v/>
      </c>
      <c r="V68" s="58">
        <f>IF(AND($H68="threat",$S68=0.9,$R68=0.1),$D68 &amp; ";","")</f>
        <v/>
      </c>
      <c r="W68" s="58">
        <f>IF(AND($H68="threat",$S68=0.9,$R68=0.2),$D68 &amp; ";","")</f>
        <v/>
      </c>
      <c r="X68" s="58">
        <f>IF(AND($H68="threat",$S68=0.9,$R68=0.4),$D68 &amp; ";","")</f>
        <v/>
      </c>
      <c r="Y68" s="58">
        <f>IF(AND($H68="threat",$S68=0.9,$R68=0.8),$D68 &amp; ";","")</f>
        <v/>
      </c>
      <c r="Z68" s="58">
        <f>IF(AND($H68="threat",$S68=0.7,$R68=0.05),$D68 &amp; ";","")</f>
        <v/>
      </c>
      <c r="AA68" s="58">
        <f>IF(AND($H68="threat",$S68=0.7,$R68=0.1),$D68 &amp; ";","")</f>
        <v/>
      </c>
      <c r="AB68" s="58">
        <f>IF(AND($H68="threat",$S68=0.7,$R68=0.2),$D68 &amp; ";","")</f>
        <v/>
      </c>
      <c r="AC68" s="58">
        <f>IF(AND($H68="threat",$S68=0.7,$R68=0.4),$D68 &amp; ";","")</f>
        <v/>
      </c>
      <c r="AD68" s="58">
        <f>IF(AND($H68="threat",$S68=0.7,$R68=0.8),$D68 &amp; ";","")</f>
        <v/>
      </c>
      <c r="AE68" s="58">
        <f>IF(AND($H68="threat",$S68=0.5,$R68=0.05),$D68 &amp; ";","")</f>
        <v/>
      </c>
      <c r="AF68" s="58">
        <f>IF(AND($H68="threat",$S68=0.5,$R68=0.1),$D68 &amp; ";","")</f>
        <v/>
      </c>
      <c r="AG68" s="58">
        <f>IF(AND($H68="threat",$S68=0.5,$R68=0.2),$D68 &amp; ";","")</f>
        <v/>
      </c>
      <c r="AH68" s="58">
        <f>IF(AND($H68="threat",$S68=0.5,$R68=0.4),$D68 &amp; ";","")</f>
        <v/>
      </c>
      <c r="AI68" s="58">
        <f>IF(AND($H68="threat",$S68=0.5,$R68=0.8),$D68 &amp; ";","")</f>
        <v/>
      </c>
      <c r="AJ68" s="58">
        <f>IF(AND($H68="threat",$S68=0.3,$R68=0.05),$D68 &amp; ";","")</f>
        <v/>
      </c>
      <c r="AK68" s="58">
        <f>IF(AND($H68="threat",$S68=0.3,$R68=0.1),$D68 &amp; ";","")</f>
        <v/>
      </c>
      <c r="AL68" s="58">
        <f>IF(AND($H68="threat",$S68=0.3,$R68=0.2),$D68 &amp; ";","")</f>
        <v/>
      </c>
      <c r="AM68" s="58">
        <f>IF(AND($H68="threat",$S68=0.3,$R68=0.4),$D68 &amp; ";","")</f>
        <v/>
      </c>
      <c r="AN68" s="58">
        <f>IF(AND($H68="threat",$S68=0.3,$R68=0.8),$D68 &amp; ";","")</f>
        <v/>
      </c>
      <c r="AO68" s="58">
        <f>IF(AND($H68="threat",$S68=0.1,$R68=0.05),$D68 &amp; ";","")</f>
        <v/>
      </c>
      <c r="AP68" s="58">
        <f>IF(AND($H68="threat",$S68=0.1,$R68=0.1),$D68 &amp; ";","")</f>
        <v/>
      </c>
      <c r="AQ68" s="58">
        <f>IF(AND($H68="threat",$S68=0.1,$R68=0.2),$D68 &amp; ";","")</f>
        <v/>
      </c>
      <c r="AR68" s="58">
        <f>IF(AND($H68="threat",$S68=0.1,$R68=0.4),$D68 &amp; ";","")</f>
        <v/>
      </c>
      <c r="AS68" s="58">
        <f>IF(AND($H68="threat",$S68=0.1,$R68=0.8),$D68 &amp; ";","")</f>
        <v/>
      </c>
      <c r="AT68" s="39" t="n"/>
      <c r="AU68" s="58">
        <f>IF(AND($H68="opportunity",$S68=0.9,$R68=0.8),$D68 &amp; ";","")</f>
        <v/>
      </c>
      <c r="AV68" s="58">
        <f>IF(AND($H68="opportunity",$S68=0.9,$R68=0.4),$D68 &amp; ";","")</f>
        <v/>
      </c>
      <c r="AW68" s="58">
        <f>IF(AND($H68="opportunity",$S68=0.9,$R68=0.2),$D68 &amp; ";","")</f>
        <v/>
      </c>
      <c r="AX68" s="58">
        <f>IF(AND($H68="opportunity",$S68=0.9,$R68=0.1),$D68 &amp; ";","")</f>
        <v/>
      </c>
      <c r="AY68" s="58">
        <f>IF(AND($H68="opportunity",$S68=0.9,$R68=0.05),$D68 &amp; ";","")</f>
        <v/>
      </c>
      <c r="AZ68" s="58">
        <f>IF(AND($H68="opportunity",$S68=0.7,$R68=0.8),$D68 &amp; ";","")</f>
        <v/>
      </c>
      <c r="BA68" s="58">
        <f>IF(AND($H68="opportunity",$S68=0.7,$R68=0.4),$D68 &amp; ";","")</f>
        <v/>
      </c>
      <c r="BB68" s="58">
        <f>IF(AND($H68="opportunity",$S68=0.7,$R68=0.2),$D68 &amp; ";","")</f>
        <v/>
      </c>
      <c r="BC68" s="58">
        <f>IF(AND($H68="opportunity",$S68=0.7,$R68=0.1),$D68 &amp; ";","")</f>
        <v/>
      </c>
      <c r="BD68" s="58">
        <f>IF(AND($H68="opportunity",$S68=0.7,$R68=0.05),$D68 &amp; ";","")</f>
        <v/>
      </c>
      <c r="BE68" s="58">
        <f>IF(AND($H68="opportunity",$S68=0.5,$R68=0.8),$D68 &amp; ";","")</f>
        <v/>
      </c>
      <c r="BF68" s="58">
        <f>IF(AND($H68="opportunity",$S68=0.5,$R68=0.4),$D68 &amp; ";","")</f>
        <v/>
      </c>
      <c r="BG68" s="58">
        <f>IF(AND($H68="opportunity",$S68=0.5,$R68=0.2),$D68 &amp; ";","")</f>
        <v/>
      </c>
      <c r="BH68" s="58">
        <f>IF(AND($H68="opportunity",$S68=0.5,$R68=0.1),$D68 &amp; ";","")</f>
        <v/>
      </c>
      <c r="BI68" s="58">
        <f>IF(AND($H68="opportunity",$S68=0.5,$R68=0.05),$D68 &amp; ";","")</f>
        <v/>
      </c>
      <c r="BJ68" s="58">
        <f>IF(AND($H68="opportunity",$S68=0.3,$R68=0.8),$D68 &amp; ";","")</f>
        <v/>
      </c>
      <c r="BK68" s="58">
        <f>IF(AND($H68="opportunity",$S68=0.3,$R68=0.4),$D68 &amp; ";","")</f>
        <v/>
      </c>
      <c r="BL68" s="58">
        <f>IF(AND($H68="opportunity",$S68=0.3,$R68=0.2),$D68 &amp; ";","")</f>
        <v/>
      </c>
      <c r="BM68" s="58">
        <f>IF(AND($H68="opportunity",$S68=0.3,$R68=0.1),$D68 &amp; ";","")</f>
        <v/>
      </c>
      <c r="BN68" s="58">
        <f>IF(AND($H68="opportunity",$S68=0.3,$R68=0.05),$D68 &amp; ";","")</f>
        <v/>
      </c>
      <c r="BO68" s="58">
        <f>IF(AND($H68="opportunity",$S68=0.1,$R68=0.8),$D68 &amp; ";","")</f>
        <v/>
      </c>
      <c r="BP68" s="58">
        <f>IF(AND($H68="opportunity",$S68=0.1,$R68=0.4),$D68 &amp; ";","")</f>
        <v/>
      </c>
      <c r="BQ68" s="58">
        <f>IF(AND($H68="opportunity",$S68=0.1,$R68=0.2),$D68 &amp; ";","")</f>
        <v/>
      </c>
      <c r="BR68" s="58">
        <f>IF(AND($H68="opportunity",$S68=0.1,$R68=0.1),$D68 &amp; ";","")</f>
        <v/>
      </c>
      <c r="BS68" s="58">
        <f>IF(AND($H68="opportunity",$S68=0.1,$R68=0.05),$D68 &amp; ";","")</f>
        <v/>
      </c>
      <c r="BV68" s="57">
        <f>INDIRECT(ADDRESS(ROW()-22,COLUMN()-45,1,1,"Risk Register"))</f>
        <v/>
      </c>
      <c r="BW68" s="58">
        <f>INDIRECT(ADDRESS(ROW()-22,COLUMN()-44,1,1,"Risk Register"))</f>
        <v/>
      </c>
      <c r="BX68" s="59">
        <f>IF(AND($H68="threat",$P68&lt;=0.05),"gn",IF(AND($H68="threat",$P68&lt;=0.14),"y",IF(AND($H68="threat", $P68&gt;=0.15),"r",IF(AND($H68="opportunity",$P68&lt;=0.05),"gn",IF(AND($H68="opportunity",$P68&lt;=0.14),"lb",IF(AND($H68="opportunity",$P68&gt;=0.15),"db","z"))))))</f>
        <v/>
      </c>
      <c r="BY68" s="58">
        <f>IF(AND($H68="threat",$BW68=0.9,$BV68=0.05),$D68 &amp; ";","")</f>
        <v/>
      </c>
      <c r="BZ68" s="58">
        <f>IF(AND($H68="threat",$BW68=0.9,$BV68=0.1),$D68 &amp; ";","")</f>
        <v/>
      </c>
      <c r="CA68" s="58">
        <f>IF(AND($H68="threat",$BW68=0.9,$BV68=0.2),$D68 &amp; ";","")</f>
        <v/>
      </c>
      <c r="CB68" s="58">
        <f>IF(AND($H68="threat",$BW68=0.9,$BV68=0.4),$D68 &amp; ";","")</f>
        <v/>
      </c>
      <c r="CC68" s="58">
        <f>IF(AND($H68="threat",$BW68=0.9,$BV68=0.8),$D68 &amp; ";","")</f>
        <v/>
      </c>
      <c r="CD68" s="58">
        <f>IF(AND($H68="threat",$BW68=0.7,$BV68=0.05),$D68 &amp; ";","")</f>
        <v/>
      </c>
      <c r="CE68" s="58">
        <f>IF(AND($H68="threat",$BW68=0.7,$BV68=0.1),$D68 &amp; ";","")</f>
        <v/>
      </c>
      <c r="CF68" s="58">
        <f>IF(AND($H68="threat",$BW68=0.7,$BV68=0.2),$D68 &amp; ";","")</f>
        <v/>
      </c>
      <c r="CG68" s="58">
        <f>IF(AND($H68="threat",$BW68=0.7,$BV68=0.4),$D68 &amp; ";","")</f>
        <v/>
      </c>
      <c r="CH68" s="58">
        <f>IF(AND($H68="threat",$BW68=0.7,$BV68=0.8),$D68 &amp; ";","")</f>
        <v/>
      </c>
      <c r="CI68" s="58">
        <f>IF(AND($H68="threat",$BW68=0.5,$BV68=0.05),$D68 &amp; ";","")</f>
        <v/>
      </c>
      <c r="CJ68" s="58">
        <f>IF(AND($H68="threat",$BW68=0.5,$BV68=0.1),$D68 &amp; ";","")</f>
        <v/>
      </c>
      <c r="CK68" s="58">
        <f>IF(AND($H68="threat",$BW68=0.5,$BV68=0.2),$D68 &amp; ";","")</f>
        <v/>
      </c>
      <c r="CL68" s="58">
        <f>IF(AND($H68="threat",$BW68=0.5,$BV68=0.4),$D68 &amp; ";","")</f>
        <v/>
      </c>
      <c r="CM68" s="58">
        <f>IF(AND($H68="threat",$BW68=0.5,$BV68=0.8),$D68 &amp; ";","")</f>
        <v/>
      </c>
      <c r="CN68" s="58">
        <f>IF(AND($H68="threat",$BW68=0.3,$BV68=0.05),$D68 &amp; ";","")</f>
        <v/>
      </c>
      <c r="CO68" s="58">
        <f>IF(AND($H68="threat",$BW68=0.3,$BV68=0.1),$D68 &amp; ";","")</f>
        <v/>
      </c>
      <c r="CP68" s="58">
        <f>IF(AND($H68="threat",$BW68=0.3,$BV68=0.2),$D68 &amp; ";","")</f>
        <v/>
      </c>
      <c r="CQ68" s="58">
        <f>IF(AND($H68="threat",$BW68=0.3,$BV68=0.4),$D68 &amp; ";","")</f>
        <v/>
      </c>
      <c r="CR68" s="58">
        <f>IF(AND($H68="threat",$BW68=0.3,$BV68=0.8),$D68 &amp; ";","")</f>
        <v/>
      </c>
      <c r="CS68" s="58">
        <f>IF(AND($H68="threat",$BW68=0.1,$BV68=0.05),$D68 &amp; ";","")</f>
        <v/>
      </c>
      <c r="CT68" s="58">
        <f>IF(AND($H68="threat",$BW68=0.1,$BV68=0.1),$D68 &amp; ";","")</f>
        <v/>
      </c>
      <c r="CU68" s="58">
        <f>IF(AND($H68="threat",$BW68=0.1,$BV68=0.2),$D68 &amp; ";","")</f>
        <v/>
      </c>
      <c r="CV68" s="58">
        <f>IF(AND($H68="threat",$BW68=0.1,$BV68=0.4),$D68 &amp; ";","")</f>
        <v/>
      </c>
      <c r="CW68" s="58">
        <f>IF(AND($H68="threat",$BW68=0.1,$BV68=0.8),$D68 &amp; ";","")</f>
        <v/>
      </c>
      <c r="CX68" s="39" t="n"/>
      <c r="CY68" s="58">
        <f>IF(AND($H68="opportunity",$BW68=0.9,$BV68=0.8),$D68 &amp; ";","")</f>
        <v/>
      </c>
      <c r="CZ68" s="58">
        <f>IF(AND($H68="opportunity",$BW68=0.9,$BV68=0.4),$D68 &amp; ";","")</f>
        <v/>
      </c>
      <c r="DA68" s="58">
        <f>IF(AND($H68="opportunity",$BW68=0.9,$BV68=0.2),$D68 &amp; ";","")</f>
        <v/>
      </c>
      <c r="DB68" s="58">
        <f>IF(AND($H68="opportunity",$BW68=0.9,$BV68=0.1),$D68 &amp; ";","")</f>
        <v/>
      </c>
      <c r="DC68" s="58">
        <f>IF(AND($H68="opportunity",$BW68=0.9,$BV68=0.05),$D68 &amp; ";","")</f>
        <v/>
      </c>
      <c r="DD68" s="58">
        <f>IF(AND($H68="opportunity",$BW68=0.7,$BV68=0.8),$D68 &amp; ";","")</f>
        <v/>
      </c>
      <c r="DE68" s="58">
        <f>IF(AND($H68="opportunity",$BW68=0.7,$BV68=0.4),$D68 &amp; ";","")</f>
        <v/>
      </c>
      <c r="DF68" s="58">
        <f>IF(AND($H68="opportunity",$BW68=0.7,$BV68=0.2),$D68 &amp; ";","")</f>
        <v/>
      </c>
      <c r="DG68" s="58">
        <f>IF(AND($H68="opportunity",$BW68=0.7,$BV68=0.1),$D68 &amp; ";","")</f>
        <v/>
      </c>
      <c r="DH68" s="58">
        <f>IF(AND($H68="opportunity",$BW68=0.7,$BV68=0.05),$D68 &amp; ";","")</f>
        <v/>
      </c>
      <c r="DI68" s="58">
        <f>IF(AND($H68="opportunity",$BW68=0.5,$BV68=0.8),$D68 &amp; ";","")</f>
        <v/>
      </c>
      <c r="DJ68" s="58">
        <f>IF(AND($H68="opportunity",$BW68=0.5,$BV68=0.4),$D68 &amp; ";","")</f>
        <v/>
      </c>
      <c r="DK68" s="58">
        <f>IF(AND($H68="opportunity",$BW68=0.5,$BV68=0.2),$D68 &amp; ";","")</f>
        <v/>
      </c>
      <c r="DL68" s="58">
        <f>IF(AND($H68="opportunity",$BW68=0.5,$BV68=0.1),$D68 &amp; ";","")</f>
        <v/>
      </c>
      <c r="DM68" s="58">
        <f>IF(AND($H68="opportunity",$BW68=0.5,$BV68=0.05),$D68 &amp; ";","")</f>
        <v/>
      </c>
      <c r="DN68" s="58">
        <f>IF(AND($H68="opportunity",$BW68=0.3,$BV68=0.8),$D68 &amp; ";","")</f>
        <v/>
      </c>
      <c r="DO68" s="58">
        <f>IF(AND($H68="opportunity",$BW68=0.3,$BV68=0.4),$D68 &amp; ";","")</f>
        <v/>
      </c>
      <c r="DP68" s="58">
        <f>IF(AND($H68="opportunity",$BW68=0.3,$BV68=0.2),$D68 &amp; ";","")</f>
        <v/>
      </c>
      <c r="DQ68" s="58">
        <f>IF(AND($H68="opportunity",$BW68=0.3,$BV68=0.1),$D68 &amp; ";","")</f>
        <v/>
      </c>
      <c r="DR68" s="58">
        <f>IF(AND($H68="opportunity",$BW68=0.3,$BV68=0.05),$D68 &amp; ";","")</f>
        <v/>
      </c>
      <c r="DS68" s="58">
        <f>IF(AND($H68="opportunity",$BW68=0.1,$BV68=0.8),$D68 &amp; ";","")</f>
        <v/>
      </c>
      <c r="DT68" s="58">
        <f>IF(AND($H68="opportunity",$BW68=0.1,$BV68=0.4),$D68 &amp; ";","")</f>
        <v/>
      </c>
      <c r="DU68" s="58">
        <f>IF(AND($H68="opportunity",$BW68=0.1,$BV68=0.2),$D68 &amp; ";","")</f>
        <v/>
      </c>
      <c r="DV68" s="58">
        <f>IF(AND($H68="opportunity",$BW68=0.1,$BV68=0.1),$D68 &amp; ";","")</f>
        <v/>
      </c>
      <c r="DW68" s="58">
        <f>IF(AND($H68="opportunity",$BW68=0.1,$BV68=0.05),$D68 &amp; ";","")</f>
        <v/>
      </c>
    </row>
    <row r="69">
      <c r="D69" s="60">
        <f>INDIRECT(ADDRESS(ROW()-22,COLUMN()-2,1,1,"Risk Register"))</f>
        <v/>
      </c>
      <c r="E69" s="143">
        <f>INDIRECT(ADDRESS(ROW()-22,COLUMN()-1,1,1,"Risk Register"))</f>
        <v/>
      </c>
      <c r="G69" s="56">
        <f>INDIRECT(ADDRESS(ROW()-22,COLUMN()+10,1,1,"Risk Register"))</f>
        <v/>
      </c>
      <c r="H69" s="60">
        <f>INDIRECT(ADDRESS(ROW()-22,COLUMN()+8,1,1,"Risk Register"))</f>
        <v/>
      </c>
      <c r="I69" s="54">
        <f>INDIRECT(ADDRESS(ROW()-22,COLUMN()+3,1,1,"Risk Register"))</f>
        <v/>
      </c>
      <c r="J69" s="143">
        <f>INDIRECT(ADDRESS(ROW()-22,COLUMN()+12,1,1,"Risk Register"))</f>
        <v/>
      </c>
      <c r="K69" s="143">
        <f>INDIRECT(ADDRESS(ROW()-22,COLUMN()-2,1,1,"Risk Register"))</f>
        <v/>
      </c>
      <c r="L69" s="176">
        <f>INDIRECT(ADDRESS(ROW()-22,COLUMN()+15,1,1,"Risk Register"))</f>
        <v/>
      </c>
      <c r="M69" s="54">
        <f>INDIRECT(ADDRESS(ROW()-22,COLUMN()+13,1,1,"Risk Register"))</f>
        <v/>
      </c>
      <c r="N69" s="143">
        <f>INDIRECT(ADDRESS(ROW()-22,COLUMN()-9,1,1,"Risk Register"))</f>
        <v/>
      </c>
      <c r="O69" s="143">
        <f>INDIRECT(ADDRESS(ROW()-22,COLUMN()-8,1,1,"Risk Register"))</f>
        <v/>
      </c>
      <c r="P69" s="56">
        <f>INDIRECT(ADDRESS(ROW()-22,COLUMN()+18,1,1,"Risk Register"))</f>
        <v/>
      </c>
      <c r="R69" s="57">
        <f>INDIRECT(ADDRESS(ROW()-22,COLUMN()-5,1,1,"Risk Register"))</f>
        <v/>
      </c>
      <c r="S69" s="58">
        <f>INDIRECT(ADDRESS(ROW()-22,COLUMN()-4,1,1,"Risk Register"))</f>
        <v/>
      </c>
      <c r="T69" s="59">
        <f>IF(AND($H69="threat",$G69&lt;=0.05),"gn",IF(AND($H69="threat",$G69&lt;=0.14),"y",IF(AND($H69="threat", $G69&gt;=0.15),"r",IF(AND($H69="opportunity",$G69&lt;=0.05),"gn",IF(AND($H69="opportunity",$G69&lt;=0.14),"lb",IF(AND($H69="opportunity",$G69&gt;=0.15),"db","z"))))))</f>
        <v/>
      </c>
      <c r="U69" s="58">
        <f>IF(AND($H69="threat",$S69=0.9,$R69=0.05),$D69 &amp; ";","")</f>
        <v/>
      </c>
      <c r="V69" s="58">
        <f>IF(AND($H69="threat",$S69=0.9,$R69=0.1),$D69 &amp; ";","")</f>
        <v/>
      </c>
      <c r="W69" s="58">
        <f>IF(AND($H69="threat",$S69=0.9,$R69=0.2),$D69 &amp; ";","")</f>
        <v/>
      </c>
      <c r="X69" s="58">
        <f>IF(AND($H69="threat",$S69=0.9,$R69=0.4),$D69 &amp; ";","")</f>
        <v/>
      </c>
      <c r="Y69" s="58">
        <f>IF(AND($H69="threat",$S69=0.9,$R69=0.8),$D69 &amp; ";","")</f>
        <v/>
      </c>
      <c r="Z69" s="58">
        <f>IF(AND($H69="threat",$S69=0.7,$R69=0.05),$D69 &amp; ";","")</f>
        <v/>
      </c>
      <c r="AA69" s="58">
        <f>IF(AND($H69="threat",$S69=0.7,$R69=0.1),$D69 &amp; ";","")</f>
        <v/>
      </c>
      <c r="AB69" s="58">
        <f>IF(AND($H69="threat",$S69=0.7,$R69=0.2),$D69 &amp; ";","")</f>
        <v/>
      </c>
      <c r="AC69" s="58">
        <f>IF(AND($H69="threat",$S69=0.7,$R69=0.4),$D69 &amp; ";","")</f>
        <v/>
      </c>
      <c r="AD69" s="58">
        <f>IF(AND($H69="threat",$S69=0.7,$R69=0.8),$D69 &amp; ";","")</f>
        <v/>
      </c>
      <c r="AE69" s="58">
        <f>IF(AND($H69="threat",$S69=0.5,$R69=0.05),$D69 &amp; ";","")</f>
        <v/>
      </c>
      <c r="AF69" s="58">
        <f>IF(AND($H69="threat",$S69=0.5,$R69=0.1),$D69 &amp; ";","")</f>
        <v/>
      </c>
      <c r="AG69" s="58">
        <f>IF(AND($H69="threat",$S69=0.5,$R69=0.2),$D69 &amp; ";","")</f>
        <v/>
      </c>
      <c r="AH69" s="58">
        <f>IF(AND($H69="threat",$S69=0.5,$R69=0.4),$D69 &amp; ";","")</f>
        <v/>
      </c>
      <c r="AI69" s="58">
        <f>IF(AND($H69="threat",$S69=0.5,$R69=0.8),$D69 &amp; ";","")</f>
        <v/>
      </c>
      <c r="AJ69" s="58">
        <f>IF(AND($H69="threat",$S69=0.3,$R69=0.05),$D69 &amp; ";","")</f>
        <v/>
      </c>
      <c r="AK69" s="58">
        <f>IF(AND($H69="threat",$S69=0.3,$R69=0.1),$D69 &amp; ";","")</f>
        <v/>
      </c>
      <c r="AL69" s="58">
        <f>IF(AND($H69="threat",$S69=0.3,$R69=0.2),$D69 &amp; ";","")</f>
        <v/>
      </c>
      <c r="AM69" s="58">
        <f>IF(AND($H69="threat",$S69=0.3,$R69=0.4),$D69 &amp; ";","")</f>
        <v/>
      </c>
      <c r="AN69" s="58">
        <f>IF(AND($H69="threat",$S69=0.3,$R69=0.8),$D69 &amp; ";","")</f>
        <v/>
      </c>
      <c r="AO69" s="58">
        <f>IF(AND($H69="threat",$S69=0.1,$R69=0.05),$D69 &amp; ";","")</f>
        <v/>
      </c>
      <c r="AP69" s="58">
        <f>IF(AND($H69="threat",$S69=0.1,$R69=0.1),$D69 &amp; ";","")</f>
        <v/>
      </c>
      <c r="AQ69" s="58">
        <f>IF(AND($H69="threat",$S69=0.1,$R69=0.2),$D69 &amp; ";","")</f>
        <v/>
      </c>
      <c r="AR69" s="58">
        <f>IF(AND($H69="threat",$S69=0.1,$R69=0.4),$D69 &amp; ";","")</f>
        <v/>
      </c>
      <c r="AS69" s="58">
        <f>IF(AND($H69="threat",$S69=0.1,$R69=0.8),$D69 &amp; ";","")</f>
        <v/>
      </c>
      <c r="AT69" s="39" t="n"/>
      <c r="AU69" s="58">
        <f>IF(AND($H69="opportunity",$S69=0.9,$R69=0.8),$D69 &amp; ";","")</f>
        <v/>
      </c>
      <c r="AV69" s="58">
        <f>IF(AND($H69="opportunity",$S69=0.9,$R69=0.4),$D69 &amp; ";","")</f>
        <v/>
      </c>
      <c r="AW69" s="58">
        <f>IF(AND($H69="opportunity",$S69=0.9,$R69=0.2),$D69 &amp; ";","")</f>
        <v/>
      </c>
      <c r="AX69" s="58">
        <f>IF(AND($H69="opportunity",$S69=0.9,$R69=0.1),$D69 &amp; ";","")</f>
        <v/>
      </c>
      <c r="AY69" s="58">
        <f>IF(AND($H69="opportunity",$S69=0.9,$R69=0.05),$D69 &amp; ";","")</f>
        <v/>
      </c>
      <c r="AZ69" s="58">
        <f>IF(AND($H69="opportunity",$S69=0.7,$R69=0.8),$D69 &amp; ";","")</f>
        <v/>
      </c>
      <c r="BA69" s="58">
        <f>IF(AND($H69="opportunity",$S69=0.7,$R69=0.4),$D69 &amp; ";","")</f>
        <v/>
      </c>
      <c r="BB69" s="58">
        <f>IF(AND($H69="opportunity",$S69=0.7,$R69=0.2),$D69 &amp; ";","")</f>
        <v/>
      </c>
      <c r="BC69" s="58">
        <f>IF(AND($H69="opportunity",$S69=0.7,$R69=0.1),$D69 &amp; ";","")</f>
        <v/>
      </c>
      <c r="BD69" s="58">
        <f>IF(AND($H69="opportunity",$S69=0.7,$R69=0.05),$D69 &amp; ";","")</f>
        <v/>
      </c>
      <c r="BE69" s="58">
        <f>IF(AND($H69="opportunity",$S69=0.5,$R69=0.8),$D69 &amp; ";","")</f>
        <v/>
      </c>
      <c r="BF69" s="58">
        <f>IF(AND($H69="opportunity",$S69=0.5,$R69=0.4),$D69 &amp; ";","")</f>
        <v/>
      </c>
      <c r="BG69" s="58">
        <f>IF(AND($H69="opportunity",$S69=0.5,$R69=0.2),$D69 &amp; ";","")</f>
        <v/>
      </c>
      <c r="BH69" s="58">
        <f>IF(AND($H69="opportunity",$S69=0.5,$R69=0.1),$D69 &amp; ";","")</f>
        <v/>
      </c>
      <c r="BI69" s="58">
        <f>IF(AND($H69="opportunity",$S69=0.5,$R69=0.05),$D69 &amp; ";","")</f>
        <v/>
      </c>
      <c r="BJ69" s="58">
        <f>IF(AND($H69="opportunity",$S69=0.3,$R69=0.8),$D69 &amp; ";","")</f>
        <v/>
      </c>
      <c r="BK69" s="58">
        <f>IF(AND($H69="opportunity",$S69=0.3,$R69=0.4),$D69 &amp; ";","")</f>
        <v/>
      </c>
      <c r="BL69" s="58">
        <f>IF(AND($H69="opportunity",$S69=0.3,$R69=0.2),$D69 &amp; ";","")</f>
        <v/>
      </c>
      <c r="BM69" s="58">
        <f>IF(AND($H69="opportunity",$S69=0.3,$R69=0.1),$D69 &amp; ";","")</f>
        <v/>
      </c>
      <c r="BN69" s="58">
        <f>IF(AND($H69="opportunity",$S69=0.3,$R69=0.05),$D69 &amp; ";","")</f>
        <v/>
      </c>
      <c r="BO69" s="58">
        <f>IF(AND($H69="opportunity",$S69=0.1,$R69=0.8),$D69 &amp; ";","")</f>
        <v/>
      </c>
      <c r="BP69" s="58">
        <f>IF(AND($H69="opportunity",$S69=0.1,$R69=0.4),$D69 &amp; ";","")</f>
        <v/>
      </c>
      <c r="BQ69" s="58">
        <f>IF(AND($H69="opportunity",$S69=0.1,$R69=0.2),$D69 &amp; ";","")</f>
        <v/>
      </c>
      <c r="BR69" s="58">
        <f>IF(AND($H69="opportunity",$S69=0.1,$R69=0.1),$D69 &amp; ";","")</f>
        <v/>
      </c>
      <c r="BS69" s="58">
        <f>IF(AND($H69="opportunity",$S69=0.1,$R69=0.05),$D69 &amp; ";","")</f>
        <v/>
      </c>
      <c r="BV69" s="57">
        <f>INDIRECT(ADDRESS(ROW()-22,COLUMN()-45,1,1,"Risk Register"))</f>
        <v/>
      </c>
      <c r="BW69" s="58">
        <f>INDIRECT(ADDRESS(ROW()-22,COLUMN()-44,1,1,"Risk Register"))</f>
        <v/>
      </c>
      <c r="BX69" s="59">
        <f>IF(AND($H69="threat",$P69&lt;=0.05),"gn",IF(AND($H69="threat",$P69&lt;=0.14),"y",IF(AND($H69="threat", $P69&gt;=0.15),"r",IF(AND($H69="opportunity",$P69&lt;=0.05),"gn",IF(AND($H69="opportunity",$P69&lt;=0.14),"lb",IF(AND($H69="opportunity",$P69&gt;=0.15),"db","z"))))))</f>
        <v/>
      </c>
      <c r="BY69" s="58">
        <f>IF(AND($H69="threat",$BW69=0.9,$BV69=0.05),$D69 &amp; ";","")</f>
        <v/>
      </c>
      <c r="BZ69" s="58">
        <f>IF(AND($H69="threat",$BW69=0.9,$BV69=0.1),$D69 &amp; ";","")</f>
        <v/>
      </c>
      <c r="CA69" s="58">
        <f>IF(AND($H69="threat",$BW69=0.9,$BV69=0.2),$D69 &amp; ";","")</f>
        <v/>
      </c>
      <c r="CB69" s="58">
        <f>IF(AND($H69="threat",$BW69=0.9,$BV69=0.4),$D69 &amp; ";","")</f>
        <v/>
      </c>
      <c r="CC69" s="58">
        <f>IF(AND($H69="threat",$BW69=0.9,$BV69=0.8),$D69 &amp; ";","")</f>
        <v/>
      </c>
      <c r="CD69" s="58">
        <f>IF(AND($H69="threat",$BW69=0.7,$BV69=0.05),$D69 &amp; ";","")</f>
        <v/>
      </c>
      <c r="CE69" s="58">
        <f>IF(AND($H69="threat",$BW69=0.7,$BV69=0.1),$D69 &amp; ";","")</f>
        <v/>
      </c>
      <c r="CF69" s="58">
        <f>IF(AND($H69="threat",$BW69=0.7,$BV69=0.2),$D69 &amp; ";","")</f>
        <v/>
      </c>
      <c r="CG69" s="58">
        <f>IF(AND($H69="threat",$BW69=0.7,$BV69=0.4),$D69 &amp; ";","")</f>
        <v/>
      </c>
      <c r="CH69" s="58">
        <f>IF(AND($H69="threat",$BW69=0.7,$BV69=0.8),$D69 &amp; ";","")</f>
        <v/>
      </c>
      <c r="CI69" s="58">
        <f>IF(AND($H69="threat",$BW69=0.5,$BV69=0.05),$D69 &amp; ";","")</f>
        <v/>
      </c>
      <c r="CJ69" s="58">
        <f>IF(AND($H69="threat",$BW69=0.5,$BV69=0.1),$D69 &amp; ";","")</f>
        <v/>
      </c>
      <c r="CK69" s="58">
        <f>IF(AND($H69="threat",$BW69=0.5,$BV69=0.2),$D69 &amp; ";","")</f>
        <v/>
      </c>
      <c r="CL69" s="58">
        <f>IF(AND($H69="threat",$BW69=0.5,$BV69=0.4),$D69 &amp; ";","")</f>
        <v/>
      </c>
      <c r="CM69" s="58">
        <f>IF(AND($H69="threat",$BW69=0.5,$BV69=0.8),$D69 &amp; ";","")</f>
        <v/>
      </c>
      <c r="CN69" s="58">
        <f>IF(AND($H69="threat",$BW69=0.3,$BV69=0.05),$D69 &amp; ";","")</f>
        <v/>
      </c>
      <c r="CO69" s="58">
        <f>IF(AND($H69="threat",$BW69=0.3,$BV69=0.1),$D69 &amp; ";","")</f>
        <v/>
      </c>
      <c r="CP69" s="58">
        <f>IF(AND($H69="threat",$BW69=0.3,$BV69=0.2),$D69 &amp; ";","")</f>
        <v/>
      </c>
      <c r="CQ69" s="58">
        <f>IF(AND($H69="threat",$BW69=0.3,$BV69=0.4),$D69 &amp; ";","")</f>
        <v/>
      </c>
      <c r="CR69" s="58">
        <f>IF(AND($H69="threat",$BW69=0.3,$BV69=0.8),$D69 &amp; ";","")</f>
        <v/>
      </c>
      <c r="CS69" s="58">
        <f>IF(AND($H69="threat",$BW69=0.1,$BV69=0.05),$D69 &amp; ";","")</f>
        <v/>
      </c>
      <c r="CT69" s="58">
        <f>IF(AND($H69="threat",$BW69=0.1,$BV69=0.1),$D69 &amp; ";","")</f>
        <v/>
      </c>
      <c r="CU69" s="58">
        <f>IF(AND($H69="threat",$BW69=0.1,$BV69=0.2),$D69 &amp; ";","")</f>
        <v/>
      </c>
      <c r="CV69" s="58">
        <f>IF(AND($H69="threat",$BW69=0.1,$BV69=0.4),$D69 &amp; ";","")</f>
        <v/>
      </c>
      <c r="CW69" s="58">
        <f>IF(AND($H69="threat",$BW69=0.1,$BV69=0.8),$D69 &amp; ";","")</f>
        <v/>
      </c>
      <c r="CX69" s="39" t="n"/>
      <c r="CY69" s="58">
        <f>IF(AND($H69="opportunity",$BW69=0.9,$BV69=0.8),$D69 &amp; ";","")</f>
        <v/>
      </c>
      <c r="CZ69" s="58">
        <f>IF(AND($H69="opportunity",$BW69=0.9,$BV69=0.4),$D69 &amp; ";","")</f>
        <v/>
      </c>
      <c r="DA69" s="58">
        <f>IF(AND($H69="opportunity",$BW69=0.9,$BV69=0.2),$D69 &amp; ";","")</f>
        <v/>
      </c>
      <c r="DB69" s="58">
        <f>IF(AND($H69="opportunity",$BW69=0.9,$BV69=0.1),$D69 &amp; ";","")</f>
        <v/>
      </c>
      <c r="DC69" s="58">
        <f>IF(AND($H69="opportunity",$BW69=0.9,$BV69=0.05),$D69 &amp; ";","")</f>
        <v/>
      </c>
      <c r="DD69" s="58">
        <f>IF(AND($H69="opportunity",$BW69=0.7,$BV69=0.8),$D69 &amp; ";","")</f>
        <v/>
      </c>
      <c r="DE69" s="58">
        <f>IF(AND($H69="opportunity",$BW69=0.7,$BV69=0.4),$D69 &amp; ";","")</f>
        <v/>
      </c>
      <c r="DF69" s="58">
        <f>IF(AND($H69="opportunity",$BW69=0.7,$BV69=0.2),$D69 &amp; ";","")</f>
        <v/>
      </c>
      <c r="DG69" s="58">
        <f>IF(AND($H69="opportunity",$BW69=0.7,$BV69=0.1),$D69 &amp; ";","")</f>
        <v/>
      </c>
      <c r="DH69" s="58">
        <f>IF(AND($H69="opportunity",$BW69=0.7,$BV69=0.05),$D69 &amp; ";","")</f>
        <v/>
      </c>
      <c r="DI69" s="58">
        <f>IF(AND($H69="opportunity",$BW69=0.5,$BV69=0.8),$D69 &amp; ";","")</f>
        <v/>
      </c>
      <c r="DJ69" s="58">
        <f>IF(AND($H69="opportunity",$BW69=0.5,$BV69=0.4),$D69 &amp; ";","")</f>
        <v/>
      </c>
      <c r="DK69" s="58">
        <f>IF(AND($H69="opportunity",$BW69=0.5,$BV69=0.2),$D69 &amp; ";","")</f>
        <v/>
      </c>
      <c r="DL69" s="58">
        <f>IF(AND($H69="opportunity",$BW69=0.5,$BV69=0.1),$D69 &amp; ";","")</f>
        <v/>
      </c>
      <c r="DM69" s="58">
        <f>IF(AND($H69="opportunity",$BW69=0.5,$BV69=0.05),$D69 &amp; ";","")</f>
        <v/>
      </c>
      <c r="DN69" s="58">
        <f>IF(AND($H69="opportunity",$BW69=0.3,$BV69=0.8),$D69 &amp; ";","")</f>
        <v/>
      </c>
      <c r="DO69" s="58">
        <f>IF(AND($H69="opportunity",$BW69=0.3,$BV69=0.4),$D69 &amp; ";","")</f>
        <v/>
      </c>
      <c r="DP69" s="58">
        <f>IF(AND($H69="opportunity",$BW69=0.3,$BV69=0.2),$D69 &amp; ";","")</f>
        <v/>
      </c>
      <c r="DQ69" s="58">
        <f>IF(AND($H69="opportunity",$BW69=0.3,$BV69=0.1),$D69 &amp; ";","")</f>
        <v/>
      </c>
      <c r="DR69" s="58">
        <f>IF(AND($H69="opportunity",$BW69=0.3,$BV69=0.05),$D69 &amp; ";","")</f>
        <v/>
      </c>
      <c r="DS69" s="58">
        <f>IF(AND($H69="opportunity",$BW69=0.1,$BV69=0.8),$D69 &amp; ";","")</f>
        <v/>
      </c>
      <c r="DT69" s="58">
        <f>IF(AND($H69="opportunity",$BW69=0.1,$BV69=0.4),$D69 &amp; ";","")</f>
        <v/>
      </c>
      <c r="DU69" s="58">
        <f>IF(AND($H69="opportunity",$BW69=0.1,$BV69=0.2),$D69 &amp; ";","")</f>
        <v/>
      </c>
      <c r="DV69" s="58">
        <f>IF(AND($H69="opportunity",$BW69=0.1,$BV69=0.1),$D69 &amp; ";","")</f>
        <v/>
      </c>
      <c r="DW69" s="58">
        <f>IF(AND($H69="opportunity",$BW69=0.1,$BV69=0.05),$D69 &amp; ";","")</f>
        <v/>
      </c>
    </row>
    <row r="70">
      <c r="D70" s="60">
        <f>INDIRECT(ADDRESS(ROW()-22,COLUMN()-2,1,1,"Risk Register"))</f>
        <v/>
      </c>
      <c r="E70" s="143">
        <f>INDIRECT(ADDRESS(ROW()-22,COLUMN()-1,1,1,"Risk Register"))</f>
        <v/>
      </c>
      <c r="G70" s="56">
        <f>INDIRECT(ADDRESS(ROW()-22,COLUMN()+10,1,1,"Risk Register"))</f>
        <v/>
      </c>
      <c r="H70" s="60">
        <f>INDIRECT(ADDRESS(ROW()-22,COLUMN()+8,1,1,"Risk Register"))</f>
        <v/>
      </c>
      <c r="I70" s="54">
        <f>INDIRECT(ADDRESS(ROW()-22,COLUMN()+3,1,1,"Risk Register"))</f>
        <v/>
      </c>
      <c r="J70" s="143">
        <f>INDIRECT(ADDRESS(ROW()-22,COLUMN()+12,1,1,"Risk Register"))</f>
        <v/>
      </c>
      <c r="K70" s="143">
        <f>INDIRECT(ADDRESS(ROW()-22,COLUMN()-2,1,1,"Risk Register"))</f>
        <v/>
      </c>
      <c r="L70" s="176">
        <f>INDIRECT(ADDRESS(ROW()-22,COLUMN()+15,1,1,"Risk Register"))</f>
        <v/>
      </c>
      <c r="M70" s="54">
        <f>INDIRECT(ADDRESS(ROW()-22,COLUMN()+13,1,1,"Risk Register"))</f>
        <v/>
      </c>
      <c r="N70" s="143">
        <f>INDIRECT(ADDRESS(ROW()-22,COLUMN()-9,1,1,"Risk Register"))</f>
        <v/>
      </c>
      <c r="O70" s="143">
        <f>INDIRECT(ADDRESS(ROW()-22,COLUMN()-8,1,1,"Risk Register"))</f>
        <v/>
      </c>
      <c r="P70" s="56">
        <f>INDIRECT(ADDRESS(ROW()-22,COLUMN()+18,1,1,"Risk Register"))</f>
        <v/>
      </c>
      <c r="R70" s="57">
        <f>INDIRECT(ADDRESS(ROW()-22,COLUMN()-5,1,1,"Risk Register"))</f>
        <v/>
      </c>
      <c r="S70" s="58">
        <f>INDIRECT(ADDRESS(ROW()-22,COLUMN()-4,1,1,"Risk Register"))</f>
        <v/>
      </c>
      <c r="T70" s="59">
        <f>IF(AND($H70="threat",$G70&lt;=0.05),"gn",IF(AND($H70="threat",$G70&lt;=0.14),"y",IF(AND($H70="threat", $G70&gt;=0.15),"r",IF(AND($H70="opportunity",$G70&lt;=0.05),"gn",IF(AND($H70="opportunity",$G70&lt;=0.14),"lb",IF(AND($H70="opportunity",$G70&gt;=0.15),"db","z"))))))</f>
        <v/>
      </c>
      <c r="U70" s="58">
        <f>IF(AND($H70="threat",$S70=0.9,$R70=0.05),$D70 &amp; ";","")</f>
        <v/>
      </c>
      <c r="V70" s="58">
        <f>IF(AND($H70="threat",$S70=0.9,$R70=0.1),$D70 &amp; ";","")</f>
        <v/>
      </c>
      <c r="W70" s="58">
        <f>IF(AND($H70="threat",$S70=0.9,$R70=0.2),$D70 &amp; ";","")</f>
        <v/>
      </c>
      <c r="X70" s="58">
        <f>IF(AND($H70="threat",$S70=0.9,$R70=0.4),$D70 &amp; ";","")</f>
        <v/>
      </c>
      <c r="Y70" s="58">
        <f>IF(AND($H70="threat",$S70=0.9,$R70=0.8),$D70 &amp; ";","")</f>
        <v/>
      </c>
      <c r="Z70" s="58">
        <f>IF(AND($H70="threat",$S70=0.7,$R70=0.05),$D70 &amp; ";","")</f>
        <v/>
      </c>
      <c r="AA70" s="58">
        <f>IF(AND($H70="threat",$S70=0.7,$R70=0.1),$D70 &amp; ";","")</f>
        <v/>
      </c>
      <c r="AB70" s="58">
        <f>IF(AND($H70="threat",$S70=0.7,$R70=0.2),$D70 &amp; ";","")</f>
        <v/>
      </c>
      <c r="AC70" s="58">
        <f>IF(AND($H70="threat",$S70=0.7,$R70=0.4),$D70 &amp; ";","")</f>
        <v/>
      </c>
      <c r="AD70" s="58">
        <f>IF(AND($H70="threat",$S70=0.7,$R70=0.8),$D70 &amp; ";","")</f>
        <v/>
      </c>
      <c r="AE70" s="58">
        <f>IF(AND($H70="threat",$S70=0.5,$R70=0.05),$D70 &amp; ";","")</f>
        <v/>
      </c>
      <c r="AF70" s="58">
        <f>IF(AND($H70="threat",$S70=0.5,$R70=0.1),$D70 &amp; ";","")</f>
        <v/>
      </c>
      <c r="AG70" s="58">
        <f>IF(AND($H70="threat",$S70=0.5,$R70=0.2),$D70 &amp; ";","")</f>
        <v/>
      </c>
      <c r="AH70" s="58">
        <f>IF(AND($H70="threat",$S70=0.5,$R70=0.4),$D70 &amp; ";","")</f>
        <v/>
      </c>
      <c r="AI70" s="58">
        <f>IF(AND($H70="threat",$S70=0.5,$R70=0.8),$D70 &amp; ";","")</f>
        <v/>
      </c>
      <c r="AJ70" s="58">
        <f>IF(AND($H70="threat",$S70=0.3,$R70=0.05),$D70 &amp; ";","")</f>
        <v/>
      </c>
      <c r="AK70" s="58">
        <f>IF(AND($H70="threat",$S70=0.3,$R70=0.1),$D70 &amp; ";","")</f>
        <v/>
      </c>
      <c r="AL70" s="58">
        <f>IF(AND($H70="threat",$S70=0.3,$R70=0.2),$D70 &amp; ";","")</f>
        <v/>
      </c>
      <c r="AM70" s="58">
        <f>IF(AND($H70="threat",$S70=0.3,$R70=0.4),$D70 &amp; ";","")</f>
        <v/>
      </c>
      <c r="AN70" s="58">
        <f>IF(AND($H70="threat",$S70=0.3,$R70=0.8),$D70 &amp; ";","")</f>
        <v/>
      </c>
      <c r="AO70" s="58">
        <f>IF(AND($H70="threat",$S70=0.1,$R70=0.05),$D70 &amp; ";","")</f>
        <v/>
      </c>
      <c r="AP70" s="58">
        <f>IF(AND($H70="threat",$S70=0.1,$R70=0.1),$D70 &amp; ";","")</f>
        <v/>
      </c>
      <c r="AQ70" s="58">
        <f>IF(AND($H70="threat",$S70=0.1,$R70=0.2),$D70 &amp; ";","")</f>
        <v/>
      </c>
      <c r="AR70" s="58">
        <f>IF(AND($H70="threat",$S70=0.1,$R70=0.4),$D70 &amp; ";","")</f>
        <v/>
      </c>
      <c r="AS70" s="58">
        <f>IF(AND($H70="threat",$S70=0.1,$R70=0.8),$D70 &amp; ";","")</f>
        <v/>
      </c>
      <c r="AT70" s="39" t="n"/>
      <c r="AU70" s="58">
        <f>IF(AND($H70="opportunity",$S70=0.9,$R70=0.8),$D70 &amp; ";","")</f>
        <v/>
      </c>
      <c r="AV70" s="58">
        <f>IF(AND($H70="opportunity",$S70=0.9,$R70=0.4),$D70 &amp; ";","")</f>
        <v/>
      </c>
      <c r="AW70" s="58">
        <f>IF(AND($H70="opportunity",$S70=0.9,$R70=0.2),$D70 &amp; ";","")</f>
        <v/>
      </c>
      <c r="AX70" s="58">
        <f>IF(AND($H70="opportunity",$S70=0.9,$R70=0.1),$D70 &amp; ";","")</f>
        <v/>
      </c>
      <c r="AY70" s="58">
        <f>IF(AND($H70="opportunity",$S70=0.9,$R70=0.05),$D70 &amp; ";","")</f>
        <v/>
      </c>
      <c r="AZ70" s="58">
        <f>IF(AND($H70="opportunity",$S70=0.7,$R70=0.8),$D70 &amp; ";","")</f>
        <v/>
      </c>
      <c r="BA70" s="58">
        <f>IF(AND($H70="opportunity",$S70=0.7,$R70=0.4),$D70 &amp; ";","")</f>
        <v/>
      </c>
      <c r="BB70" s="58">
        <f>IF(AND($H70="opportunity",$S70=0.7,$R70=0.2),$D70 &amp; ";","")</f>
        <v/>
      </c>
      <c r="BC70" s="58">
        <f>IF(AND($H70="opportunity",$S70=0.7,$R70=0.1),$D70 &amp; ";","")</f>
        <v/>
      </c>
      <c r="BD70" s="58">
        <f>IF(AND($H70="opportunity",$S70=0.7,$R70=0.05),$D70 &amp; ";","")</f>
        <v/>
      </c>
      <c r="BE70" s="58">
        <f>IF(AND($H70="opportunity",$S70=0.5,$R70=0.8),$D70 &amp; ";","")</f>
        <v/>
      </c>
      <c r="BF70" s="58">
        <f>IF(AND($H70="opportunity",$S70=0.5,$R70=0.4),$D70 &amp; ";","")</f>
        <v/>
      </c>
      <c r="BG70" s="58">
        <f>IF(AND($H70="opportunity",$S70=0.5,$R70=0.2),$D70 &amp; ";","")</f>
        <v/>
      </c>
      <c r="BH70" s="58">
        <f>IF(AND($H70="opportunity",$S70=0.5,$R70=0.1),$D70 &amp; ";","")</f>
        <v/>
      </c>
      <c r="BI70" s="58">
        <f>IF(AND($H70="opportunity",$S70=0.5,$R70=0.05),$D70 &amp; ";","")</f>
        <v/>
      </c>
      <c r="BJ70" s="58">
        <f>IF(AND($H70="opportunity",$S70=0.3,$R70=0.8),$D70 &amp; ";","")</f>
        <v/>
      </c>
      <c r="BK70" s="58">
        <f>IF(AND($H70="opportunity",$S70=0.3,$R70=0.4),$D70 &amp; ";","")</f>
        <v/>
      </c>
      <c r="BL70" s="58">
        <f>IF(AND($H70="opportunity",$S70=0.3,$R70=0.2),$D70 &amp; ";","")</f>
        <v/>
      </c>
      <c r="BM70" s="58">
        <f>IF(AND($H70="opportunity",$S70=0.3,$R70=0.1),$D70 &amp; ";","")</f>
        <v/>
      </c>
      <c r="BN70" s="58">
        <f>IF(AND($H70="opportunity",$S70=0.3,$R70=0.05),$D70 &amp; ";","")</f>
        <v/>
      </c>
      <c r="BO70" s="58">
        <f>IF(AND($H70="opportunity",$S70=0.1,$R70=0.8),$D70 &amp; ";","")</f>
        <v/>
      </c>
      <c r="BP70" s="58">
        <f>IF(AND($H70="opportunity",$S70=0.1,$R70=0.4),$D70 &amp; ";","")</f>
        <v/>
      </c>
      <c r="BQ70" s="58">
        <f>IF(AND($H70="opportunity",$S70=0.1,$R70=0.2),$D70 &amp; ";","")</f>
        <v/>
      </c>
      <c r="BR70" s="58">
        <f>IF(AND($H70="opportunity",$S70=0.1,$R70=0.1),$D70 &amp; ";","")</f>
        <v/>
      </c>
      <c r="BS70" s="58">
        <f>IF(AND($H70="opportunity",$S70=0.1,$R70=0.05),$D70 &amp; ";","")</f>
        <v/>
      </c>
      <c r="BV70" s="57">
        <f>INDIRECT(ADDRESS(ROW()-22,COLUMN()-45,1,1,"Risk Register"))</f>
        <v/>
      </c>
      <c r="BW70" s="58">
        <f>INDIRECT(ADDRESS(ROW()-22,COLUMN()-44,1,1,"Risk Register"))</f>
        <v/>
      </c>
      <c r="BX70" s="59">
        <f>IF(AND($H70="threat",$P70&lt;=0.05),"gn",IF(AND($H70="threat",$P70&lt;=0.14),"y",IF(AND($H70="threat", $P70&gt;=0.15),"r",IF(AND($H70="opportunity",$P70&lt;=0.05),"gn",IF(AND($H70="opportunity",$P70&lt;=0.14),"lb",IF(AND($H70="opportunity",$P70&gt;=0.15),"db","z"))))))</f>
        <v/>
      </c>
      <c r="BY70" s="58">
        <f>IF(AND($H70="threat",$BW70=0.9,$BV70=0.05),$D70 &amp; ";","")</f>
        <v/>
      </c>
      <c r="BZ70" s="58">
        <f>IF(AND($H70="threat",$BW70=0.9,$BV70=0.1),$D70 &amp; ";","")</f>
        <v/>
      </c>
      <c r="CA70" s="58">
        <f>IF(AND($H70="threat",$BW70=0.9,$BV70=0.2),$D70 &amp; ";","")</f>
        <v/>
      </c>
      <c r="CB70" s="58">
        <f>IF(AND($H70="threat",$BW70=0.9,$BV70=0.4),$D70 &amp; ";","")</f>
        <v/>
      </c>
      <c r="CC70" s="58">
        <f>IF(AND($H70="threat",$BW70=0.9,$BV70=0.8),$D70 &amp; ";","")</f>
        <v/>
      </c>
      <c r="CD70" s="58">
        <f>IF(AND($H70="threat",$BW70=0.7,$BV70=0.05),$D70 &amp; ";","")</f>
        <v/>
      </c>
      <c r="CE70" s="58">
        <f>IF(AND($H70="threat",$BW70=0.7,$BV70=0.1),$D70 &amp; ";","")</f>
        <v/>
      </c>
      <c r="CF70" s="58">
        <f>IF(AND($H70="threat",$BW70=0.7,$BV70=0.2),$D70 &amp; ";","")</f>
        <v/>
      </c>
      <c r="CG70" s="58">
        <f>IF(AND($H70="threat",$BW70=0.7,$BV70=0.4),$D70 &amp; ";","")</f>
        <v/>
      </c>
      <c r="CH70" s="58">
        <f>IF(AND($H70="threat",$BW70=0.7,$BV70=0.8),$D70 &amp; ";","")</f>
        <v/>
      </c>
      <c r="CI70" s="58">
        <f>IF(AND($H70="threat",$BW70=0.5,$BV70=0.05),$D70 &amp; ";","")</f>
        <v/>
      </c>
      <c r="CJ70" s="58">
        <f>IF(AND($H70="threat",$BW70=0.5,$BV70=0.1),$D70 &amp; ";","")</f>
        <v/>
      </c>
      <c r="CK70" s="58">
        <f>IF(AND($H70="threat",$BW70=0.5,$BV70=0.2),$D70 &amp; ";","")</f>
        <v/>
      </c>
      <c r="CL70" s="58">
        <f>IF(AND($H70="threat",$BW70=0.5,$BV70=0.4),$D70 &amp; ";","")</f>
        <v/>
      </c>
      <c r="CM70" s="58">
        <f>IF(AND($H70="threat",$BW70=0.5,$BV70=0.8),$D70 &amp; ";","")</f>
        <v/>
      </c>
      <c r="CN70" s="58">
        <f>IF(AND($H70="threat",$BW70=0.3,$BV70=0.05),$D70 &amp; ";","")</f>
        <v/>
      </c>
      <c r="CO70" s="58">
        <f>IF(AND($H70="threat",$BW70=0.3,$BV70=0.1),$D70 &amp; ";","")</f>
        <v/>
      </c>
      <c r="CP70" s="58">
        <f>IF(AND($H70="threat",$BW70=0.3,$BV70=0.2),$D70 &amp; ";","")</f>
        <v/>
      </c>
      <c r="CQ70" s="58">
        <f>IF(AND($H70="threat",$BW70=0.3,$BV70=0.4),$D70 &amp; ";","")</f>
        <v/>
      </c>
      <c r="CR70" s="58">
        <f>IF(AND($H70="threat",$BW70=0.3,$BV70=0.8),$D70 &amp; ";","")</f>
        <v/>
      </c>
      <c r="CS70" s="58">
        <f>IF(AND($H70="threat",$BW70=0.1,$BV70=0.05),$D70 &amp; ";","")</f>
        <v/>
      </c>
      <c r="CT70" s="58">
        <f>IF(AND($H70="threat",$BW70=0.1,$BV70=0.1),$D70 &amp; ";","")</f>
        <v/>
      </c>
      <c r="CU70" s="58">
        <f>IF(AND($H70="threat",$BW70=0.1,$BV70=0.2),$D70 &amp; ";","")</f>
        <v/>
      </c>
      <c r="CV70" s="58">
        <f>IF(AND($H70="threat",$BW70=0.1,$BV70=0.4),$D70 &amp; ";","")</f>
        <v/>
      </c>
      <c r="CW70" s="58">
        <f>IF(AND($H70="threat",$BW70=0.1,$BV70=0.8),$D70 &amp; ";","")</f>
        <v/>
      </c>
      <c r="CX70" s="39" t="n"/>
      <c r="CY70" s="58">
        <f>IF(AND($H70="opportunity",$BW70=0.9,$BV70=0.8),$D70 &amp; ";","")</f>
        <v/>
      </c>
      <c r="CZ70" s="58">
        <f>IF(AND($H70="opportunity",$BW70=0.9,$BV70=0.4),$D70 &amp; ";","")</f>
        <v/>
      </c>
      <c r="DA70" s="58">
        <f>IF(AND($H70="opportunity",$BW70=0.9,$BV70=0.2),$D70 &amp; ";","")</f>
        <v/>
      </c>
      <c r="DB70" s="58">
        <f>IF(AND($H70="opportunity",$BW70=0.9,$BV70=0.1),$D70 &amp; ";","")</f>
        <v/>
      </c>
      <c r="DC70" s="58">
        <f>IF(AND($H70="opportunity",$BW70=0.9,$BV70=0.05),$D70 &amp; ";","")</f>
        <v/>
      </c>
      <c r="DD70" s="58">
        <f>IF(AND($H70="opportunity",$BW70=0.7,$BV70=0.8),$D70 &amp; ";","")</f>
        <v/>
      </c>
      <c r="DE70" s="58">
        <f>IF(AND($H70="opportunity",$BW70=0.7,$BV70=0.4),$D70 &amp; ";","")</f>
        <v/>
      </c>
      <c r="DF70" s="58">
        <f>IF(AND($H70="opportunity",$BW70=0.7,$BV70=0.2),$D70 &amp; ";","")</f>
        <v/>
      </c>
      <c r="DG70" s="58">
        <f>IF(AND($H70="opportunity",$BW70=0.7,$BV70=0.1),$D70 &amp; ";","")</f>
        <v/>
      </c>
      <c r="DH70" s="58">
        <f>IF(AND($H70="opportunity",$BW70=0.7,$BV70=0.05),$D70 &amp; ";","")</f>
        <v/>
      </c>
      <c r="DI70" s="58">
        <f>IF(AND($H70="opportunity",$BW70=0.5,$BV70=0.8),$D70 &amp; ";","")</f>
        <v/>
      </c>
      <c r="DJ70" s="58">
        <f>IF(AND($H70="opportunity",$BW70=0.5,$BV70=0.4),$D70 &amp; ";","")</f>
        <v/>
      </c>
      <c r="DK70" s="58">
        <f>IF(AND($H70="opportunity",$BW70=0.5,$BV70=0.2),$D70 &amp; ";","")</f>
        <v/>
      </c>
      <c r="DL70" s="58">
        <f>IF(AND($H70="opportunity",$BW70=0.5,$BV70=0.1),$D70 &amp; ";","")</f>
        <v/>
      </c>
      <c r="DM70" s="58">
        <f>IF(AND($H70="opportunity",$BW70=0.5,$BV70=0.05),$D70 &amp; ";","")</f>
        <v/>
      </c>
      <c r="DN70" s="58">
        <f>IF(AND($H70="opportunity",$BW70=0.3,$BV70=0.8),$D70 &amp; ";","")</f>
        <v/>
      </c>
      <c r="DO70" s="58">
        <f>IF(AND($H70="opportunity",$BW70=0.3,$BV70=0.4),$D70 &amp; ";","")</f>
        <v/>
      </c>
      <c r="DP70" s="58">
        <f>IF(AND($H70="opportunity",$BW70=0.3,$BV70=0.2),$D70 &amp; ";","")</f>
        <v/>
      </c>
      <c r="DQ70" s="58">
        <f>IF(AND($H70="opportunity",$BW70=0.3,$BV70=0.1),$D70 &amp; ";","")</f>
        <v/>
      </c>
      <c r="DR70" s="58">
        <f>IF(AND($H70="opportunity",$BW70=0.3,$BV70=0.05),$D70 &amp; ";","")</f>
        <v/>
      </c>
      <c r="DS70" s="58">
        <f>IF(AND($H70="opportunity",$BW70=0.1,$BV70=0.8),$D70 &amp; ";","")</f>
        <v/>
      </c>
      <c r="DT70" s="58">
        <f>IF(AND($H70="opportunity",$BW70=0.1,$BV70=0.4),$D70 &amp; ";","")</f>
        <v/>
      </c>
      <c r="DU70" s="58">
        <f>IF(AND($H70="opportunity",$BW70=0.1,$BV70=0.2),$D70 &amp; ";","")</f>
        <v/>
      </c>
      <c r="DV70" s="58">
        <f>IF(AND($H70="opportunity",$BW70=0.1,$BV70=0.1),$D70 &amp; ";","")</f>
        <v/>
      </c>
      <c r="DW70" s="58">
        <f>IF(AND($H70="opportunity",$BW70=0.1,$BV70=0.05),$D70 &amp; ";","")</f>
        <v/>
      </c>
    </row>
    <row r="71">
      <c r="D71" s="60">
        <f>INDIRECT(ADDRESS(ROW()-22,COLUMN()-2,1,1,"Risk Register"))</f>
        <v/>
      </c>
      <c r="E71" s="143">
        <f>INDIRECT(ADDRESS(ROW()-22,COLUMN()-1,1,1,"Risk Register"))</f>
        <v/>
      </c>
      <c r="G71" s="56">
        <f>INDIRECT(ADDRESS(ROW()-22,COLUMN()+10,1,1,"Risk Register"))</f>
        <v/>
      </c>
      <c r="H71" s="60">
        <f>INDIRECT(ADDRESS(ROW()-22,COLUMN()+8,1,1,"Risk Register"))</f>
        <v/>
      </c>
      <c r="I71" s="54">
        <f>INDIRECT(ADDRESS(ROW()-22,COLUMN()+3,1,1,"Risk Register"))</f>
        <v/>
      </c>
      <c r="J71" s="143">
        <f>INDIRECT(ADDRESS(ROW()-22,COLUMN()+12,1,1,"Risk Register"))</f>
        <v/>
      </c>
      <c r="K71" s="143">
        <f>INDIRECT(ADDRESS(ROW()-22,COLUMN()-2,1,1,"Risk Register"))</f>
        <v/>
      </c>
      <c r="L71" s="176">
        <f>INDIRECT(ADDRESS(ROW()-22,COLUMN()+15,1,1,"Risk Register"))</f>
        <v/>
      </c>
      <c r="M71" s="54">
        <f>INDIRECT(ADDRESS(ROW()-22,COLUMN()+13,1,1,"Risk Register"))</f>
        <v/>
      </c>
      <c r="N71" s="143">
        <f>INDIRECT(ADDRESS(ROW()-22,COLUMN()-9,1,1,"Risk Register"))</f>
        <v/>
      </c>
      <c r="O71" s="143">
        <f>INDIRECT(ADDRESS(ROW()-22,COLUMN()-8,1,1,"Risk Register"))</f>
        <v/>
      </c>
      <c r="P71" s="56">
        <f>INDIRECT(ADDRESS(ROW()-22,COLUMN()+18,1,1,"Risk Register"))</f>
        <v/>
      </c>
      <c r="R71" s="57">
        <f>INDIRECT(ADDRESS(ROW()-22,COLUMN()-5,1,1,"Risk Register"))</f>
        <v/>
      </c>
      <c r="S71" s="58">
        <f>INDIRECT(ADDRESS(ROW()-22,COLUMN()-4,1,1,"Risk Register"))</f>
        <v/>
      </c>
      <c r="T71" s="59">
        <f>IF(AND($H71="threat",$G71&lt;=0.05),"gn",IF(AND($H71="threat",$G71&lt;=0.14),"y",IF(AND($H71="threat", $G71&gt;=0.15),"r",IF(AND($H71="opportunity",$G71&lt;=0.05),"gn",IF(AND($H71="opportunity",$G71&lt;=0.14),"lb",IF(AND($H71="opportunity",$G71&gt;=0.15),"db","z"))))))</f>
        <v/>
      </c>
      <c r="U71" s="58">
        <f>IF(AND($H71="threat",$S71=0.9,$R71=0.05),$D71 &amp; ";","")</f>
        <v/>
      </c>
      <c r="V71" s="58">
        <f>IF(AND($H71="threat",$S71=0.9,$R71=0.1),$D71 &amp; ";","")</f>
        <v/>
      </c>
      <c r="W71" s="58">
        <f>IF(AND($H71="threat",$S71=0.9,$R71=0.2),$D71 &amp; ";","")</f>
        <v/>
      </c>
      <c r="X71" s="58">
        <f>IF(AND($H71="threat",$S71=0.9,$R71=0.4),$D71 &amp; ";","")</f>
        <v/>
      </c>
      <c r="Y71" s="58">
        <f>IF(AND($H71="threat",$S71=0.9,$R71=0.8),$D71 &amp; ";","")</f>
        <v/>
      </c>
      <c r="Z71" s="58">
        <f>IF(AND($H71="threat",$S71=0.7,$R71=0.05),$D71 &amp; ";","")</f>
        <v/>
      </c>
      <c r="AA71" s="58">
        <f>IF(AND($H71="threat",$S71=0.7,$R71=0.1),$D71 &amp; ";","")</f>
        <v/>
      </c>
      <c r="AB71" s="58">
        <f>IF(AND($H71="threat",$S71=0.7,$R71=0.2),$D71 &amp; ";","")</f>
        <v/>
      </c>
      <c r="AC71" s="58">
        <f>IF(AND($H71="threat",$S71=0.7,$R71=0.4),$D71 &amp; ";","")</f>
        <v/>
      </c>
      <c r="AD71" s="58">
        <f>IF(AND($H71="threat",$S71=0.7,$R71=0.8),$D71 &amp; ";","")</f>
        <v/>
      </c>
      <c r="AE71" s="58">
        <f>IF(AND($H71="threat",$S71=0.5,$R71=0.05),$D71 &amp; ";","")</f>
        <v/>
      </c>
      <c r="AF71" s="58">
        <f>IF(AND($H71="threat",$S71=0.5,$R71=0.1),$D71 &amp; ";","")</f>
        <v/>
      </c>
      <c r="AG71" s="58">
        <f>IF(AND($H71="threat",$S71=0.5,$R71=0.2),$D71 &amp; ";","")</f>
        <v/>
      </c>
      <c r="AH71" s="58">
        <f>IF(AND($H71="threat",$S71=0.5,$R71=0.4),$D71 &amp; ";","")</f>
        <v/>
      </c>
      <c r="AI71" s="58">
        <f>IF(AND($H71="threat",$S71=0.5,$R71=0.8),$D71 &amp; ";","")</f>
        <v/>
      </c>
      <c r="AJ71" s="58">
        <f>IF(AND($H71="threat",$S71=0.3,$R71=0.05),$D71 &amp; ";","")</f>
        <v/>
      </c>
      <c r="AK71" s="58">
        <f>IF(AND($H71="threat",$S71=0.3,$R71=0.1),$D71 &amp; ";","")</f>
        <v/>
      </c>
      <c r="AL71" s="58">
        <f>IF(AND($H71="threat",$S71=0.3,$R71=0.2),$D71 &amp; ";","")</f>
        <v/>
      </c>
      <c r="AM71" s="58">
        <f>IF(AND($H71="threat",$S71=0.3,$R71=0.4),$D71 &amp; ";","")</f>
        <v/>
      </c>
      <c r="AN71" s="58">
        <f>IF(AND($H71="threat",$S71=0.3,$R71=0.8),$D71 &amp; ";","")</f>
        <v/>
      </c>
      <c r="AO71" s="58">
        <f>IF(AND($H71="threat",$S71=0.1,$R71=0.05),$D71 &amp; ";","")</f>
        <v/>
      </c>
      <c r="AP71" s="58">
        <f>IF(AND($H71="threat",$S71=0.1,$R71=0.1),$D71 &amp; ";","")</f>
        <v/>
      </c>
      <c r="AQ71" s="58">
        <f>IF(AND($H71="threat",$S71=0.1,$R71=0.2),$D71 &amp; ";","")</f>
        <v/>
      </c>
      <c r="AR71" s="58">
        <f>IF(AND($H71="threat",$S71=0.1,$R71=0.4),$D71 &amp; ";","")</f>
        <v/>
      </c>
      <c r="AS71" s="58">
        <f>IF(AND($H71="threat",$S71=0.1,$R71=0.8),$D71 &amp; ";","")</f>
        <v/>
      </c>
      <c r="AT71" s="39" t="n"/>
      <c r="AU71" s="58">
        <f>IF(AND($H71="opportunity",$S71=0.9,$R71=0.8),$D71 &amp; ";","")</f>
        <v/>
      </c>
      <c r="AV71" s="58">
        <f>IF(AND($H71="opportunity",$S71=0.9,$R71=0.4),$D71 &amp; ";","")</f>
        <v/>
      </c>
      <c r="AW71" s="58">
        <f>IF(AND($H71="opportunity",$S71=0.9,$R71=0.2),$D71 &amp; ";","")</f>
        <v/>
      </c>
      <c r="AX71" s="58">
        <f>IF(AND($H71="opportunity",$S71=0.9,$R71=0.1),$D71 &amp; ";","")</f>
        <v/>
      </c>
      <c r="AY71" s="58">
        <f>IF(AND($H71="opportunity",$S71=0.9,$R71=0.05),$D71 &amp; ";","")</f>
        <v/>
      </c>
      <c r="AZ71" s="58">
        <f>IF(AND($H71="opportunity",$S71=0.7,$R71=0.8),$D71 &amp; ";","")</f>
        <v/>
      </c>
      <c r="BA71" s="58">
        <f>IF(AND($H71="opportunity",$S71=0.7,$R71=0.4),$D71 &amp; ";","")</f>
        <v/>
      </c>
      <c r="BB71" s="58">
        <f>IF(AND($H71="opportunity",$S71=0.7,$R71=0.2),$D71 &amp; ";","")</f>
        <v/>
      </c>
      <c r="BC71" s="58">
        <f>IF(AND($H71="opportunity",$S71=0.7,$R71=0.1),$D71 &amp; ";","")</f>
        <v/>
      </c>
      <c r="BD71" s="58">
        <f>IF(AND($H71="opportunity",$S71=0.7,$R71=0.05),$D71 &amp; ";","")</f>
        <v/>
      </c>
      <c r="BE71" s="58">
        <f>IF(AND($H71="opportunity",$S71=0.5,$R71=0.8),$D71 &amp; ";","")</f>
        <v/>
      </c>
      <c r="BF71" s="58">
        <f>IF(AND($H71="opportunity",$S71=0.5,$R71=0.4),$D71 &amp; ";","")</f>
        <v/>
      </c>
      <c r="BG71" s="58">
        <f>IF(AND($H71="opportunity",$S71=0.5,$R71=0.2),$D71 &amp; ";","")</f>
        <v/>
      </c>
      <c r="BH71" s="58">
        <f>IF(AND($H71="opportunity",$S71=0.5,$R71=0.1),$D71 &amp; ";","")</f>
        <v/>
      </c>
      <c r="BI71" s="58">
        <f>IF(AND($H71="opportunity",$S71=0.5,$R71=0.05),$D71 &amp; ";","")</f>
        <v/>
      </c>
      <c r="BJ71" s="58">
        <f>IF(AND($H71="opportunity",$S71=0.3,$R71=0.8),$D71 &amp; ";","")</f>
        <v/>
      </c>
      <c r="BK71" s="58">
        <f>IF(AND($H71="opportunity",$S71=0.3,$R71=0.4),$D71 &amp; ";","")</f>
        <v/>
      </c>
      <c r="BL71" s="58">
        <f>IF(AND($H71="opportunity",$S71=0.3,$R71=0.2),$D71 &amp; ";","")</f>
        <v/>
      </c>
      <c r="BM71" s="58">
        <f>IF(AND($H71="opportunity",$S71=0.3,$R71=0.1),$D71 &amp; ";","")</f>
        <v/>
      </c>
      <c r="BN71" s="58">
        <f>IF(AND($H71="opportunity",$S71=0.3,$R71=0.05),$D71 &amp; ";","")</f>
        <v/>
      </c>
      <c r="BO71" s="58">
        <f>IF(AND($H71="opportunity",$S71=0.1,$R71=0.8),$D71 &amp; ";","")</f>
        <v/>
      </c>
      <c r="BP71" s="58">
        <f>IF(AND($H71="opportunity",$S71=0.1,$R71=0.4),$D71 &amp; ";","")</f>
        <v/>
      </c>
      <c r="BQ71" s="58">
        <f>IF(AND($H71="opportunity",$S71=0.1,$R71=0.2),$D71 &amp; ";","")</f>
        <v/>
      </c>
      <c r="BR71" s="58">
        <f>IF(AND($H71="opportunity",$S71=0.1,$R71=0.1),$D71 &amp; ";","")</f>
        <v/>
      </c>
      <c r="BS71" s="58">
        <f>IF(AND($H71="opportunity",$S71=0.1,$R71=0.05),$D71 &amp; ";","")</f>
        <v/>
      </c>
      <c r="BV71" s="57">
        <f>INDIRECT(ADDRESS(ROW()-22,COLUMN()-45,1,1,"Risk Register"))</f>
        <v/>
      </c>
      <c r="BW71" s="58">
        <f>INDIRECT(ADDRESS(ROW()-22,COLUMN()-44,1,1,"Risk Register"))</f>
        <v/>
      </c>
      <c r="BX71" s="59">
        <f>IF(AND($H71="threat",$P71&lt;=0.05),"gn",IF(AND($H71="threat",$P71&lt;=0.14),"y",IF(AND($H71="threat", $P71&gt;=0.15),"r",IF(AND($H71="opportunity",$P71&lt;=0.05),"gn",IF(AND($H71="opportunity",$P71&lt;=0.14),"lb",IF(AND($H71="opportunity",$P71&gt;=0.15),"db","z"))))))</f>
        <v/>
      </c>
      <c r="BY71" s="58">
        <f>IF(AND($H71="threat",$BW71=0.9,$BV71=0.05),$D71 &amp; ";","")</f>
        <v/>
      </c>
      <c r="BZ71" s="58">
        <f>IF(AND($H71="threat",$BW71=0.9,$BV71=0.1),$D71 &amp; ";","")</f>
        <v/>
      </c>
      <c r="CA71" s="58">
        <f>IF(AND($H71="threat",$BW71=0.9,$BV71=0.2),$D71 &amp; ";","")</f>
        <v/>
      </c>
      <c r="CB71" s="58">
        <f>IF(AND($H71="threat",$BW71=0.9,$BV71=0.4),$D71 &amp; ";","")</f>
        <v/>
      </c>
      <c r="CC71" s="58">
        <f>IF(AND($H71="threat",$BW71=0.9,$BV71=0.8),$D71 &amp; ";","")</f>
        <v/>
      </c>
      <c r="CD71" s="58">
        <f>IF(AND($H71="threat",$BW71=0.7,$BV71=0.05),$D71 &amp; ";","")</f>
        <v/>
      </c>
      <c r="CE71" s="58">
        <f>IF(AND($H71="threat",$BW71=0.7,$BV71=0.1),$D71 &amp; ";","")</f>
        <v/>
      </c>
      <c r="CF71" s="58">
        <f>IF(AND($H71="threat",$BW71=0.7,$BV71=0.2),$D71 &amp; ";","")</f>
        <v/>
      </c>
      <c r="CG71" s="58">
        <f>IF(AND($H71="threat",$BW71=0.7,$BV71=0.4),$D71 &amp; ";","")</f>
        <v/>
      </c>
      <c r="CH71" s="58">
        <f>IF(AND($H71="threat",$BW71=0.7,$BV71=0.8),$D71 &amp; ";","")</f>
        <v/>
      </c>
      <c r="CI71" s="58">
        <f>IF(AND($H71="threat",$BW71=0.5,$BV71=0.05),$D71 &amp; ";","")</f>
        <v/>
      </c>
      <c r="CJ71" s="58">
        <f>IF(AND($H71="threat",$BW71=0.5,$BV71=0.1),$D71 &amp; ";","")</f>
        <v/>
      </c>
      <c r="CK71" s="58">
        <f>IF(AND($H71="threat",$BW71=0.5,$BV71=0.2),$D71 &amp; ";","")</f>
        <v/>
      </c>
      <c r="CL71" s="58">
        <f>IF(AND($H71="threat",$BW71=0.5,$BV71=0.4),$D71 &amp; ";","")</f>
        <v/>
      </c>
      <c r="CM71" s="58">
        <f>IF(AND($H71="threat",$BW71=0.5,$BV71=0.8),$D71 &amp; ";","")</f>
        <v/>
      </c>
      <c r="CN71" s="58">
        <f>IF(AND($H71="threat",$BW71=0.3,$BV71=0.05),$D71 &amp; ";","")</f>
        <v/>
      </c>
      <c r="CO71" s="58">
        <f>IF(AND($H71="threat",$BW71=0.3,$BV71=0.1),$D71 &amp; ";","")</f>
        <v/>
      </c>
      <c r="CP71" s="58">
        <f>IF(AND($H71="threat",$BW71=0.3,$BV71=0.2),$D71 &amp; ";","")</f>
        <v/>
      </c>
      <c r="CQ71" s="58">
        <f>IF(AND($H71="threat",$BW71=0.3,$BV71=0.4),$D71 &amp; ";","")</f>
        <v/>
      </c>
      <c r="CR71" s="58">
        <f>IF(AND($H71="threat",$BW71=0.3,$BV71=0.8),$D71 &amp; ";","")</f>
        <v/>
      </c>
      <c r="CS71" s="58">
        <f>IF(AND($H71="threat",$BW71=0.1,$BV71=0.05),$D71 &amp; ";","")</f>
        <v/>
      </c>
      <c r="CT71" s="58">
        <f>IF(AND($H71="threat",$BW71=0.1,$BV71=0.1),$D71 &amp; ";","")</f>
        <v/>
      </c>
      <c r="CU71" s="58">
        <f>IF(AND($H71="threat",$BW71=0.1,$BV71=0.2),$D71 &amp; ";","")</f>
        <v/>
      </c>
      <c r="CV71" s="58">
        <f>IF(AND($H71="threat",$BW71=0.1,$BV71=0.4),$D71 &amp; ";","")</f>
        <v/>
      </c>
      <c r="CW71" s="58">
        <f>IF(AND($H71="threat",$BW71=0.1,$BV71=0.8),$D71 &amp; ";","")</f>
        <v/>
      </c>
      <c r="CX71" s="39" t="n"/>
      <c r="CY71" s="58">
        <f>IF(AND($H71="opportunity",$BW71=0.9,$BV71=0.8),$D71 &amp; ";","")</f>
        <v/>
      </c>
      <c r="CZ71" s="58">
        <f>IF(AND($H71="opportunity",$BW71=0.9,$BV71=0.4),$D71 &amp; ";","")</f>
        <v/>
      </c>
      <c r="DA71" s="58">
        <f>IF(AND($H71="opportunity",$BW71=0.9,$BV71=0.2),$D71 &amp; ";","")</f>
        <v/>
      </c>
      <c r="DB71" s="58">
        <f>IF(AND($H71="opportunity",$BW71=0.9,$BV71=0.1),$D71 &amp; ";","")</f>
        <v/>
      </c>
      <c r="DC71" s="58">
        <f>IF(AND($H71="opportunity",$BW71=0.9,$BV71=0.05),$D71 &amp; ";","")</f>
        <v/>
      </c>
      <c r="DD71" s="58">
        <f>IF(AND($H71="opportunity",$BW71=0.7,$BV71=0.8),$D71 &amp; ";","")</f>
        <v/>
      </c>
      <c r="DE71" s="58">
        <f>IF(AND($H71="opportunity",$BW71=0.7,$BV71=0.4),$D71 &amp; ";","")</f>
        <v/>
      </c>
      <c r="DF71" s="58">
        <f>IF(AND($H71="opportunity",$BW71=0.7,$BV71=0.2),$D71 &amp; ";","")</f>
        <v/>
      </c>
      <c r="DG71" s="58">
        <f>IF(AND($H71="opportunity",$BW71=0.7,$BV71=0.1),$D71 &amp; ";","")</f>
        <v/>
      </c>
      <c r="DH71" s="58">
        <f>IF(AND($H71="opportunity",$BW71=0.7,$BV71=0.05),$D71 &amp; ";","")</f>
        <v/>
      </c>
      <c r="DI71" s="58">
        <f>IF(AND($H71="opportunity",$BW71=0.5,$BV71=0.8),$D71 &amp; ";","")</f>
        <v/>
      </c>
      <c r="DJ71" s="58">
        <f>IF(AND($H71="opportunity",$BW71=0.5,$BV71=0.4),$D71 &amp; ";","")</f>
        <v/>
      </c>
      <c r="DK71" s="58">
        <f>IF(AND($H71="opportunity",$BW71=0.5,$BV71=0.2),$D71 &amp; ";","")</f>
        <v/>
      </c>
      <c r="DL71" s="58">
        <f>IF(AND($H71="opportunity",$BW71=0.5,$BV71=0.1),$D71 &amp; ";","")</f>
        <v/>
      </c>
      <c r="DM71" s="58">
        <f>IF(AND($H71="opportunity",$BW71=0.5,$BV71=0.05),$D71 &amp; ";","")</f>
        <v/>
      </c>
      <c r="DN71" s="58">
        <f>IF(AND($H71="opportunity",$BW71=0.3,$BV71=0.8),$D71 &amp; ";","")</f>
        <v/>
      </c>
      <c r="DO71" s="58">
        <f>IF(AND($H71="opportunity",$BW71=0.3,$BV71=0.4),$D71 &amp; ";","")</f>
        <v/>
      </c>
      <c r="DP71" s="58">
        <f>IF(AND($H71="opportunity",$BW71=0.3,$BV71=0.2),$D71 &amp; ";","")</f>
        <v/>
      </c>
      <c r="DQ71" s="58">
        <f>IF(AND($H71="opportunity",$BW71=0.3,$BV71=0.1),$D71 &amp; ";","")</f>
        <v/>
      </c>
      <c r="DR71" s="58">
        <f>IF(AND($H71="opportunity",$BW71=0.3,$BV71=0.05),$D71 &amp; ";","")</f>
        <v/>
      </c>
      <c r="DS71" s="58">
        <f>IF(AND($H71="opportunity",$BW71=0.1,$BV71=0.8),$D71 &amp; ";","")</f>
        <v/>
      </c>
      <c r="DT71" s="58">
        <f>IF(AND($H71="opportunity",$BW71=0.1,$BV71=0.4),$D71 &amp; ";","")</f>
        <v/>
      </c>
      <c r="DU71" s="58">
        <f>IF(AND($H71="opportunity",$BW71=0.1,$BV71=0.2),$D71 &amp; ";","")</f>
        <v/>
      </c>
      <c r="DV71" s="58">
        <f>IF(AND($H71="opportunity",$BW71=0.1,$BV71=0.1),$D71 &amp; ";","")</f>
        <v/>
      </c>
      <c r="DW71" s="58">
        <f>IF(AND($H71="opportunity",$BW71=0.1,$BV71=0.05),$D71 &amp; ";","")</f>
        <v/>
      </c>
    </row>
    <row r="72">
      <c r="D72" s="60">
        <f>INDIRECT(ADDRESS(ROW()-22,COLUMN()-2,1,1,"Risk Register"))</f>
        <v/>
      </c>
      <c r="E72" s="143">
        <f>INDIRECT(ADDRESS(ROW()-22,COLUMN()-1,1,1,"Risk Register"))</f>
        <v/>
      </c>
      <c r="G72" s="56">
        <f>INDIRECT(ADDRESS(ROW()-22,COLUMN()+10,1,1,"Risk Register"))</f>
        <v/>
      </c>
      <c r="H72" s="60">
        <f>INDIRECT(ADDRESS(ROW()-22,COLUMN()+8,1,1,"Risk Register"))</f>
        <v/>
      </c>
      <c r="I72" s="54">
        <f>INDIRECT(ADDRESS(ROW()-22,COLUMN()+3,1,1,"Risk Register"))</f>
        <v/>
      </c>
      <c r="J72" s="143">
        <f>INDIRECT(ADDRESS(ROW()-22,COLUMN()+12,1,1,"Risk Register"))</f>
        <v/>
      </c>
      <c r="K72" s="143">
        <f>INDIRECT(ADDRESS(ROW()-22,COLUMN()-2,1,1,"Risk Register"))</f>
        <v/>
      </c>
      <c r="L72" s="176">
        <f>INDIRECT(ADDRESS(ROW()-22,COLUMN()+15,1,1,"Risk Register"))</f>
        <v/>
      </c>
      <c r="M72" s="54">
        <f>INDIRECT(ADDRESS(ROW()-22,COLUMN()+13,1,1,"Risk Register"))</f>
        <v/>
      </c>
      <c r="N72" s="143">
        <f>INDIRECT(ADDRESS(ROW()-22,COLUMN()-9,1,1,"Risk Register"))</f>
        <v/>
      </c>
      <c r="O72" s="143">
        <f>INDIRECT(ADDRESS(ROW()-22,COLUMN()-8,1,1,"Risk Register"))</f>
        <v/>
      </c>
      <c r="P72" s="56">
        <f>INDIRECT(ADDRESS(ROW()-22,COLUMN()+18,1,1,"Risk Register"))</f>
        <v/>
      </c>
      <c r="R72" s="57">
        <f>INDIRECT(ADDRESS(ROW()-22,COLUMN()-5,1,1,"Risk Register"))</f>
        <v/>
      </c>
      <c r="S72" s="58">
        <f>INDIRECT(ADDRESS(ROW()-22,COLUMN()-4,1,1,"Risk Register"))</f>
        <v/>
      </c>
      <c r="T72" s="59">
        <f>IF(AND($H72="threat",$G72&lt;=0.05),"gn",IF(AND($H72="threat",$G72&lt;=0.14),"y",IF(AND($H72="threat", $G72&gt;=0.15),"r",IF(AND($H72="opportunity",$G72&lt;=0.05),"gn",IF(AND($H72="opportunity",$G72&lt;=0.14),"lb",IF(AND($H72="opportunity",$G72&gt;=0.15),"db","z"))))))</f>
        <v/>
      </c>
      <c r="U72" s="58">
        <f>IF(AND($H72="threat",$S72=0.9,$R72=0.05),$D72 &amp; ";","")</f>
        <v/>
      </c>
      <c r="V72" s="58">
        <f>IF(AND($H72="threat",$S72=0.9,$R72=0.1),$D72 &amp; ";","")</f>
        <v/>
      </c>
      <c r="W72" s="58">
        <f>IF(AND($H72="threat",$S72=0.9,$R72=0.2),$D72 &amp; ";","")</f>
        <v/>
      </c>
      <c r="X72" s="58">
        <f>IF(AND($H72="threat",$S72=0.9,$R72=0.4),$D72 &amp; ";","")</f>
        <v/>
      </c>
      <c r="Y72" s="58">
        <f>IF(AND($H72="threat",$S72=0.9,$R72=0.8),$D72 &amp; ";","")</f>
        <v/>
      </c>
      <c r="Z72" s="58">
        <f>IF(AND($H72="threat",$S72=0.7,$R72=0.05),$D72 &amp; ";","")</f>
        <v/>
      </c>
      <c r="AA72" s="58">
        <f>IF(AND($H72="threat",$S72=0.7,$R72=0.1),$D72 &amp; ";","")</f>
        <v/>
      </c>
      <c r="AB72" s="58">
        <f>IF(AND($H72="threat",$S72=0.7,$R72=0.2),$D72 &amp; ";","")</f>
        <v/>
      </c>
      <c r="AC72" s="58">
        <f>IF(AND($H72="threat",$S72=0.7,$R72=0.4),$D72 &amp; ";","")</f>
        <v/>
      </c>
      <c r="AD72" s="58">
        <f>IF(AND($H72="threat",$S72=0.7,$R72=0.8),$D72 &amp; ";","")</f>
        <v/>
      </c>
      <c r="AE72" s="58">
        <f>IF(AND($H72="threat",$S72=0.5,$R72=0.05),$D72 &amp; ";","")</f>
        <v/>
      </c>
      <c r="AF72" s="58">
        <f>IF(AND($H72="threat",$S72=0.5,$R72=0.1),$D72 &amp; ";","")</f>
        <v/>
      </c>
      <c r="AG72" s="58">
        <f>IF(AND($H72="threat",$S72=0.5,$R72=0.2),$D72 &amp; ";","")</f>
        <v/>
      </c>
      <c r="AH72" s="58">
        <f>IF(AND($H72="threat",$S72=0.5,$R72=0.4),$D72 &amp; ";","")</f>
        <v/>
      </c>
      <c r="AI72" s="58">
        <f>IF(AND($H72="threat",$S72=0.5,$R72=0.8),$D72 &amp; ";","")</f>
        <v/>
      </c>
      <c r="AJ72" s="58">
        <f>IF(AND($H72="threat",$S72=0.3,$R72=0.05),$D72 &amp; ";","")</f>
        <v/>
      </c>
      <c r="AK72" s="58">
        <f>IF(AND($H72="threat",$S72=0.3,$R72=0.1),$D72 &amp; ";","")</f>
        <v/>
      </c>
      <c r="AL72" s="58">
        <f>IF(AND($H72="threat",$S72=0.3,$R72=0.2),$D72 &amp; ";","")</f>
        <v/>
      </c>
      <c r="AM72" s="58">
        <f>IF(AND($H72="threat",$S72=0.3,$R72=0.4),$D72 &amp; ";","")</f>
        <v/>
      </c>
      <c r="AN72" s="58">
        <f>IF(AND($H72="threat",$S72=0.3,$R72=0.8),$D72 &amp; ";","")</f>
        <v/>
      </c>
      <c r="AO72" s="58">
        <f>IF(AND($H72="threat",$S72=0.1,$R72=0.05),$D72 &amp; ";","")</f>
        <v/>
      </c>
      <c r="AP72" s="58">
        <f>IF(AND($H72="threat",$S72=0.1,$R72=0.1),$D72 &amp; ";","")</f>
        <v/>
      </c>
      <c r="AQ72" s="58">
        <f>IF(AND($H72="threat",$S72=0.1,$R72=0.2),$D72 &amp; ";","")</f>
        <v/>
      </c>
      <c r="AR72" s="58">
        <f>IF(AND($H72="threat",$S72=0.1,$R72=0.4),$D72 &amp; ";","")</f>
        <v/>
      </c>
      <c r="AS72" s="58">
        <f>IF(AND($H72="threat",$S72=0.1,$R72=0.8),$D72 &amp; ";","")</f>
        <v/>
      </c>
      <c r="AT72" s="39" t="n"/>
      <c r="AU72" s="58">
        <f>IF(AND($H72="opportunity",$S72=0.9,$R72=0.8),$D72 &amp; ";","")</f>
        <v/>
      </c>
      <c r="AV72" s="58">
        <f>IF(AND($H72="opportunity",$S72=0.9,$R72=0.4),$D72 &amp; ";","")</f>
        <v/>
      </c>
      <c r="AW72" s="58">
        <f>IF(AND($H72="opportunity",$S72=0.9,$R72=0.2),$D72 &amp; ";","")</f>
        <v/>
      </c>
      <c r="AX72" s="58">
        <f>IF(AND($H72="opportunity",$S72=0.9,$R72=0.1),$D72 &amp; ";","")</f>
        <v/>
      </c>
      <c r="AY72" s="58">
        <f>IF(AND($H72="opportunity",$S72=0.9,$R72=0.05),$D72 &amp; ";","")</f>
        <v/>
      </c>
      <c r="AZ72" s="58">
        <f>IF(AND($H72="opportunity",$S72=0.7,$R72=0.8),$D72 &amp; ";","")</f>
        <v/>
      </c>
      <c r="BA72" s="58">
        <f>IF(AND($H72="opportunity",$S72=0.7,$R72=0.4),$D72 &amp; ";","")</f>
        <v/>
      </c>
      <c r="BB72" s="58">
        <f>IF(AND($H72="opportunity",$S72=0.7,$R72=0.2),$D72 &amp; ";","")</f>
        <v/>
      </c>
      <c r="BC72" s="58">
        <f>IF(AND($H72="opportunity",$S72=0.7,$R72=0.1),$D72 &amp; ";","")</f>
        <v/>
      </c>
      <c r="BD72" s="58">
        <f>IF(AND($H72="opportunity",$S72=0.7,$R72=0.05),$D72 &amp; ";","")</f>
        <v/>
      </c>
      <c r="BE72" s="58">
        <f>IF(AND($H72="opportunity",$S72=0.5,$R72=0.8),$D72 &amp; ";","")</f>
        <v/>
      </c>
      <c r="BF72" s="58">
        <f>IF(AND($H72="opportunity",$S72=0.5,$R72=0.4),$D72 &amp; ";","")</f>
        <v/>
      </c>
      <c r="BG72" s="58">
        <f>IF(AND($H72="opportunity",$S72=0.5,$R72=0.2),$D72 &amp; ";","")</f>
        <v/>
      </c>
      <c r="BH72" s="58">
        <f>IF(AND($H72="opportunity",$S72=0.5,$R72=0.1),$D72 &amp; ";","")</f>
        <v/>
      </c>
      <c r="BI72" s="58">
        <f>IF(AND($H72="opportunity",$S72=0.5,$R72=0.05),$D72 &amp; ";","")</f>
        <v/>
      </c>
      <c r="BJ72" s="58">
        <f>IF(AND($H72="opportunity",$S72=0.3,$R72=0.8),$D72 &amp; ";","")</f>
        <v/>
      </c>
      <c r="BK72" s="58">
        <f>IF(AND($H72="opportunity",$S72=0.3,$R72=0.4),$D72 &amp; ";","")</f>
        <v/>
      </c>
      <c r="BL72" s="58">
        <f>IF(AND($H72="opportunity",$S72=0.3,$R72=0.2),$D72 &amp; ";","")</f>
        <v/>
      </c>
      <c r="BM72" s="58">
        <f>IF(AND($H72="opportunity",$S72=0.3,$R72=0.1),$D72 &amp; ";","")</f>
        <v/>
      </c>
      <c r="BN72" s="58">
        <f>IF(AND($H72="opportunity",$S72=0.3,$R72=0.05),$D72 &amp; ";","")</f>
        <v/>
      </c>
      <c r="BO72" s="58">
        <f>IF(AND($H72="opportunity",$S72=0.1,$R72=0.8),$D72 &amp; ";","")</f>
        <v/>
      </c>
      <c r="BP72" s="58">
        <f>IF(AND($H72="opportunity",$S72=0.1,$R72=0.4),$D72 &amp; ";","")</f>
        <v/>
      </c>
      <c r="BQ72" s="58">
        <f>IF(AND($H72="opportunity",$S72=0.1,$R72=0.2),$D72 &amp; ";","")</f>
        <v/>
      </c>
      <c r="BR72" s="58">
        <f>IF(AND($H72="opportunity",$S72=0.1,$R72=0.1),$D72 &amp; ";","")</f>
        <v/>
      </c>
      <c r="BS72" s="58">
        <f>IF(AND($H72="opportunity",$S72=0.1,$R72=0.05),$D72 &amp; ";","")</f>
        <v/>
      </c>
      <c r="BV72" s="57">
        <f>INDIRECT(ADDRESS(ROW()-22,COLUMN()-45,1,1,"Risk Register"))</f>
        <v/>
      </c>
      <c r="BW72" s="58">
        <f>INDIRECT(ADDRESS(ROW()-22,COLUMN()-44,1,1,"Risk Register"))</f>
        <v/>
      </c>
      <c r="BX72" s="59">
        <f>IF(AND($H72="threat",$P72&lt;=0.05),"gn",IF(AND($H72="threat",$P72&lt;=0.14),"y",IF(AND($H72="threat", $P72&gt;=0.15),"r",IF(AND($H72="opportunity",$P72&lt;=0.05),"gn",IF(AND($H72="opportunity",$P72&lt;=0.14),"lb",IF(AND($H72="opportunity",$P72&gt;=0.15),"db","z"))))))</f>
        <v/>
      </c>
      <c r="BY72" s="58">
        <f>IF(AND($H72="threat",$BW72=0.9,$BV72=0.05),$D72 &amp; ";","")</f>
        <v/>
      </c>
      <c r="BZ72" s="58">
        <f>IF(AND($H72="threat",$BW72=0.9,$BV72=0.1),$D72 &amp; ";","")</f>
        <v/>
      </c>
      <c r="CA72" s="58">
        <f>IF(AND($H72="threat",$BW72=0.9,$BV72=0.2),$D72 &amp; ";","")</f>
        <v/>
      </c>
      <c r="CB72" s="58">
        <f>IF(AND($H72="threat",$BW72=0.9,$BV72=0.4),$D72 &amp; ";","")</f>
        <v/>
      </c>
      <c r="CC72" s="58">
        <f>IF(AND($H72="threat",$BW72=0.9,$BV72=0.8),$D72 &amp; ";","")</f>
        <v/>
      </c>
      <c r="CD72" s="58">
        <f>IF(AND($H72="threat",$BW72=0.7,$BV72=0.05),$D72 &amp; ";","")</f>
        <v/>
      </c>
      <c r="CE72" s="58">
        <f>IF(AND($H72="threat",$BW72=0.7,$BV72=0.1),$D72 &amp; ";","")</f>
        <v/>
      </c>
      <c r="CF72" s="58">
        <f>IF(AND($H72="threat",$BW72=0.7,$BV72=0.2),$D72 &amp; ";","")</f>
        <v/>
      </c>
      <c r="CG72" s="58">
        <f>IF(AND($H72="threat",$BW72=0.7,$BV72=0.4),$D72 &amp; ";","")</f>
        <v/>
      </c>
      <c r="CH72" s="58">
        <f>IF(AND($H72="threat",$BW72=0.7,$BV72=0.8),$D72 &amp; ";","")</f>
        <v/>
      </c>
      <c r="CI72" s="58">
        <f>IF(AND($H72="threat",$BW72=0.5,$BV72=0.05),$D72 &amp; ";","")</f>
        <v/>
      </c>
      <c r="CJ72" s="58">
        <f>IF(AND($H72="threat",$BW72=0.5,$BV72=0.1),$D72 &amp; ";","")</f>
        <v/>
      </c>
      <c r="CK72" s="58">
        <f>IF(AND($H72="threat",$BW72=0.5,$BV72=0.2),$D72 &amp; ";","")</f>
        <v/>
      </c>
      <c r="CL72" s="58">
        <f>IF(AND($H72="threat",$BW72=0.5,$BV72=0.4),$D72 &amp; ";","")</f>
        <v/>
      </c>
      <c r="CM72" s="58">
        <f>IF(AND($H72="threat",$BW72=0.5,$BV72=0.8),$D72 &amp; ";","")</f>
        <v/>
      </c>
      <c r="CN72" s="58">
        <f>IF(AND($H72="threat",$BW72=0.3,$BV72=0.05),$D72 &amp; ";","")</f>
        <v/>
      </c>
      <c r="CO72" s="58">
        <f>IF(AND($H72="threat",$BW72=0.3,$BV72=0.1),$D72 &amp; ";","")</f>
        <v/>
      </c>
      <c r="CP72" s="58">
        <f>IF(AND($H72="threat",$BW72=0.3,$BV72=0.2),$D72 &amp; ";","")</f>
        <v/>
      </c>
      <c r="CQ72" s="58">
        <f>IF(AND($H72="threat",$BW72=0.3,$BV72=0.4),$D72 &amp; ";","")</f>
        <v/>
      </c>
      <c r="CR72" s="58">
        <f>IF(AND($H72="threat",$BW72=0.3,$BV72=0.8),$D72 &amp; ";","")</f>
        <v/>
      </c>
      <c r="CS72" s="58">
        <f>IF(AND($H72="threat",$BW72=0.1,$BV72=0.05),$D72 &amp; ";","")</f>
        <v/>
      </c>
      <c r="CT72" s="58">
        <f>IF(AND($H72="threat",$BW72=0.1,$BV72=0.1),$D72 &amp; ";","")</f>
        <v/>
      </c>
      <c r="CU72" s="58">
        <f>IF(AND($H72="threat",$BW72=0.1,$BV72=0.2),$D72 &amp; ";","")</f>
        <v/>
      </c>
      <c r="CV72" s="58">
        <f>IF(AND($H72="threat",$BW72=0.1,$BV72=0.4),$D72 &amp; ";","")</f>
        <v/>
      </c>
      <c r="CW72" s="58">
        <f>IF(AND($H72="threat",$BW72=0.1,$BV72=0.8),$D72 &amp; ";","")</f>
        <v/>
      </c>
      <c r="CX72" s="39" t="n"/>
      <c r="CY72" s="58">
        <f>IF(AND($H72="opportunity",$BW72=0.9,$BV72=0.8),$D72 &amp; ";","")</f>
        <v/>
      </c>
      <c r="CZ72" s="58">
        <f>IF(AND($H72="opportunity",$BW72=0.9,$BV72=0.4),$D72 &amp; ";","")</f>
        <v/>
      </c>
      <c r="DA72" s="58">
        <f>IF(AND($H72="opportunity",$BW72=0.9,$BV72=0.2),$D72 &amp; ";","")</f>
        <v/>
      </c>
      <c r="DB72" s="58">
        <f>IF(AND($H72="opportunity",$BW72=0.9,$BV72=0.1),$D72 &amp; ";","")</f>
        <v/>
      </c>
      <c r="DC72" s="58">
        <f>IF(AND($H72="opportunity",$BW72=0.9,$BV72=0.05),$D72 &amp; ";","")</f>
        <v/>
      </c>
      <c r="DD72" s="58">
        <f>IF(AND($H72="opportunity",$BW72=0.7,$BV72=0.8),$D72 &amp; ";","")</f>
        <v/>
      </c>
      <c r="DE72" s="58">
        <f>IF(AND($H72="opportunity",$BW72=0.7,$BV72=0.4),$D72 &amp; ";","")</f>
        <v/>
      </c>
      <c r="DF72" s="58">
        <f>IF(AND($H72="opportunity",$BW72=0.7,$BV72=0.2),$D72 &amp; ";","")</f>
        <v/>
      </c>
      <c r="DG72" s="58">
        <f>IF(AND($H72="opportunity",$BW72=0.7,$BV72=0.1),$D72 &amp; ";","")</f>
        <v/>
      </c>
      <c r="DH72" s="58">
        <f>IF(AND($H72="opportunity",$BW72=0.7,$BV72=0.05),$D72 &amp; ";","")</f>
        <v/>
      </c>
      <c r="DI72" s="58">
        <f>IF(AND($H72="opportunity",$BW72=0.5,$BV72=0.8),$D72 &amp; ";","")</f>
        <v/>
      </c>
      <c r="DJ72" s="58">
        <f>IF(AND($H72="opportunity",$BW72=0.5,$BV72=0.4),$D72 &amp; ";","")</f>
        <v/>
      </c>
      <c r="DK72" s="58">
        <f>IF(AND($H72="opportunity",$BW72=0.5,$BV72=0.2),$D72 &amp; ";","")</f>
        <v/>
      </c>
      <c r="DL72" s="58">
        <f>IF(AND($H72="opportunity",$BW72=0.5,$BV72=0.1),$D72 &amp; ";","")</f>
        <v/>
      </c>
      <c r="DM72" s="58">
        <f>IF(AND($H72="opportunity",$BW72=0.5,$BV72=0.05),$D72 &amp; ";","")</f>
        <v/>
      </c>
      <c r="DN72" s="58">
        <f>IF(AND($H72="opportunity",$BW72=0.3,$BV72=0.8),$D72 &amp; ";","")</f>
        <v/>
      </c>
      <c r="DO72" s="58">
        <f>IF(AND($H72="opportunity",$BW72=0.3,$BV72=0.4),$D72 &amp; ";","")</f>
        <v/>
      </c>
      <c r="DP72" s="58">
        <f>IF(AND($H72="opportunity",$BW72=0.3,$BV72=0.2),$D72 &amp; ";","")</f>
        <v/>
      </c>
      <c r="DQ72" s="58">
        <f>IF(AND($H72="opportunity",$BW72=0.3,$BV72=0.1),$D72 &amp; ";","")</f>
        <v/>
      </c>
      <c r="DR72" s="58">
        <f>IF(AND($H72="opportunity",$BW72=0.3,$BV72=0.05),$D72 &amp; ";","")</f>
        <v/>
      </c>
      <c r="DS72" s="58">
        <f>IF(AND($H72="opportunity",$BW72=0.1,$BV72=0.8),$D72 &amp; ";","")</f>
        <v/>
      </c>
      <c r="DT72" s="58">
        <f>IF(AND($H72="opportunity",$BW72=0.1,$BV72=0.4),$D72 &amp; ";","")</f>
        <v/>
      </c>
      <c r="DU72" s="58">
        <f>IF(AND($H72="opportunity",$BW72=0.1,$BV72=0.2),$D72 &amp; ";","")</f>
        <v/>
      </c>
      <c r="DV72" s="58">
        <f>IF(AND($H72="opportunity",$BW72=0.1,$BV72=0.1),$D72 &amp; ";","")</f>
        <v/>
      </c>
      <c r="DW72" s="58">
        <f>IF(AND($H72="opportunity",$BW72=0.1,$BV72=0.05),$D72 &amp; ";","")</f>
        <v/>
      </c>
    </row>
    <row r="73">
      <c r="D73" s="60">
        <f>INDIRECT(ADDRESS(ROW()-22,COLUMN()-2,1,1,"Risk Register"))</f>
        <v/>
      </c>
      <c r="E73" s="143">
        <f>INDIRECT(ADDRESS(ROW()-22,COLUMN()-1,1,1,"Risk Register"))</f>
        <v/>
      </c>
      <c r="G73" s="56">
        <f>INDIRECT(ADDRESS(ROW()-22,COLUMN()+10,1,1,"Risk Register"))</f>
        <v/>
      </c>
      <c r="H73" s="60">
        <f>INDIRECT(ADDRESS(ROW()-22,COLUMN()+8,1,1,"Risk Register"))</f>
        <v/>
      </c>
      <c r="I73" s="54">
        <f>INDIRECT(ADDRESS(ROW()-22,COLUMN()+3,1,1,"Risk Register"))</f>
        <v/>
      </c>
      <c r="J73" s="143">
        <f>INDIRECT(ADDRESS(ROW()-22,COLUMN()+12,1,1,"Risk Register"))</f>
        <v/>
      </c>
      <c r="K73" s="143">
        <f>INDIRECT(ADDRESS(ROW()-22,COLUMN()-2,1,1,"Risk Register"))</f>
        <v/>
      </c>
      <c r="L73" s="176">
        <f>INDIRECT(ADDRESS(ROW()-22,COLUMN()+15,1,1,"Risk Register"))</f>
        <v/>
      </c>
      <c r="M73" s="54">
        <f>INDIRECT(ADDRESS(ROW()-22,COLUMN()+13,1,1,"Risk Register"))</f>
        <v/>
      </c>
      <c r="N73" s="143">
        <f>INDIRECT(ADDRESS(ROW()-22,COLUMN()-9,1,1,"Risk Register"))</f>
        <v/>
      </c>
      <c r="O73" s="143">
        <f>INDIRECT(ADDRESS(ROW()-22,COLUMN()-8,1,1,"Risk Register"))</f>
        <v/>
      </c>
      <c r="P73" s="56">
        <f>INDIRECT(ADDRESS(ROW()-22,COLUMN()+18,1,1,"Risk Register"))</f>
        <v/>
      </c>
      <c r="R73" s="57">
        <f>INDIRECT(ADDRESS(ROW()-22,COLUMN()-5,1,1,"Risk Register"))</f>
        <v/>
      </c>
      <c r="S73" s="58">
        <f>INDIRECT(ADDRESS(ROW()-22,COLUMN()-4,1,1,"Risk Register"))</f>
        <v/>
      </c>
      <c r="T73" s="59">
        <f>IF(AND($H73="threat",$G73&lt;=0.05),"gn",IF(AND($H73="threat",$G73&lt;=0.14),"y",IF(AND($H73="threat", $G73&gt;=0.15),"r",IF(AND($H73="opportunity",$G73&lt;=0.05),"gn",IF(AND($H73="opportunity",$G73&lt;=0.14),"lb",IF(AND($H73="opportunity",$G73&gt;=0.15),"db","z"))))))</f>
        <v/>
      </c>
      <c r="U73" s="58">
        <f>IF(AND($H73="threat",$S73=0.9,$R73=0.05),$D73 &amp; ";","")</f>
        <v/>
      </c>
      <c r="V73" s="58">
        <f>IF(AND($H73="threat",$S73=0.9,$R73=0.1),$D73 &amp; ";","")</f>
        <v/>
      </c>
      <c r="W73" s="58">
        <f>IF(AND($H73="threat",$S73=0.9,$R73=0.2),$D73 &amp; ";","")</f>
        <v/>
      </c>
      <c r="X73" s="58">
        <f>IF(AND($H73="threat",$S73=0.9,$R73=0.4),$D73 &amp; ";","")</f>
        <v/>
      </c>
      <c r="Y73" s="58">
        <f>IF(AND($H73="threat",$S73=0.9,$R73=0.8),$D73 &amp; ";","")</f>
        <v/>
      </c>
      <c r="Z73" s="58">
        <f>IF(AND($H73="threat",$S73=0.7,$R73=0.05),$D73 &amp; ";","")</f>
        <v/>
      </c>
      <c r="AA73" s="58">
        <f>IF(AND($H73="threat",$S73=0.7,$R73=0.1),$D73 &amp; ";","")</f>
        <v/>
      </c>
      <c r="AB73" s="58">
        <f>IF(AND($H73="threat",$S73=0.7,$R73=0.2),$D73 &amp; ";","")</f>
        <v/>
      </c>
      <c r="AC73" s="58">
        <f>IF(AND($H73="threat",$S73=0.7,$R73=0.4),$D73 &amp; ";","")</f>
        <v/>
      </c>
      <c r="AD73" s="58">
        <f>IF(AND($H73="threat",$S73=0.7,$R73=0.8),$D73 &amp; ";","")</f>
        <v/>
      </c>
      <c r="AE73" s="58">
        <f>IF(AND($H73="threat",$S73=0.5,$R73=0.05),$D73 &amp; ";","")</f>
        <v/>
      </c>
      <c r="AF73" s="58">
        <f>IF(AND($H73="threat",$S73=0.5,$R73=0.1),$D73 &amp; ";","")</f>
        <v/>
      </c>
      <c r="AG73" s="58">
        <f>IF(AND($H73="threat",$S73=0.5,$R73=0.2),$D73 &amp; ";","")</f>
        <v/>
      </c>
      <c r="AH73" s="58">
        <f>IF(AND($H73="threat",$S73=0.5,$R73=0.4),$D73 &amp; ";","")</f>
        <v/>
      </c>
      <c r="AI73" s="58">
        <f>IF(AND($H73="threat",$S73=0.5,$R73=0.8),$D73 &amp; ";","")</f>
        <v/>
      </c>
      <c r="AJ73" s="58">
        <f>IF(AND($H73="threat",$S73=0.3,$R73=0.05),$D73 &amp; ";","")</f>
        <v/>
      </c>
      <c r="AK73" s="58">
        <f>IF(AND($H73="threat",$S73=0.3,$R73=0.1),$D73 &amp; ";","")</f>
        <v/>
      </c>
      <c r="AL73" s="58">
        <f>IF(AND($H73="threat",$S73=0.3,$R73=0.2),$D73 &amp; ";","")</f>
        <v/>
      </c>
      <c r="AM73" s="58">
        <f>IF(AND($H73="threat",$S73=0.3,$R73=0.4),$D73 &amp; ";","")</f>
        <v/>
      </c>
      <c r="AN73" s="58">
        <f>IF(AND($H73="threat",$S73=0.3,$R73=0.8),$D73 &amp; ";","")</f>
        <v/>
      </c>
      <c r="AO73" s="58">
        <f>IF(AND($H73="threat",$S73=0.1,$R73=0.05),$D73 &amp; ";","")</f>
        <v/>
      </c>
      <c r="AP73" s="58">
        <f>IF(AND($H73="threat",$S73=0.1,$R73=0.1),$D73 &amp; ";","")</f>
        <v/>
      </c>
      <c r="AQ73" s="58">
        <f>IF(AND($H73="threat",$S73=0.1,$R73=0.2),$D73 &amp; ";","")</f>
        <v/>
      </c>
      <c r="AR73" s="58">
        <f>IF(AND($H73="threat",$S73=0.1,$R73=0.4),$D73 &amp; ";","")</f>
        <v/>
      </c>
      <c r="AS73" s="58">
        <f>IF(AND($H73="threat",$S73=0.1,$R73=0.8),$D73 &amp; ";","")</f>
        <v/>
      </c>
      <c r="AT73" s="39" t="n"/>
      <c r="AU73" s="58">
        <f>IF(AND($H73="opportunity",$S73=0.9,$R73=0.8),$D73 &amp; ";","")</f>
        <v/>
      </c>
      <c r="AV73" s="58">
        <f>IF(AND($H73="opportunity",$S73=0.9,$R73=0.4),$D73 &amp; ";","")</f>
        <v/>
      </c>
      <c r="AW73" s="58">
        <f>IF(AND($H73="opportunity",$S73=0.9,$R73=0.2),$D73 &amp; ";","")</f>
        <v/>
      </c>
      <c r="AX73" s="58">
        <f>IF(AND($H73="opportunity",$S73=0.9,$R73=0.1),$D73 &amp; ";","")</f>
        <v/>
      </c>
      <c r="AY73" s="58">
        <f>IF(AND($H73="opportunity",$S73=0.9,$R73=0.05),$D73 &amp; ";","")</f>
        <v/>
      </c>
      <c r="AZ73" s="58">
        <f>IF(AND($H73="opportunity",$S73=0.7,$R73=0.8),$D73 &amp; ";","")</f>
        <v/>
      </c>
      <c r="BA73" s="58">
        <f>IF(AND($H73="opportunity",$S73=0.7,$R73=0.4),$D73 &amp; ";","")</f>
        <v/>
      </c>
      <c r="BB73" s="58">
        <f>IF(AND($H73="opportunity",$S73=0.7,$R73=0.2),$D73 &amp; ";","")</f>
        <v/>
      </c>
      <c r="BC73" s="58">
        <f>IF(AND($H73="opportunity",$S73=0.7,$R73=0.1),$D73 &amp; ";","")</f>
        <v/>
      </c>
      <c r="BD73" s="58">
        <f>IF(AND($H73="opportunity",$S73=0.7,$R73=0.05),$D73 &amp; ";","")</f>
        <v/>
      </c>
      <c r="BE73" s="58">
        <f>IF(AND($H73="opportunity",$S73=0.5,$R73=0.8),$D73 &amp; ";","")</f>
        <v/>
      </c>
      <c r="BF73" s="58">
        <f>IF(AND($H73="opportunity",$S73=0.5,$R73=0.4),$D73 &amp; ";","")</f>
        <v/>
      </c>
      <c r="BG73" s="58">
        <f>IF(AND($H73="opportunity",$S73=0.5,$R73=0.2),$D73 &amp; ";","")</f>
        <v/>
      </c>
      <c r="BH73" s="58">
        <f>IF(AND($H73="opportunity",$S73=0.5,$R73=0.1),$D73 &amp; ";","")</f>
        <v/>
      </c>
      <c r="BI73" s="58">
        <f>IF(AND($H73="opportunity",$S73=0.5,$R73=0.05),$D73 &amp; ";","")</f>
        <v/>
      </c>
      <c r="BJ73" s="58">
        <f>IF(AND($H73="opportunity",$S73=0.3,$R73=0.8),$D73 &amp; ";","")</f>
        <v/>
      </c>
      <c r="BK73" s="58">
        <f>IF(AND($H73="opportunity",$S73=0.3,$R73=0.4),$D73 &amp; ";","")</f>
        <v/>
      </c>
      <c r="BL73" s="58">
        <f>IF(AND($H73="opportunity",$S73=0.3,$R73=0.2),$D73 &amp; ";","")</f>
        <v/>
      </c>
      <c r="BM73" s="58">
        <f>IF(AND($H73="opportunity",$S73=0.3,$R73=0.1),$D73 &amp; ";","")</f>
        <v/>
      </c>
      <c r="BN73" s="58">
        <f>IF(AND($H73="opportunity",$S73=0.3,$R73=0.05),$D73 &amp; ";","")</f>
        <v/>
      </c>
      <c r="BO73" s="58">
        <f>IF(AND($H73="opportunity",$S73=0.1,$R73=0.8),$D73 &amp; ";","")</f>
        <v/>
      </c>
      <c r="BP73" s="58">
        <f>IF(AND($H73="opportunity",$S73=0.1,$R73=0.4),$D73 &amp; ";","")</f>
        <v/>
      </c>
      <c r="BQ73" s="58">
        <f>IF(AND($H73="opportunity",$S73=0.1,$R73=0.2),$D73 &amp; ";","")</f>
        <v/>
      </c>
      <c r="BR73" s="58">
        <f>IF(AND($H73="opportunity",$S73=0.1,$R73=0.1),$D73 &amp; ";","")</f>
        <v/>
      </c>
      <c r="BS73" s="58">
        <f>IF(AND($H73="opportunity",$S73=0.1,$R73=0.05),$D73 &amp; ";","")</f>
        <v/>
      </c>
      <c r="BV73" s="57">
        <f>INDIRECT(ADDRESS(ROW()-22,COLUMN()-45,1,1,"Risk Register"))</f>
        <v/>
      </c>
      <c r="BW73" s="58">
        <f>INDIRECT(ADDRESS(ROW()-22,COLUMN()-44,1,1,"Risk Register"))</f>
        <v/>
      </c>
      <c r="BX73" s="59">
        <f>IF(AND($H73="threat",$P73&lt;=0.05),"gn",IF(AND($H73="threat",$P73&lt;=0.14),"y",IF(AND($H73="threat", $P73&gt;=0.15),"r",IF(AND($H73="opportunity",$P73&lt;=0.05),"gn",IF(AND($H73="opportunity",$P73&lt;=0.14),"lb",IF(AND($H73="opportunity",$P73&gt;=0.15),"db","z"))))))</f>
        <v/>
      </c>
      <c r="BY73" s="58">
        <f>IF(AND($H73="threat",$BW73=0.9,$BV73=0.05),$D73 &amp; ";","")</f>
        <v/>
      </c>
      <c r="BZ73" s="58">
        <f>IF(AND($H73="threat",$BW73=0.9,$BV73=0.1),$D73 &amp; ";","")</f>
        <v/>
      </c>
      <c r="CA73" s="58">
        <f>IF(AND($H73="threat",$BW73=0.9,$BV73=0.2),$D73 &amp; ";","")</f>
        <v/>
      </c>
      <c r="CB73" s="58">
        <f>IF(AND($H73="threat",$BW73=0.9,$BV73=0.4),$D73 &amp; ";","")</f>
        <v/>
      </c>
      <c r="CC73" s="58">
        <f>IF(AND($H73="threat",$BW73=0.9,$BV73=0.8),$D73 &amp; ";","")</f>
        <v/>
      </c>
      <c r="CD73" s="58">
        <f>IF(AND($H73="threat",$BW73=0.7,$BV73=0.05),$D73 &amp; ";","")</f>
        <v/>
      </c>
      <c r="CE73" s="58">
        <f>IF(AND($H73="threat",$BW73=0.7,$BV73=0.1),$D73 &amp; ";","")</f>
        <v/>
      </c>
      <c r="CF73" s="58">
        <f>IF(AND($H73="threat",$BW73=0.7,$BV73=0.2),$D73 &amp; ";","")</f>
        <v/>
      </c>
      <c r="CG73" s="58">
        <f>IF(AND($H73="threat",$BW73=0.7,$BV73=0.4),$D73 &amp; ";","")</f>
        <v/>
      </c>
      <c r="CH73" s="58">
        <f>IF(AND($H73="threat",$BW73=0.7,$BV73=0.8),$D73 &amp; ";","")</f>
        <v/>
      </c>
      <c r="CI73" s="58">
        <f>IF(AND($H73="threat",$BW73=0.5,$BV73=0.05),$D73 &amp; ";","")</f>
        <v/>
      </c>
      <c r="CJ73" s="58">
        <f>IF(AND($H73="threat",$BW73=0.5,$BV73=0.1),$D73 &amp; ";","")</f>
        <v/>
      </c>
      <c r="CK73" s="58">
        <f>IF(AND($H73="threat",$BW73=0.5,$BV73=0.2),$D73 &amp; ";","")</f>
        <v/>
      </c>
      <c r="CL73" s="58">
        <f>IF(AND($H73="threat",$BW73=0.5,$BV73=0.4),$D73 &amp; ";","")</f>
        <v/>
      </c>
      <c r="CM73" s="58">
        <f>IF(AND($H73="threat",$BW73=0.5,$BV73=0.8),$D73 &amp; ";","")</f>
        <v/>
      </c>
      <c r="CN73" s="58">
        <f>IF(AND($H73="threat",$BW73=0.3,$BV73=0.05),$D73 &amp; ";","")</f>
        <v/>
      </c>
      <c r="CO73" s="58">
        <f>IF(AND($H73="threat",$BW73=0.3,$BV73=0.1),$D73 &amp; ";","")</f>
        <v/>
      </c>
      <c r="CP73" s="58">
        <f>IF(AND($H73="threat",$BW73=0.3,$BV73=0.2),$D73 &amp; ";","")</f>
        <v/>
      </c>
      <c r="CQ73" s="58">
        <f>IF(AND($H73="threat",$BW73=0.3,$BV73=0.4),$D73 &amp; ";","")</f>
        <v/>
      </c>
      <c r="CR73" s="58">
        <f>IF(AND($H73="threat",$BW73=0.3,$BV73=0.8),$D73 &amp; ";","")</f>
        <v/>
      </c>
      <c r="CS73" s="58">
        <f>IF(AND($H73="threat",$BW73=0.1,$BV73=0.05),$D73 &amp; ";","")</f>
        <v/>
      </c>
      <c r="CT73" s="58">
        <f>IF(AND($H73="threat",$BW73=0.1,$BV73=0.1),$D73 &amp; ";","")</f>
        <v/>
      </c>
      <c r="CU73" s="58">
        <f>IF(AND($H73="threat",$BW73=0.1,$BV73=0.2),$D73 &amp; ";","")</f>
        <v/>
      </c>
      <c r="CV73" s="58">
        <f>IF(AND($H73="threat",$BW73=0.1,$BV73=0.4),$D73 &amp; ";","")</f>
        <v/>
      </c>
      <c r="CW73" s="58">
        <f>IF(AND($H73="threat",$BW73=0.1,$BV73=0.8),$D73 &amp; ";","")</f>
        <v/>
      </c>
      <c r="CX73" s="39" t="n"/>
      <c r="CY73" s="58">
        <f>IF(AND($H73="opportunity",$BW73=0.9,$BV73=0.8),$D73 &amp; ";","")</f>
        <v/>
      </c>
      <c r="CZ73" s="58">
        <f>IF(AND($H73="opportunity",$BW73=0.9,$BV73=0.4),$D73 &amp; ";","")</f>
        <v/>
      </c>
      <c r="DA73" s="58">
        <f>IF(AND($H73="opportunity",$BW73=0.9,$BV73=0.2),$D73 &amp; ";","")</f>
        <v/>
      </c>
      <c r="DB73" s="58">
        <f>IF(AND($H73="opportunity",$BW73=0.9,$BV73=0.1),$D73 &amp; ";","")</f>
        <v/>
      </c>
      <c r="DC73" s="58">
        <f>IF(AND($H73="opportunity",$BW73=0.9,$BV73=0.05),$D73 &amp; ";","")</f>
        <v/>
      </c>
      <c r="DD73" s="58">
        <f>IF(AND($H73="opportunity",$BW73=0.7,$BV73=0.8),$D73 &amp; ";","")</f>
        <v/>
      </c>
      <c r="DE73" s="58">
        <f>IF(AND($H73="opportunity",$BW73=0.7,$BV73=0.4),$D73 &amp; ";","")</f>
        <v/>
      </c>
      <c r="DF73" s="58">
        <f>IF(AND($H73="opportunity",$BW73=0.7,$BV73=0.2),$D73 &amp; ";","")</f>
        <v/>
      </c>
      <c r="DG73" s="58">
        <f>IF(AND($H73="opportunity",$BW73=0.7,$BV73=0.1),$D73 &amp; ";","")</f>
        <v/>
      </c>
      <c r="DH73" s="58">
        <f>IF(AND($H73="opportunity",$BW73=0.7,$BV73=0.05),$D73 &amp; ";","")</f>
        <v/>
      </c>
      <c r="DI73" s="58">
        <f>IF(AND($H73="opportunity",$BW73=0.5,$BV73=0.8),$D73 &amp; ";","")</f>
        <v/>
      </c>
      <c r="DJ73" s="58">
        <f>IF(AND($H73="opportunity",$BW73=0.5,$BV73=0.4),$D73 &amp; ";","")</f>
        <v/>
      </c>
      <c r="DK73" s="58">
        <f>IF(AND($H73="opportunity",$BW73=0.5,$BV73=0.2),$D73 &amp; ";","")</f>
        <v/>
      </c>
      <c r="DL73" s="58">
        <f>IF(AND($H73="opportunity",$BW73=0.5,$BV73=0.1),$D73 &amp; ";","")</f>
        <v/>
      </c>
      <c r="DM73" s="58">
        <f>IF(AND($H73="opportunity",$BW73=0.5,$BV73=0.05),$D73 &amp; ";","")</f>
        <v/>
      </c>
      <c r="DN73" s="58">
        <f>IF(AND($H73="opportunity",$BW73=0.3,$BV73=0.8),$D73 &amp; ";","")</f>
        <v/>
      </c>
      <c r="DO73" s="58">
        <f>IF(AND($H73="opportunity",$BW73=0.3,$BV73=0.4),$D73 &amp; ";","")</f>
        <v/>
      </c>
      <c r="DP73" s="58">
        <f>IF(AND($H73="opportunity",$BW73=0.3,$BV73=0.2),$D73 &amp; ";","")</f>
        <v/>
      </c>
      <c r="DQ73" s="58">
        <f>IF(AND($H73="opportunity",$BW73=0.3,$BV73=0.1),$D73 &amp; ";","")</f>
        <v/>
      </c>
      <c r="DR73" s="58">
        <f>IF(AND($H73="opportunity",$BW73=0.3,$BV73=0.05),$D73 &amp; ";","")</f>
        <v/>
      </c>
      <c r="DS73" s="58">
        <f>IF(AND($H73="opportunity",$BW73=0.1,$BV73=0.8),$D73 &amp; ";","")</f>
        <v/>
      </c>
      <c r="DT73" s="58">
        <f>IF(AND($H73="opportunity",$BW73=0.1,$BV73=0.4),$D73 &amp; ";","")</f>
        <v/>
      </c>
      <c r="DU73" s="58">
        <f>IF(AND($H73="opportunity",$BW73=0.1,$BV73=0.2),$D73 &amp; ";","")</f>
        <v/>
      </c>
      <c r="DV73" s="58">
        <f>IF(AND($H73="opportunity",$BW73=0.1,$BV73=0.1),$D73 &amp; ";","")</f>
        <v/>
      </c>
      <c r="DW73" s="58">
        <f>IF(AND($H73="opportunity",$BW73=0.1,$BV73=0.05),$D73 &amp; ";","")</f>
        <v/>
      </c>
    </row>
    <row r="74">
      <c r="D74" s="60">
        <f>INDIRECT(ADDRESS(ROW()-22,COLUMN()-2,1,1,"Risk Register"))</f>
        <v/>
      </c>
      <c r="E74" s="143">
        <f>INDIRECT(ADDRESS(ROW()-22,COLUMN()-1,1,1,"Risk Register"))</f>
        <v/>
      </c>
      <c r="G74" s="56">
        <f>INDIRECT(ADDRESS(ROW()-22,COLUMN()+10,1,1,"Risk Register"))</f>
        <v/>
      </c>
      <c r="H74" s="60">
        <f>INDIRECT(ADDRESS(ROW()-22,COLUMN()+8,1,1,"Risk Register"))</f>
        <v/>
      </c>
      <c r="I74" s="54">
        <f>INDIRECT(ADDRESS(ROW()-22,COLUMN()+3,1,1,"Risk Register"))</f>
        <v/>
      </c>
      <c r="J74" s="143">
        <f>INDIRECT(ADDRESS(ROW()-22,COLUMN()+12,1,1,"Risk Register"))</f>
        <v/>
      </c>
      <c r="K74" s="143">
        <f>INDIRECT(ADDRESS(ROW()-22,COLUMN()-2,1,1,"Risk Register"))</f>
        <v/>
      </c>
      <c r="L74" s="176">
        <f>INDIRECT(ADDRESS(ROW()-22,COLUMN()+15,1,1,"Risk Register"))</f>
        <v/>
      </c>
      <c r="M74" s="54">
        <f>INDIRECT(ADDRESS(ROW()-22,COLUMN()+13,1,1,"Risk Register"))</f>
        <v/>
      </c>
      <c r="N74" s="143">
        <f>INDIRECT(ADDRESS(ROW()-22,COLUMN()-9,1,1,"Risk Register"))</f>
        <v/>
      </c>
      <c r="O74" s="143">
        <f>INDIRECT(ADDRESS(ROW()-22,COLUMN()-8,1,1,"Risk Register"))</f>
        <v/>
      </c>
      <c r="P74" s="56">
        <f>INDIRECT(ADDRESS(ROW()-22,COLUMN()+18,1,1,"Risk Register"))</f>
        <v/>
      </c>
      <c r="R74" s="57">
        <f>INDIRECT(ADDRESS(ROW()-22,COLUMN()-5,1,1,"Risk Register"))</f>
        <v/>
      </c>
      <c r="S74" s="58">
        <f>INDIRECT(ADDRESS(ROW()-22,COLUMN()-4,1,1,"Risk Register"))</f>
        <v/>
      </c>
      <c r="T74" s="59">
        <f>IF(AND($H74="threat",$G74&lt;=0.05),"gn",IF(AND($H74="threat",$G74&lt;=0.14),"y",IF(AND($H74="threat", $G74&gt;=0.15),"r",IF(AND($H74="opportunity",$G74&lt;=0.05),"gn",IF(AND($H74="opportunity",$G74&lt;=0.14),"lb",IF(AND($H74="opportunity",$G74&gt;=0.15),"db","z"))))))</f>
        <v/>
      </c>
      <c r="U74" s="58">
        <f>IF(AND($H74="threat",$S74=0.9,$R74=0.05),$D74 &amp; ";","")</f>
        <v/>
      </c>
      <c r="V74" s="58">
        <f>IF(AND($H74="threat",$S74=0.9,$R74=0.1),$D74 &amp; ";","")</f>
        <v/>
      </c>
      <c r="W74" s="58">
        <f>IF(AND($H74="threat",$S74=0.9,$R74=0.2),$D74 &amp; ";","")</f>
        <v/>
      </c>
      <c r="X74" s="58">
        <f>IF(AND($H74="threat",$S74=0.9,$R74=0.4),$D74 &amp; ";","")</f>
        <v/>
      </c>
      <c r="Y74" s="58">
        <f>IF(AND($H74="threat",$S74=0.9,$R74=0.8),$D74 &amp; ";","")</f>
        <v/>
      </c>
      <c r="Z74" s="58">
        <f>IF(AND($H74="threat",$S74=0.7,$R74=0.05),$D74 &amp; ";","")</f>
        <v/>
      </c>
      <c r="AA74" s="58">
        <f>IF(AND($H74="threat",$S74=0.7,$R74=0.1),$D74 &amp; ";","")</f>
        <v/>
      </c>
      <c r="AB74" s="58">
        <f>IF(AND($H74="threat",$S74=0.7,$R74=0.2),$D74 &amp; ";","")</f>
        <v/>
      </c>
      <c r="AC74" s="58">
        <f>IF(AND($H74="threat",$S74=0.7,$R74=0.4),$D74 &amp; ";","")</f>
        <v/>
      </c>
      <c r="AD74" s="58">
        <f>IF(AND($H74="threat",$S74=0.7,$R74=0.8),$D74 &amp; ";","")</f>
        <v/>
      </c>
      <c r="AE74" s="58">
        <f>IF(AND($H74="threat",$S74=0.5,$R74=0.05),$D74 &amp; ";","")</f>
        <v/>
      </c>
      <c r="AF74" s="58">
        <f>IF(AND($H74="threat",$S74=0.5,$R74=0.1),$D74 &amp; ";","")</f>
        <v/>
      </c>
      <c r="AG74" s="58">
        <f>IF(AND($H74="threat",$S74=0.5,$R74=0.2),$D74 &amp; ";","")</f>
        <v/>
      </c>
      <c r="AH74" s="58">
        <f>IF(AND($H74="threat",$S74=0.5,$R74=0.4),$D74 &amp; ";","")</f>
        <v/>
      </c>
      <c r="AI74" s="58">
        <f>IF(AND($H74="threat",$S74=0.5,$R74=0.8),$D74 &amp; ";","")</f>
        <v/>
      </c>
      <c r="AJ74" s="58">
        <f>IF(AND($H74="threat",$S74=0.3,$R74=0.05),$D74 &amp; ";","")</f>
        <v/>
      </c>
      <c r="AK74" s="58">
        <f>IF(AND($H74="threat",$S74=0.3,$R74=0.1),$D74 &amp; ";","")</f>
        <v/>
      </c>
      <c r="AL74" s="58">
        <f>IF(AND($H74="threat",$S74=0.3,$R74=0.2),$D74 &amp; ";","")</f>
        <v/>
      </c>
      <c r="AM74" s="58">
        <f>IF(AND($H74="threat",$S74=0.3,$R74=0.4),$D74 &amp; ";","")</f>
        <v/>
      </c>
      <c r="AN74" s="58">
        <f>IF(AND($H74="threat",$S74=0.3,$R74=0.8),$D74 &amp; ";","")</f>
        <v/>
      </c>
      <c r="AO74" s="58">
        <f>IF(AND($H74="threat",$S74=0.1,$R74=0.05),$D74 &amp; ";","")</f>
        <v/>
      </c>
      <c r="AP74" s="58">
        <f>IF(AND($H74="threat",$S74=0.1,$R74=0.1),$D74 &amp; ";","")</f>
        <v/>
      </c>
      <c r="AQ74" s="58">
        <f>IF(AND($H74="threat",$S74=0.1,$R74=0.2),$D74 &amp; ";","")</f>
        <v/>
      </c>
      <c r="AR74" s="58">
        <f>IF(AND($H74="threat",$S74=0.1,$R74=0.4),$D74 &amp; ";","")</f>
        <v/>
      </c>
      <c r="AS74" s="58">
        <f>IF(AND($H74="threat",$S74=0.1,$R74=0.8),$D74 &amp; ";","")</f>
        <v/>
      </c>
      <c r="AT74" s="39" t="n"/>
      <c r="AU74" s="58">
        <f>IF(AND($H74="opportunity",$S74=0.9,$R74=0.8),$D74 &amp; ";","")</f>
        <v/>
      </c>
      <c r="AV74" s="58">
        <f>IF(AND($H74="opportunity",$S74=0.9,$R74=0.4),$D74 &amp; ";","")</f>
        <v/>
      </c>
      <c r="AW74" s="58">
        <f>IF(AND($H74="opportunity",$S74=0.9,$R74=0.2),$D74 &amp; ";","")</f>
        <v/>
      </c>
      <c r="AX74" s="58">
        <f>IF(AND($H74="opportunity",$S74=0.9,$R74=0.1),$D74 &amp; ";","")</f>
        <v/>
      </c>
      <c r="AY74" s="58">
        <f>IF(AND($H74="opportunity",$S74=0.9,$R74=0.05),$D74 &amp; ";","")</f>
        <v/>
      </c>
      <c r="AZ74" s="58">
        <f>IF(AND($H74="opportunity",$S74=0.7,$R74=0.8),$D74 &amp; ";","")</f>
        <v/>
      </c>
      <c r="BA74" s="58">
        <f>IF(AND($H74="opportunity",$S74=0.7,$R74=0.4),$D74 &amp; ";","")</f>
        <v/>
      </c>
      <c r="BB74" s="58">
        <f>IF(AND($H74="opportunity",$S74=0.7,$R74=0.2),$D74 &amp; ";","")</f>
        <v/>
      </c>
      <c r="BC74" s="58">
        <f>IF(AND($H74="opportunity",$S74=0.7,$R74=0.1),$D74 &amp; ";","")</f>
        <v/>
      </c>
      <c r="BD74" s="58">
        <f>IF(AND($H74="opportunity",$S74=0.7,$R74=0.05),$D74 &amp; ";","")</f>
        <v/>
      </c>
      <c r="BE74" s="58">
        <f>IF(AND($H74="opportunity",$S74=0.5,$R74=0.8),$D74 &amp; ";","")</f>
        <v/>
      </c>
      <c r="BF74" s="58">
        <f>IF(AND($H74="opportunity",$S74=0.5,$R74=0.4),$D74 &amp; ";","")</f>
        <v/>
      </c>
      <c r="BG74" s="58">
        <f>IF(AND($H74="opportunity",$S74=0.5,$R74=0.2),$D74 &amp; ";","")</f>
        <v/>
      </c>
      <c r="BH74" s="58">
        <f>IF(AND($H74="opportunity",$S74=0.5,$R74=0.1),$D74 &amp; ";","")</f>
        <v/>
      </c>
      <c r="BI74" s="58">
        <f>IF(AND($H74="opportunity",$S74=0.5,$R74=0.05),$D74 &amp; ";","")</f>
        <v/>
      </c>
      <c r="BJ74" s="58">
        <f>IF(AND($H74="opportunity",$S74=0.3,$R74=0.8),$D74 &amp; ";","")</f>
        <v/>
      </c>
      <c r="BK74" s="58">
        <f>IF(AND($H74="opportunity",$S74=0.3,$R74=0.4),$D74 &amp; ";","")</f>
        <v/>
      </c>
      <c r="BL74" s="58">
        <f>IF(AND($H74="opportunity",$S74=0.3,$R74=0.2),$D74 &amp; ";","")</f>
        <v/>
      </c>
      <c r="BM74" s="58">
        <f>IF(AND($H74="opportunity",$S74=0.3,$R74=0.1),$D74 &amp; ";","")</f>
        <v/>
      </c>
      <c r="BN74" s="58">
        <f>IF(AND($H74="opportunity",$S74=0.3,$R74=0.05),$D74 &amp; ";","")</f>
        <v/>
      </c>
      <c r="BO74" s="58">
        <f>IF(AND($H74="opportunity",$S74=0.1,$R74=0.8),$D74 &amp; ";","")</f>
        <v/>
      </c>
      <c r="BP74" s="58">
        <f>IF(AND($H74="opportunity",$S74=0.1,$R74=0.4),$D74 &amp; ";","")</f>
        <v/>
      </c>
      <c r="BQ74" s="58">
        <f>IF(AND($H74="opportunity",$S74=0.1,$R74=0.2),$D74 &amp; ";","")</f>
        <v/>
      </c>
      <c r="BR74" s="58">
        <f>IF(AND($H74="opportunity",$S74=0.1,$R74=0.1),$D74 &amp; ";","")</f>
        <v/>
      </c>
      <c r="BS74" s="58">
        <f>IF(AND($H74="opportunity",$S74=0.1,$R74=0.05),$D74 &amp; ";","")</f>
        <v/>
      </c>
      <c r="BV74" s="57">
        <f>INDIRECT(ADDRESS(ROW()-22,COLUMN()-45,1,1,"Risk Register"))</f>
        <v/>
      </c>
      <c r="BW74" s="58">
        <f>INDIRECT(ADDRESS(ROW()-22,COLUMN()-44,1,1,"Risk Register"))</f>
        <v/>
      </c>
      <c r="BX74" s="59">
        <f>IF(AND($H74="threat",$P74&lt;=0.05),"gn",IF(AND($H74="threat",$P74&lt;=0.14),"y",IF(AND($H74="threat", $P74&gt;=0.15),"r",IF(AND($H74="opportunity",$P74&lt;=0.05),"gn",IF(AND($H74="opportunity",$P74&lt;=0.14),"lb",IF(AND($H74="opportunity",$P74&gt;=0.15),"db","z"))))))</f>
        <v/>
      </c>
      <c r="BY74" s="58">
        <f>IF(AND($H74="threat",$BW74=0.9,$BV74=0.05),$D74 &amp; ";","")</f>
        <v/>
      </c>
      <c r="BZ74" s="58">
        <f>IF(AND($H74="threat",$BW74=0.9,$BV74=0.1),$D74 &amp; ";","")</f>
        <v/>
      </c>
      <c r="CA74" s="58">
        <f>IF(AND($H74="threat",$BW74=0.9,$BV74=0.2),$D74 &amp; ";","")</f>
        <v/>
      </c>
      <c r="CB74" s="58">
        <f>IF(AND($H74="threat",$BW74=0.9,$BV74=0.4),$D74 &amp; ";","")</f>
        <v/>
      </c>
      <c r="CC74" s="58">
        <f>IF(AND($H74="threat",$BW74=0.9,$BV74=0.8),$D74 &amp; ";","")</f>
        <v/>
      </c>
      <c r="CD74" s="58">
        <f>IF(AND($H74="threat",$BW74=0.7,$BV74=0.05),$D74 &amp; ";","")</f>
        <v/>
      </c>
      <c r="CE74" s="58">
        <f>IF(AND($H74="threat",$BW74=0.7,$BV74=0.1),$D74 &amp; ";","")</f>
        <v/>
      </c>
      <c r="CF74" s="58">
        <f>IF(AND($H74="threat",$BW74=0.7,$BV74=0.2),$D74 &amp; ";","")</f>
        <v/>
      </c>
      <c r="CG74" s="58">
        <f>IF(AND($H74="threat",$BW74=0.7,$BV74=0.4),$D74 &amp; ";","")</f>
        <v/>
      </c>
      <c r="CH74" s="58">
        <f>IF(AND($H74="threat",$BW74=0.7,$BV74=0.8),$D74 &amp; ";","")</f>
        <v/>
      </c>
      <c r="CI74" s="58">
        <f>IF(AND($H74="threat",$BW74=0.5,$BV74=0.05),$D74 &amp; ";","")</f>
        <v/>
      </c>
      <c r="CJ74" s="58">
        <f>IF(AND($H74="threat",$BW74=0.5,$BV74=0.1),$D74 &amp; ";","")</f>
        <v/>
      </c>
      <c r="CK74" s="58">
        <f>IF(AND($H74="threat",$BW74=0.5,$BV74=0.2),$D74 &amp; ";","")</f>
        <v/>
      </c>
      <c r="CL74" s="58">
        <f>IF(AND($H74="threat",$BW74=0.5,$BV74=0.4),$D74 &amp; ";","")</f>
        <v/>
      </c>
      <c r="CM74" s="58">
        <f>IF(AND($H74="threat",$BW74=0.5,$BV74=0.8),$D74 &amp; ";","")</f>
        <v/>
      </c>
      <c r="CN74" s="58">
        <f>IF(AND($H74="threat",$BW74=0.3,$BV74=0.05),$D74 &amp; ";","")</f>
        <v/>
      </c>
      <c r="CO74" s="58">
        <f>IF(AND($H74="threat",$BW74=0.3,$BV74=0.1),$D74 &amp; ";","")</f>
        <v/>
      </c>
      <c r="CP74" s="58">
        <f>IF(AND($H74="threat",$BW74=0.3,$BV74=0.2),$D74 &amp; ";","")</f>
        <v/>
      </c>
      <c r="CQ74" s="58">
        <f>IF(AND($H74="threat",$BW74=0.3,$BV74=0.4),$D74 &amp; ";","")</f>
        <v/>
      </c>
      <c r="CR74" s="58">
        <f>IF(AND($H74="threat",$BW74=0.3,$BV74=0.8),$D74 &amp; ";","")</f>
        <v/>
      </c>
      <c r="CS74" s="58">
        <f>IF(AND($H74="threat",$BW74=0.1,$BV74=0.05),$D74 &amp; ";","")</f>
        <v/>
      </c>
      <c r="CT74" s="58">
        <f>IF(AND($H74="threat",$BW74=0.1,$BV74=0.1),$D74 &amp; ";","")</f>
        <v/>
      </c>
      <c r="CU74" s="58">
        <f>IF(AND($H74="threat",$BW74=0.1,$BV74=0.2),$D74 &amp; ";","")</f>
        <v/>
      </c>
      <c r="CV74" s="58">
        <f>IF(AND($H74="threat",$BW74=0.1,$BV74=0.4),$D74 &amp; ";","")</f>
        <v/>
      </c>
      <c r="CW74" s="58">
        <f>IF(AND($H74="threat",$BW74=0.1,$BV74=0.8),$D74 &amp; ";","")</f>
        <v/>
      </c>
      <c r="CX74" s="39" t="n"/>
      <c r="CY74" s="58">
        <f>IF(AND($H74="opportunity",$BW74=0.9,$BV74=0.8),$D74 &amp; ";","")</f>
        <v/>
      </c>
      <c r="CZ74" s="58">
        <f>IF(AND($H74="opportunity",$BW74=0.9,$BV74=0.4),$D74 &amp; ";","")</f>
        <v/>
      </c>
      <c r="DA74" s="58">
        <f>IF(AND($H74="opportunity",$BW74=0.9,$BV74=0.2),$D74 &amp; ";","")</f>
        <v/>
      </c>
      <c r="DB74" s="58">
        <f>IF(AND($H74="opportunity",$BW74=0.9,$BV74=0.1),$D74 &amp; ";","")</f>
        <v/>
      </c>
      <c r="DC74" s="58">
        <f>IF(AND($H74="opportunity",$BW74=0.9,$BV74=0.05),$D74 &amp; ";","")</f>
        <v/>
      </c>
      <c r="DD74" s="58">
        <f>IF(AND($H74="opportunity",$BW74=0.7,$BV74=0.8),$D74 &amp; ";","")</f>
        <v/>
      </c>
      <c r="DE74" s="58">
        <f>IF(AND($H74="opportunity",$BW74=0.7,$BV74=0.4),$D74 &amp; ";","")</f>
        <v/>
      </c>
      <c r="DF74" s="58">
        <f>IF(AND($H74="opportunity",$BW74=0.7,$BV74=0.2),$D74 &amp; ";","")</f>
        <v/>
      </c>
      <c r="DG74" s="58">
        <f>IF(AND($H74="opportunity",$BW74=0.7,$BV74=0.1),$D74 &amp; ";","")</f>
        <v/>
      </c>
      <c r="DH74" s="58">
        <f>IF(AND($H74="opportunity",$BW74=0.7,$BV74=0.05),$D74 &amp; ";","")</f>
        <v/>
      </c>
      <c r="DI74" s="58">
        <f>IF(AND($H74="opportunity",$BW74=0.5,$BV74=0.8),$D74 &amp; ";","")</f>
        <v/>
      </c>
      <c r="DJ74" s="58">
        <f>IF(AND($H74="opportunity",$BW74=0.5,$BV74=0.4),$D74 &amp; ";","")</f>
        <v/>
      </c>
      <c r="DK74" s="58">
        <f>IF(AND($H74="opportunity",$BW74=0.5,$BV74=0.2),$D74 &amp; ";","")</f>
        <v/>
      </c>
      <c r="DL74" s="58">
        <f>IF(AND($H74="opportunity",$BW74=0.5,$BV74=0.1),$D74 &amp; ";","")</f>
        <v/>
      </c>
      <c r="DM74" s="58">
        <f>IF(AND($H74="opportunity",$BW74=0.5,$BV74=0.05),$D74 &amp; ";","")</f>
        <v/>
      </c>
      <c r="DN74" s="58">
        <f>IF(AND($H74="opportunity",$BW74=0.3,$BV74=0.8),$D74 &amp; ";","")</f>
        <v/>
      </c>
      <c r="DO74" s="58">
        <f>IF(AND($H74="opportunity",$BW74=0.3,$BV74=0.4),$D74 &amp; ";","")</f>
        <v/>
      </c>
      <c r="DP74" s="58">
        <f>IF(AND($H74="opportunity",$BW74=0.3,$BV74=0.2),$D74 &amp; ";","")</f>
        <v/>
      </c>
      <c r="DQ74" s="58">
        <f>IF(AND($H74="opportunity",$BW74=0.3,$BV74=0.1),$D74 &amp; ";","")</f>
        <v/>
      </c>
      <c r="DR74" s="58">
        <f>IF(AND($H74="opportunity",$BW74=0.3,$BV74=0.05),$D74 &amp; ";","")</f>
        <v/>
      </c>
      <c r="DS74" s="58">
        <f>IF(AND($H74="opportunity",$BW74=0.1,$BV74=0.8),$D74 &amp; ";","")</f>
        <v/>
      </c>
      <c r="DT74" s="58">
        <f>IF(AND($H74="opportunity",$BW74=0.1,$BV74=0.4),$D74 &amp; ";","")</f>
        <v/>
      </c>
      <c r="DU74" s="58">
        <f>IF(AND($H74="opportunity",$BW74=0.1,$BV74=0.2),$D74 &amp; ";","")</f>
        <v/>
      </c>
      <c r="DV74" s="58">
        <f>IF(AND($H74="opportunity",$BW74=0.1,$BV74=0.1),$D74 &amp; ";","")</f>
        <v/>
      </c>
      <c r="DW74" s="58">
        <f>IF(AND($H74="opportunity",$BW74=0.1,$BV74=0.05),$D74 &amp; ";","")</f>
        <v/>
      </c>
    </row>
    <row r="75">
      <c r="D75" s="60">
        <f>INDIRECT(ADDRESS(ROW()-22,COLUMN()-2,1,1,"Risk Register"))</f>
        <v/>
      </c>
      <c r="E75" s="143">
        <f>INDIRECT(ADDRESS(ROW()-22,COLUMN()-1,1,1,"Risk Register"))</f>
        <v/>
      </c>
      <c r="G75" s="56">
        <f>INDIRECT(ADDRESS(ROW()-22,COLUMN()+10,1,1,"Risk Register"))</f>
        <v/>
      </c>
      <c r="H75" s="60">
        <f>INDIRECT(ADDRESS(ROW()-22,COLUMN()+8,1,1,"Risk Register"))</f>
        <v/>
      </c>
      <c r="I75" s="54">
        <f>INDIRECT(ADDRESS(ROW()-22,COLUMN()+3,1,1,"Risk Register"))</f>
        <v/>
      </c>
      <c r="J75" s="143">
        <f>INDIRECT(ADDRESS(ROW()-22,COLUMN()+12,1,1,"Risk Register"))</f>
        <v/>
      </c>
      <c r="K75" s="143">
        <f>INDIRECT(ADDRESS(ROW()-22,COLUMN()-2,1,1,"Risk Register"))</f>
        <v/>
      </c>
      <c r="L75" s="176">
        <f>INDIRECT(ADDRESS(ROW()-22,COLUMN()+15,1,1,"Risk Register"))</f>
        <v/>
      </c>
      <c r="M75" s="54">
        <f>INDIRECT(ADDRESS(ROW()-22,COLUMN()+13,1,1,"Risk Register"))</f>
        <v/>
      </c>
      <c r="N75" s="143">
        <f>INDIRECT(ADDRESS(ROW()-22,COLUMN()-9,1,1,"Risk Register"))</f>
        <v/>
      </c>
      <c r="O75" s="143">
        <f>INDIRECT(ADDRESS(ROW()-22,COLUMN()-8,1,1,"Risk Register"))</f>
        <v/>
      </c>
      <c r="P75" s="56">
        <f>INDIRECT(ADDRESS(ROW()-22,COLUMN()+18,1,1,"Risk Register"))</f>
        <v/>
      </c>
      <c r="R75" s="57">
        <f>INDIRECT(ADDRESS(ROW()-22,COLUMN()-5,1,1,"Risk Register"))</f>
        <v/>
      </c>
      <c r="S75" s="58">
        <f>INDIRECT(ADDRESS(ROW()-22,COLUMN()-4,1,1,"Risk Register"))</f>
        <v/>
      </c>
      <c r="T75" s="59">
        <f>IF(AND($H75="threat",$G75&lt;=0.05),"gn",IF(AND($H75="threat",$G75&lt;=0.14),"y",IF(AND($H75="threat", $G75&gt;=0.15),"r",IF(AND($H75="opportunity",$G75&lt;=0.05),"gn",IF(AND($H75="opportunity",$G75&lt;=0.14),"lb",IF(AND($H75="opportunity",$G75&gt;=0.15),"db","z"))))))</f>
        <v/>
      </c>
      <c r="U75" s="58">
        <f>IF(AND($H75="threat",$S75=0.9,$R75=0.05),$D75 &amp; ";","")</f>
        <v/>
      </c>
      <c r="V75" s="58">
        <f>IF(AND($H75="threat",$S75=0.9,$R75=0.1),$D75 &amp; ";","")</f>
        <v/>
      </c>
      <c r="W75" s="58">
        <f>IF(AND($H75="threat",$S75=0.9,$R75=0.2),$D75 &amp; ";","")</f>
        <v/>
      </c>
      <c r="X75" s="58">
        <f>IF(AND($H75="threat",$S75=0.9,$R75=0.4),$D75 &amp; ";","")</f>
        <v/>
      </c>
      <c r="Y75" s="58">
        <f>IF(AND($H75="threat",$S75=0.9,$R75=0.8),$D75 &amp; ";","")</f>
        <v/>
      </c>
      <c r="Z75" s="58">
        <f>IF(AND($H75="threat",$S75=0.7,$R75=0.05),$D75 &amp; ";","")</f>
        <v/>
      </c>
      <c r="AA75" s="58">
        <f>IF(AND($H75="threat",$S75=0.7,$R75=0.1),$D75 &amp; ";","")</f>
        <v/>
      </c>
      <c r="AB75" s="58">
        <f>IF(AND($H75="threat",$S75=0.7,$R75=0.2),$D75 &amp; ";","")</f>
        <v/>
      </c>
      <c r="AC75" s="58">
        <f>IF(AND($H75="threat",$S75=0.7,$R75=0.4),$D75 &amp; ";","")</f>
        <v/>
      </c>
      <c r="AD75" s="58">
        <f>IF(AND($H75="threat",$S75=0.7,$R75=0.8),$D75 &amp; ";","")</f>
        <v/>
      </c>
      <c r="AE75" s="58">
        <f>IF(AND($H75="threat",$S75=0.5,$R75=0.05),$D75 &amp; ";","")</f>
        <v/>
      </c>
      <c r="AF75" s="58">
        <f>IF(AND($H75="threat",$S75=0.5,$R75=0.1),$D75 &amp; ";","")</f>
        <v/>
      </c>
      <c r="AG75" s="58">
        <f>IF(AND($H75="threat",$S75=0.5,$R75=0.2),$D75 &amp; ";","")</f>
        <v/>
      </c>
      <c r="AH75" s="58">
        <f>IF(AND($H75="threat",$S75=0.5,$R75=0.4),$D75 &amp; ";","")</f>
        <v/>
      </c>
      <c r="AI75" s="58">
        <f>IF(AND($H75="threat",$S75=0.5,$R75=0.8),$D75 &amp; ";","")</f>
        <v/>
      </c>
      <c r="AJ75" s="58">
        <f>IF(AND($H75="threat",$S75=0.3,$R75=0.05),$D75 &amp; ";","")</f>
        <v/>
      </c>
      <c r="AK75" s="58">
        <f>IF(AND($H75="threat",$S75=0.3,$R75=0.1),$D75 &amp; ";","")</f>
        <v/>
      </c>
      <c r="AL75" s="58">
        <f>IF(AND($H75="threat",$S75=0.3,$R75=0.2),$D75 &amp; ";","")</f>
        <v/>
      </c>
      <c r="AM75" s="58">
        <f>IF(AND($H75="threat",$S75=0.3,$R75=0.4),$D75 &amp; ";","")</f>
        <v/>
      </c>
      <c r="AN75" s="58">
        <f>IF(AND($H75="threat",$S75=0.3,$R75=0.8),$D75 &amp; ";","")</f>
        <v/>
      </c>
      <c r="AO75" s="58">
        <f>IF(AND($H75="threat",$S75=0.1,$R75=0.05),$D75 &amp; ";","")</f>
        <v/>
      </c>
      <c r="AP75" s="58">
        <f>IF(AND($H75="threat",$S75=0.1,$R75=0.1),$D75 &amp; ";","")</f>
        <v/>
      </c>
      <c r="AQ75" s="58">
        <f>IF(AND($H75="threat",$S75=0.1,$R75=0.2),$D75 &amp; ";","")</f>
        <v/>
      </c>
      <c r="AR75" s="58">
        <f>IF(AND($H75="threat",$S75=0.1,$R75=0.4),$D75 &amp; ";","")</f>
        <v/>
      </c>
      <c r="AS75" s="58">
        <f>IF(AND($H75="threat",$S75=0.1,$R75=0.8),$D75 &amp; ";","")</f>
        <v/>
      </c>
      <c r="AT75" s="39" t="n"/>
      <c r="AU75" s="58">
        <f>IF(AND($H75="opportunity",$S75=0.9,$R75=0.8),$D75 &amp; ";","")</f>
        <v/>
      </c>
      <c r="AV75" s="58">
        <f>IF(AND($H75="opportunity",$S75=0.9,$R75=0.4),$D75 &amp; ";","")</f>
        <v/>
      </c>
      <c r="AW75" s="58">
        <f>IF(AND($H75="opportunity",$S75=0.9,$R75=0.2),$D75 &amp; ";","")</f>
        <v/>
      </c>
      <c r="AX75" s="58">
        <f>IF(AND($H75="opportunity",$S75=0.9,$R75=0.1),$D75 &amp; ";","")</f>
        <v/>
      </c>
      <c r="AY75" s="58">
        <f>IF(AND($H75="opportunity",$S75=0.9,$R75=0.05),$D75 &amp; ";","")</f>
        <v/>
      </c>
      <c r="AZ75" s="58">
        <f>IF(AND($H75="opportunity",$S75=0.7,$R75=0.8),$D75 &amp; ";","")</f>
        <v/>
      </c>
      <c r="BA75" s="58">
        <f>IF(AND($H75="opportunity",$S75=0.7,$R75=0.4),$D75 &amp; ";","")</f>
        <v/>
      </c>
      <c r="BB75" s="58">
        <f>IF(AND($H75="opportunity",$S75=0.7,$R75=0.2),$D75 &amp; ";","")</f>
        <v/>
      </c>
      <c r="BC75" s="58">
        <f>IF(AND($H75="opportunity",$S75=0.7,$R75=0.1),$D75 &amp; ";","")</f>
        <v/>
      </c>
      <c r="BD75" s="58">
        <f>IF(AND($H75="opportunity",$S75=0.7,$R75=0.05),$D75 &amp; ";","")</f>
        <v/>
      </c>
      <c r="BE75" s="58">
        <f>IF(AND($H75="opportunity",$S75=0.5,$R75=0.8),$D75 &amp; ";","")</f>
        <v/>
      </c>
      <c r="BF75" s="58">
        <f>IF(AND($H75="opportunity",$S75=0.5,$R75=0.4),$D75 &amp; ";","")</f>
        <v/>
      </c>
      <c r="BG75" s="58">
        <f>IF(AND($H75="opportunity",$S75=0.5,$R75=0.2),$D75 &amp; ";","")</f>
        <v/>
      </c>
      <c r="BH75" s="58">
        <f>IF(AND($H75="opportunity",$S75=0.5,$R75=0.1),$D75 &amp; ";","")</f>
        <v/>
      </c>
      <c r="BI75" s="58">
        <f>IF(AND($H75="opportunity",$S75=0.5,$R75=0.05),$D75 &amp; ";","")</f>
        <v/>
      </c>
      <c r="BJ75" s="58">
        <f>IF(AND($H75="opportunity",$S75=0.3,$R75=0.8),$D75 &amp; ";","")</f>
        <v/>
      </c>
      <c r="BK75" s="58">
        <f>IF(AND($H75="opportunity",$S75=0.3,$R75=0.4),$D75 &amp; ";","")</f>
        <v/>
      </c>
      <c r="BL75" s="58">
        <f>IF(AND($H75="opportunity",$S75=0.3,$R75=0.2),$D75 &amp; ";","")</f>
        <v/>
      </c>
      <c r="BM75" s="58">
        <f>IF(AND($H75="opportunity",$S75=0.3,$R75=0.1),$D75 &amp; ";","")</f>
        <v/>
      </c>
      <c r="BN75" s="58">
        <f>IF(AND($H75="opportunity",$S75=0.3,$R75=0.05),$D75 &amp; ";","")</f>
        <v/>
      </c>
      <c r="BO75" s="58">
        <f>IF(AND($H75="opportunity",$S75=0.1,$R75=0.8),$D75 &amp; ";","")</f>
        <v/>
      </c>
      <c r="BP75" s="58">
        <f>IF(AND($H75="opportunity",$S75=0.1,$R75=0.4),$D75 &amp; ";","")</f>
        <v/>
      </c>
      <c r="BQ75" s="58">
        <f>IF(AND($H75="opportunity",$S75=0.1,$R75=0.2),$D75 &amp; ";","")</f>
        <v/>
      </c>
      <c r="BR75" s="58">
        <f>IF(AND($H75="opportunity",$S75=0.1,$R75=0.1),$D75 &amp; ";","")</f>
        <v/>
      </c>
      <c r="BS75" s="58">
        <f>IF(AND($H75="opportunity",$S75=0.1,$R75=0.05),$D75 &amp; ";","")</f>
        <v/>
      </c>
      <c r="BV75" s="57">
        <f>INDIRECT(ADDRESS(ROW()-22,COLUMN()-45,1,1,"Risk Register"))</f>
        <v/>
      </c>
      <c r="BW75" s="58">
        <f>INDIRECT(ADDRESS(ROW()-22,COLUMN()-44,1,1,"Risk Register"))</f>
        <v/>
      </c>
      <c r="BX75" s="59">
        <f>IF(AND($H75="threat",$P75&lt;=0.05),"gn",IF(AND($H75="threat",$P75&lt;=0.14),"y",IF(AND($H75="threat", $P75&gt;=0.15),"r",IF(AND($H75="opportunity",$P75&lt;=0.05),"gn",IF(AND($H75="opportunity",$P75&lt;=0.14),"lb",IF(AND($H75="opportunity",$P75&gt;=0.15),"db","z"))))))</f>
        <v/>
      </c>
      <c r="BY75" s="58">
        <f>IF(AND($H75="threat",$BW75=0.9,$BV75=0.05),$D75 &amp; ";","")</f>
        <v/>
      </c>
      <c r="BZ75" s="58">
        <f>IF(AND($H75="threat",$BW75=0.9,$BV75=0.1),$D75 &amp; ";","")</f>
        <v/>
      </c>
      <c r="CA75" s="58">
        <f>IF(AND($H75="threat",$BW75=0.9,$BV75=0.2),$D75 &amp; ";","")</f>
        <v/>
      </c>
      <c r="CB75" s="58">
        <f>IF(AND($H75="threat",$BW75=0.9,$BV75=0.4),$D75 &amp; ";","")</f>
        <v/>
      </c>
      <c r="CC75" s="58">
        <f>IF(AND($H75="threat",$BW75=0.9,$BV75=0.8),$D75 &amp; ";","")</f>
        <v/>
      </c>
      <c r="CD75" s="58">
        <f>IF(AND($H75="threat",$BW75=0.7,$BV75=0.05),$D75 &amp; ";","")</f>
        <v/>
      </c>
      <c r="CE75" s="58">
        <f>IF(AND($H75="threat",$BW75=0.7,$BV75=0.1),$D75 &amp; ";","")</f>
        <v/>
      </c>
      <c r="CF75" s="58">
        <f>IF(AND($H75="threat",$BW75=0.7,$BV75=0.2),$D75 &amp; ";","")</f>
        <v/>
      </c>
      <c r="CG75" s="58">
        <f>IF(AND($H75="threat",$BW75=0.7,$BV75=0.4),$D75 &amp; ";","")</f>
        <v/>
      </c>
      <c r="CH75" s="58">
        <f>IF(AND($H75="threat",$BW75=0.7,$BV75=0.8),$D75 &amp; ";","")</f>
        <v/>
      </c>
      <c r="CI75" s="58">
        <f>IF(AND($H75="threat",$BW75=0.5,$BV75=0.05),$D75 &amp; ";","")</f>
        <v/>
      </c>
      <c r="CJ75" s="58">
        <f>IF(AND($H75="threat",$BW75=0.5,$BV75=0.1),$D75 &amp; ";","")</f>
        <v/>
      </c>
      <c r="CK75" s="58">
        <f>IF(AND($H75="threat",$BW75=0.5,$BV75=0.2),$D75 &amp; ";","")</f>
        <v/>
      </c>
      <c r="CL75" s="58">
        <f>IF(AND($H75="threat",$BW75=0.5,$BV75=0.4),$D75 &amp; ";","")</f>
        <v/>
      </c>
      <c r="CM75" s="58">
        <f>IF(AND($H75="threat",$BW75=0.5,$BV75=0.8),$D75 &amp; ";","")</f>
        <v/>
      </c>
      <c r="CN75" s="58">
        <f>IF(AND($H75="threat",$BW75=0.3,$BV75=0.05),$D75 &amp; ";","")</f>
        <v/>
      </c>
      <c r="CO75" s="58">
        <f>IF(AND($H75="threat",$BW75=0.3,$BV75=0.1),$D75 &amp; ";","")</f>
        <v/>
      </c>
      <c r="CP75" s="58">
        <f>IF(AND($H75="threat",$BW75=0.3,$BV75=0.2),$D75 &amp; ";","")</f>
        <v/>
      </c>
      <c r="CQ75" s="58">
        <f>IF(AND($H75="threat",$BW75=0.3,$BV75=0.4),$D75 &amp; ";","")</f>
        <v/>
      </c>
      <c r="CR75" s="58">
        <f>IF(AND($H75="threat",$BW75=0.3,$BV75=0.8),$D75 &amp; ";","")</f>
        <v/>
      </c>
      <c r="CS75" s="58">
        <f>IF(AND($H75="threat",$BW75=0.1,$BV75=0.05),$D75 &amp; ";","")</f>
        <v/>
      </c>
      <c r="CT75" s="58">
        <f>IF(AND($H75="threat",$BW75=0.1,$BV75=0.1),$D75 &amp; ";","")</f>
        <v/>
      </c>
      <c r="CU75" s="58">
        <f>IF(AND($H75="threat",$BW75=0.1,$BV75=0.2),$D75 &amp; ";","")</f>
        <v/>
      </c>
      <c r="CV75" s="58">
        <f>IF(AND($H75="threat",$BW75=0.1,$BV75=0.4),$D75 &amp; ";","")</f>
        <v/>
      </c>
      <c r="CW75" s="58">
        <f>IF(AND($H75="threat",$BW75=0.1,$BV75=0.8),$D75 &amp; ";","")</f>
        <v/>
      </c>
      <c r="CX75" s="39" t="n"/>
      <c r="CY75" s="58">
        <f>IF(AND($H75="opportunity",$BW75=0.9,$BV75=0.8),$D75 &amp; ";","")</f>
        <v/>
      </c>
      <c r="CZ75" s="58">
        <f>IF(AND($H75="opportunity",$BW75=0.9,$BV75=0.4),$D75 &amp; ";","")</f>
        <v/>
      </c>
      <c r="DA75" s="58">
        <f>IF(AND($H75="opportunity",$BW75=0.9,$BV75=0.2),$D75 &amp; ";","")</f>
        <v/>
      </c>
      <c r="DB75" s="58">
        <f>IF(AND($H75="opportunity",$BW75=0.9,$BV75=0.1),$D75 &amp; ";","")</f>
        <v/>
      </c>
      <c r="DC75" s="58">
        <f>IF(AND($H75="opportunity",$BW75=0.9,$BV75=0.05),$D75 &amp; ";","")</f>
        <v/>
      </c>
      <c r="DD75" s="58">
        <f>IF(AND($H75="opportunity",$BW75=0.7,$BV75=0.8),$D75 &amp; ";","")</f>
        <v/>
      </c>
      <c r="DE75" s="58">
        <f>IF(AND($H75="opportunity",$BW75=0.7,$BV75=0.4),$D75 &amp; ";","")</f>
        <v/>
      </c>
      <c r="DF75" s="58">
        <f>IF(AND($H75="opportunity",$BW75=0.7,$BV75=0.2),$D75 &amp; ";","")</f>
        <v/>
      </c>
      <c r="DG75" s="58">
        <f>IF(AND($H75="opportunity",$BW75=0.7,$BV75=0.1),$D75 &amp; ";","")</f>
        <v/>
      </c>
      <c r="DH75" s="58">
        <f>IF(AND($H75="opportunity",$BW75=0.7,$BV75=0.05),$D75 &amp; ";","")</f>
        <v/>
      </c>
      <c r="DI75" s="58">
        <f>IF(AND($H75="opportunity",$BW75=0.5,$BV75=0.8),$D75 &amp; ";","")</f>
        <v/>
      </c>
      <c r="DJ75" s="58">
        <f>IF(AND($H75="opportunity",$BW75=0.5,$BV75=0.4),$D75 &amp; ";","")</f>
        <v/>
      </c>
      <c r="DK75" s="58">
        <f>IF(AND($H75="opportunity",$BW75=0.5,$BV75=0.2),$D75 &amp; ";","")</f>
        <v/>
      </c>
      <c r="DL75" s="58">
        <f>IF(AND($H75="opportunity",$BW75=0.5,$BV75=0.1),$D75 &amp; ";","")</f>
        <v/>
      </c>
      <c r="DM75" s="58">
        <f>IF(AND($H75="opportunity",$BW75=0.5,$BV75=0.05),$D75 &amp; ";","")</f>
        <v/>
      </c>
      <c r="DN75" s="58">
        <f>IF(AND($H75="opportunity",$BW75=0.3,$BV75=0.8),$D75 &amp; ";","")</f>
        <v/>
      </c>
      <c r="DO75" s="58">
        <f>IF(AND($H75="opportunity",$BW75=0.3,$BV75=0.4),$D75 &amp; ";","")</f>
        <v/>
      </c>
      <c r="DP75" s="58">
        <f>IF(AND($H75="opportunity",$BW75=0.3,$BV75=0.2),$D75 &amp; ";","")</f>
        <v/>
      </c>
      <c r="DQ75" s="58">
        <f>IF(AND($H75="opportunity",$BW75=0.3,$BV75=0.1),$D75 &amp; ";","")</f>
        <v/>
      </c>
      <c r="DR75" s="58">
        <f>IF(AND($H75="opportunity",$BW75=0.3,$BV75=0.05),$D75 &amp; ";","")</f>
        <v/>
      </c>
      <c r="DS75" s="58">
        <f>IF(AND($H75="opportunity",$BW75=0.1,$BV75=0.8),$D75 &amp; ";","")</f>
        <v/>
      </c>
      <c r="DT75" s="58">
        <f>IF(AND($H75="opportunity",$BW75=0.1,$BV75=0.4),$D75 &amp; ";","")</f>
        <v/>
      </c>
      <c r="DU75" s="58">
        <f>IF(AND($H75="opportunity",$BW75=0.1,$BV75=0.2),$D75 &amp; ";","")</f>
        <v/>
      </c>
      <c r="DV75" s="58">
        <f>IF(AND($H75="opportunity",$BW75=0.1,$BV75=0.1),$D75 &amp; ";","")</f>
        <v/>
      </c>
      <c r="DW75" s="58">
        <f>IF(AND($H75="opportunity",$BW75=0.1,$BV75=0.05),$D75 &amp; ";","")</f>
        <v/>
      </c>
    </row>
    <row r="76">
      <c r="D76" s="60">
        <f>INDIRECT(ADDRESS(ROW()-22,COLUMN()-2,1,1,"Risk Register"))</f>
        <v/>
      </c>
      <c r="E76" s="143">
        <f>INDIRECT(ADDRESS(ROW()-22,COLUMN()-1,1,1,"Risk Register"))</f>
        <v/>
      </c>
      <c r="G76" s="56">
        <f>INDIRECT(ADDRESS(ROW()-22,COLUMN()+10,1,1,"Risk Register"))</f>
        <v/>
      </c>
      <c r="H76" s="60">
        <f>INDIRECT(ADDRESS(ROW()-22,COLUMN()+8,1,1,"Risk Register"))</f>
        <v/>
      </c>
      <c r="I76" s="54">
        <f>INDIRECT(ADDRESS(ROW()-22,COLUMN()+3,1,1,"Risk Register"))</f>
        <v/>
      </c>
      <c r="J76" s="143">
        <f>INDIRECT(ADDRESS(ROW()-22,COLUMN()+12,1,1,"Risk Register"))</f>
        <v/>
      </c>
      <c r="K76" s="143">
        <f>INDIRECT(ADDRESS(ROW()-22,COLUMN()-2,1,1,"Risk Register"))</f>
        <v/>
      </c>
      <c r="L76" s="176">
        <f>INDIRECT(ADDRESS(ROW()-22,COLUMN()+15,1,1,"Risk Register"))</f>
        <v/>
      </c>
      <c r="M76" s="54">
        <f>INDIRECT(ADDRESS(ROW()-22,COLUMN()+13,1,1,"Risk Register"))</f>
        <v/>
      </c>
      <c r="N76" s="143">
        <f>INDIRECT(ADDRESS(ROW()-22,COLUMN()-9,1,1,"Risk Register"))</f>
        <v/>
      </c>
      <c r="O76" s="143">
        <f>INDIRECT(ADDRESS(ROW()-22,COLUMN()-8,1,1,"Risk Register"))</f>
        <v/>
      </c>
      <c r="P76" s="56">
        <f>INDIRECT(ADDRESS(ROW()-22,COLUMN()+18,1,1,"Risk Register"))</f>
        <v/>
      </c>
      <c r="R76" s="57">
        <f>INDIRECT(ADDRESS(ROW()-22,COLUMN()-5,1,1,"Risk Register"))</f>
        <v/>
      </c>
      <c r="S76" s="58">
        <f>INDIRECT(ADDRESS(ROW()-22,COLUMN()-4,1,1,"Risk Register"))</f>
        <v/>
      </c>
      <c r="T76" s="59">
        <f>IF(AND($H76="threat",$G76&lt;=0.05),"gn",IF(AND($H76="threat",$G76&lt;=0.14),"y",IF(AND($H76="threat", $G76&gt;=0.15),"r",IF(AND($H76="opportunity",$G76&lt;=0.05),"gn",IF(AND($H76="opportunity",$G76&lt;=0.14),"lb",IF(AND($H76="opportunity",$G76&gt;=0.15),"db","z"))))))</f>
        <v/>
      </c>
      <c r="U76" s="58">
        <f>IF(AND($H76="threat",$S76=0.9,$R76=0.05),$D76 &amp; ";","")</f>
        <v/>
      </c>
      <c r="V76" s="58">
        <f>IF(AND($H76="threat",$S76=0.9,$R76=0.1),$D76 &amp; ";","")</f>
        <v/>
      </c>
      <c r="W76" s="58">
        <f>IF(AND($H76="threat",$S76=0.9,$R76=0.2),$D76 &amp; ";","")</f>
        <v/>
      </c>
      <c r="X76" s="58">
        <f>IF(AND($H76="threat",$S76=0.9,$R76=0.4),$D76 &amp; ";","")</f>
        <v/>
      </c>
      <c r="Y76" s="58">
        <f>IF(AND($H76="threat",$S76=0.9,$R76=0.8),$D76 &amp; ";","")</f>
        <v/>
      </c>
      <c r="Z76" s="58">
        <f>IF(AND($H76="threat",$S76=0.7,$R76=0.05),$D76 &amp; ";","")</f>
        <v/>
      </c>
      <c r="AA76" s="58">
        <f>IF(AND($H76="threat",$S76=0.7,$R76=0.1),$D76 &amp; ";","")</f>
        <v/>
      </c>
      <c r="AB76" s="58">
        <f>IF(AND($H76="threat",$S76=0.7,$R76=0.2),$D76 &amp; ";","")</f>
        <v/>
      </c>
      <c r="AC76" s="58">
        <f>IF(AND($H76="threat",$S76=0.7,$R76=0.4),$D76 &amp; ";","")</f>
        <v/>
      </c>
      <c r="AD76" s="58">
        <f>IF(AND($H76="threat",$S76=0.7,$R76=0.8),$D76 &amp; ";","")</f>
        <v/>
      </c>
      <c r="AE76" s="58">
        <f>IF(AND($H76="threat",$S76=0.5,$R76=0.05),$D76 &amp; ";","")</f>
        <v/>
      </c>
      <c r="AF76" s="58">
        <f>IF(AND($H76="threat",$S76=0.5,$R76=0.1),$D76 &amp; ";","")</f>
        <v/>
      </c>
      <c r="AG76" s="58">
        <f>IF(AND($H76="threat",$S76=0.5,$R76=0.2),$D76 &amp; ";","")</f>
        <v/>
      </c>
      <c r="AH76" s="58">
        <f>IF(AND($H76="threat",$S76=0.5,$R76=0.4),$D76 &amp; ";","")</f>
        <v/>
      </c>
      <c r="AI76" s="58">
        <f>IF(AND($H76="threat",$S76=0.5,$R76=0.8),$D76 &amp; ";","")</f>
        <v/>
      </c>
      <c r="AJ76" s="58">
        <f>IF(AND($H76="threat",$S76=0.3,$R76=0.05),$D76 &amp; ";","")</f>
        <v/>
      </c>
      <c r="AK76" s="58">
        <f>IF(AND($H76="threat",$S76=0.3,$R76=0.1),$D76 &amp; ";","")</f>
        <v/>
      </c>
      <c r="AL76" s="58">
        <f>IF(AND($H76="threat",$S76=0.3,$R76=0.2),$D76 &amp; ";","")</f>
        <v/>
      </c>
      <c r="AM76" s="58">
        <f>IF(AND($H76="threat",$S76=0.3,$R76=0.4),$D76 &amp; ";","")</f>
        <v/>
      </c>
      <c r="AN76" s="58">
        <f>IF(AND($H76="threat",$S76=0.3,$R76=0.8),$D76 &amp; ";","")</f>
        <v/>
      </c>
      <c r="AO76" s="58">
        <f>IF(AND($H76="threat",$S76=0.1,$R76=0.05),$D76 &amp; ";","")</f>
        <v/>
      </c>
      <c r="AP76" s="58">
        <f>IF(AND($H76="threat",$S76=0.1,$R76=0.1),$D76 &amp; ";","")</f>
        <v/>
      </c>
      <c r="AQ76" s="58">
        <f>IF(AND($H76="threat",$S76=0.1,$R76=0.2),$D76 &amp; ";","")</f>
        <v/>
      </c>
      <c r="AR76" s="58">
        <f>IF(AND($H76="threat",$S76=0.1,$R76=0.4),$D76 &amp; ";","")</f>
        <v/>
      </c>
      <c r="AS76" s="58">
        <f>IF(AND($H76="threat",$S76=0.1,$R76=0.8),$D76 &amp; ";","")</f>
        <v/>
      </c>
      <c r="AT76" s="39" t="n"/>
      <c r="AU76" s="58">
        <f>IF(AND($H76="opportunity",$S76=0.9,$R76=0.8),$D76 &amp; ";","")</f>
        <v/>
      </c>
      <c r="AV76" s="58">
        <f>IF(AND($H76="opportunity",$S76=0.9,$R76=0.4),$D76 &amp; ";","")</f>
        <v/>
      </c>
      <c r="AW76" s="58">
        <f>IF(AND($H76="opportunity",$S76=0.9,$R76=0.2),$D76 &amp; ";","")</f>
        <v/>
      </c>
      <c r="AX76" s="58">
        <f>IF(AND($H76="opportunity",$S76=0.9,$R76=0.1),$D76 &amp; ";","")</f>
        <v/>
      </c>
      <c r="AY76" s="58">
        <f>IF(AND($H76="opportunity",$S76=0.9,$R76=0.05),$D76 &amp; ";","")</f>
        <v/>
      </c>
      <c r="AZ76" s="58">
        <f>IF(AND($H76="opportunity",$S76=0.7,$R76=0.8),$D76 &amp; ";","")</f>
        <v/>
      </c>
      <c r="BA76" s="58">
        <f>IF(AND($H76="opportunity",$S76=0.7,$R76=0.4),$D76 &amp; ";","")</f>
        <v/>
      </c>
      <c r="BB76" s="58">
        <f>IF(AND($H76="opportunity",$S76=0.7,$R76=0.2),$D76 &amp; ";","")</f>
        <v/>
      </c>
      <c r="BC76" s="58">
        <f>IF(AND($H76="opportunity",$S76=0.7,$R76=0.1),$D76 &amp; ";","")</f>
        <v/>
      </c>
      <c r="BD76" s="58">
        <f>IF(AND($H76="opportunity",$S76=0.7,$R76=0.05),$D76 &amp; ";","")</f>
        <v/>
      </c>
      <c r="BE76" s="58">
        <f>IF(AND($H76="opportunity",$S76=0.5,$R76=0.8),$D76 &amp; ";","")</f>
        <v/>
      </c>
      <c r="BF76" s="58">
        <f>IF(AND($H76="opportunity",$S76=0.5,$R76=0.4),$D76 &amp; ";","")</f>
        <v/>
      </c>
      <c r="BG76" s="58">
        <f>IF(AND($H76="opportunity",$S76=0.5,$R76=0.2),$D76 &amp; ";","")</f>
        <v/>
      </c>
      <c r="BH76" s="58">
        <f>IF(AND($H76="opportunity",$S76=0.5,$R76=0.1),$D76 &amp; ";","")</f>
        <v/>
      </c>
      <c r="BI76" s="58">
        <f>IF(AND($H76="opportunity",$S76=0.5,$R76=0.05),$D76 &amp; ";","")</f>
        <v/>
      </c>
      <c r="BJ76" s="58">
        <f>IF(AND($H76="opportunity",$S76=0.3,$R76=0.8),$D76 &amp; ";","")</f>
        <v/>
      </c>
      <c r="BK76" s="58">
        <f>IF(AND($H76="opportunity",$S76=0.3,$R76=0.4),$D76 &amp; ";","")</f>
        <v/>
      </c>
      <c r="BL76" s="58">
        <f>IF(AND($H76="opportunity",$S76=0.3,$R76=0.2),$D76 &amp; ";","")</f>
        <v/>
      </c>
      <c r="BM76" s="58">
        <f>IF(AND($H76="opportunity",$S76=0.3,$R76=0.1),$D76 &amp; ";","")</f>
        <v/>
      </c>
      <c r="BN76" s="58">
        <f>IF(AND($H76="opportunity",$S76=0.3,$R76=0.05),$D76 &amp; ";","")</f>
        <v/>
      </c>
      <c r="BO76" s="58">
        <f>IF(AND($H76="opportunity",$S76=0.1,$R76=0.8),$D76 &amp; ";","")</f>
        <v/>
      </c>
      <c r="BP76" s="58">
        <f>IF(AND($H76="opportunity",$S76=0.1,$R76=0.4),$D76 &amp; ";","")</f>
        <v/>
      </c>
      <c r="BQ76" s="58">
        <f>IF(AND($H76="opportunity",$S76=0.1,$R76=0.2),$D76 &amp; ";","")</f>
        <v/>
      </c>
      <c r="BR76" s="58">
        <f>IF(AND($H76="opportunity",$S76=0.1,$R76=0.1),$D76 &amp; ";","")</f>
        <v/>
      </c>
      <c r="BS76" s="58">
        <f>IF(AND($H76="opportunity",$S76=0.1,$R76=0.05),$D76 &amp; ";","")</f>
        <v/>
      </c>
      <c r="BV76" s="57">
        <f>INDIRECT(ADDRESS(ROW()-22,COLUMN()-45,1,1,"Risk Register"))</f>
        <v/>
      </c>
      <c r="BW76" s="58">
        <f>INDIRECT(ADDRESS(ROW()-22,COLUMN()-44,1,1,"Risk Register"))</f>
        <v/>
      </c>
      <c r="BX76" s="59">
        <f>IF(AND($H76="threat",$P76&lt;=0.05),"gn",IF(AND($H76="threat",$P76&lt;=0.14),"y",IF(AND($H76="threat", $P76&gt;=0.15),"r",IF(AND($H76="opportunity",$P76&lt;=0.05),"gn",IF(AND($H76="opportunity",$P76&lt;=0.14),"lb",IF(AND($H76="opportunity",$P76&gt;=0.15),"db","z"))))))</f>
        <v/>
      </c>
      <c r="BY76" s="58">
        <f>IF(AND($H76="threat",$BW76=0.9,$BV76=0.05),$D76 &amp; ";","")</f>
        <v/>
      </c>
      <c r="BZ76" s="58">
        <f>IF(AND($H76="threat",$BW76=0.9,$BV76=0.1),$D76 &amp; ";","")</f>
        <v/>
      </c>
      <c r="CA76" s="58">
        <f>IF(AND($H76="threat",$BW76=0.9,$BV76=0.2),$D76 &amp; ";","")</f>
        <v/>
      </c>
      <c r="CB76" s="58">
        <f>IF(AND($H76="threat",$BW76=0.9,$BV76=0.4),$D76 &amp; ";","")</f>
        <v/>
      </c>
      <c r="CC76" s="58">
        <f>IF(AND($H76="threat",$BW76=0.9,$BV76=0.8),$D76 &amp; ";","")</f>
        <v/>
      </c>
      <c r="CD76" s="58">
        <f>IF(AND($H76="threat",$BW76=0.7,$BV76=0.05),$D76 &amp; ";","")</f>
        <v/>
      </c>
      <c r="CE76" s="58">
        <f>IF(AND($H76="threat",$BW76=0.7,$BV76=0.1),$D76 &amp; ";","")</f>
        <v/>
      </c>
      <c r="CF76" s="58">
        <f>IF(AND($H76="threat",$BW76=0.7,$BV76=0.2),$D76 &amp; ";","")</f>
        <v/>
      </c>
      <c r="CG76" s="58">
        <f>IF(AND($H76="threat",$BW76=0.7,$BV76=0.4),$D76 &amp; ";","")</f>
        <v/>
      </c>
      <c r="CH76" s="58">
        <f>IF(AND($H76="threat",$BW76=0.7,$BV76=0.8),$D76 &amp; ";","")</f>
        <v/>
      </c>
      <c r="CI76" s="58">
        <f>IF(AND($H76="threat",$BW76=0.5,$BV76=0.05),$D76 &amp; ";","")</f>
        <v/>
      </c>
      <c r="CJ76" s="58">
        <f>IF(AND($H76="threat",$BW76=0.5,$BV76=0.1),$D76 &amp; ";","")</f>
        <v/>
      </c>
      <c r="CK76" s="58">
        <f>IF(AND($H76="threat",$BW76=0.5,$BV76=0.2),$D76 &amp; ";","")</f>
        <v/>
      </c>
      <c r="CL76" s="58">
        <f>IF(AND($H76="threat",$BW76=0.5,$BV76=0.4),$D76 &amp; ";","")</f>
        <v/>
      </c>
      <c r="CM76" s="58">
        <f>IF(AND($H76="threat",$BW76=0.5,$BV76=0.8),$D76 &amp; ";","")</f>
        <v/>
      </c>
      <c r="CN76" s="58">
        <f>IF(AND($H76="threat",$BW76=0.3,$BV76=0.05),$D76 &amp; ";","")</f>
        <v/>
      </c>
      <c r="CO76" s="58">
        <f>IF(AND($H76="threat",$BW76=0.3,$BV76=0.1),$D76 &amp; ";","")</f>
        <v/>
      </c>
      <c r="CP76" s="58">
        <f>IF(AND($H76="threat",$BW76=0.3,$BV76=0.2),$D76 &amp; ";","")</f>
        <v/>
      </c>
      <c r="CQ76" s="58">
        <f>IF(AND($H76="threat",$BW76=0.3,$BV76=0.4),$D76 &amp; ";","")</f>
        <v/>
      </c>
      <c r="CR76" s="58">
        <f>IF(AND($H76="threat",$BW76=0.3,$BV76=0.8),$D76 &amp; ";","")</f>
        <v/>
      </c>
      <c r="CS76" s="58">
        <f>IF(AND($H76="threat",$BW76=0.1,$BV76=0.05),$D76 &amp; ";","")</f>
        <v/>
      </c>
      <c r="CT76" s="58">
        <f>IF(AND($H76="threat",$BW76=0.1,$BV76=0.1),$D76 &amp; ";","")</f>
        <v/>
      </c>
      <c r="CU76" s="58">
        <f>IF(AND($H76="threat",$BW76=0.1,$BV76=0.2),$D76 &amp; ";","")</f>
        <v/>
      </c>
      <c r="CV76" s="58">
        <f>IF(AND($H76="threat",$BW76=0.1,$BV76=0.4),$D76 &amp; ";","")</f>
        <v/>
      </c>
      <c r="CW76" s="58">
        <f>IF(AND($H76="threat",$BW76=0.1,$BV76=0.8),$D76 &amp; ";","")</f>
        <v/>
      </c>
      <c r="CX76" s="39" t="n"/>
      <c r="CY76" s="58">
        <f>IF(AND($H76="opportunity",$BW76=0.9,$BV76=0.8),$D76 &amp; ";","")</f>
        <v/>
      </c>
      <c r="CZ76" s="58">
        <f>IF(AND($H76="opportunity",$BW76=0.9,$BV76=0.4),$D76 &amp; ";","")</f>
        <v/>
      </c>
      <c r="DA76" s="58">
        <f>IF(AND($H76="opportunity",$BW76=0.9,$BV76=0.2),$D76 &amp; ";","")</f>
        <v/>
      </c>
      <c r="DB76" s="58">
        <f>IF(AND($H76="opportunity",$BW76=0.9,$BV76=0.1),$D76 &amp; ";","")</f>
        <v/>
      </c>
      <c r="DC76" s="58">
        <f>IF(AND($H76="opportunity",$BW76=0.9,$BV76=0.05),$D76 &amp; ";","")</f>
        <v/>
      </c>
      <c r="DD76" s="58">
        <f>IF(AND($H76="opportunity",$BW76=0.7,$BV76=0.8),$D76 &amp; ";","")</f>
        <v/>
      </c>
      <c r="DE76" s="58">
        <f>IF(AND($H76="opportunity",$BW76=0.7,$BV76=0.4),$D76 &amp; ";","")</f>
        <v/>
      </c>
      <c r="DF76" s="58">
        <f>IF(AND($H76="opportunity",$BW76=0.7,$BV76=0.2),$D76 &amp; ";","")</f>
        <v/>
      </c>
      <c r="DG76" s="58">
        <f>IF(AND($H76="opportunity",$BW76=0.7,$BV76=0.1),$D76 &amp; ";","")</f>
        <v/>
      </c>
      <c r="DH76" s="58">
        <f>IF(AND($H76="opportunity",$BW76=0.7,$BV76=0.05),$D76 &amp; ";","")</f>
        <v/>
      </c>
      <c r="DI76" s="58">
        <f>IF(AND($H76="opportunity",$BW76=0.5,$BV76=0.8),$D76 &amp; ";","")</f>
        <v/>
      </c>
      <c r="DJ76" s="58">
        <f>IF(AND($H76="opportunity",$BW76=0.5,$BV76=0.4),$D76 &amp; ";","")</f>
        <v/>
      </c>
      <c r="DK76" s="58">
        <f>IF(AND($H76="opportunity",$BW76=0.5,$BV76=0.2),$D76 &amp; ";","")</f>
        <v/>
      </c>
      <c r="DL76" s="58">
        <f>IF(AND($H76="opportunity",$BW76=0.5,$BV76=0.1),$D76 &amp; ";","")</f>
        <v/>
      </c>
      <c r="DM76" s="58">
        <f>IF(AND($H76="opportunity",$BW76=0.5,$BV76=0.05),$D76 &amp; ";","")</f>
        <v/>
      </c>
      <c r="DN76" s="58">
        <f>IF(AND($H76="opportunity",$BW76=0.3,$BV76=0.8),$D76 &amp; ";","")</f>
        <v/>
      </c>
      <c r="DO76" s="58">
        <f>IF(AND($H76="opportunity",$BW76=0.3,$BV76=0.4),$D76 &amp; ";","")</f>
        <v/>
      </c>
      <c r="DP76" s="58">
        <f>IF(AND($H76="opportunity",$BW76=0.3,$BV76=0.2),$D76 &amp; ";","")</f>
        <v/>
      </c>
      <c r="DQ76" s="58">
        <f>IF(AND($H76="opportunity",$BW76=0.3,$BV76=0.1),$D76 &amp; ";","")</f>
        <v/>
      </c>
      <c r="DR76" s="58">
        <f>IF(AND($H76="opportunity",$BW76=0.3,$BV76=0.05),$D76 &amp; ";","")</f>
        <v/>
      </c>
      <c r="DS76" s="58">
        <f>IF(AND($H76="opportunity",$BW76=0.1,$BV76=0.8),$D76 &amp; ";","")</f>
        <v/>
      </c>
      <c r="DT76" s="58">
        <f>IF(AND($H76="opportunity",$BW76=0.1,$BV76=0.4),$D76 &amp; ";","")</f>
        <v/>
      </c>
      <c r="DU76" s="58">
        <f>IF(AND($H76="opportunity",$BW76=0.1,$BV76=0.2),$D76 &amp; ";","")</f>
        <v/>
      </c>
      <c r="DV76" s="58">
        <f>IF(AND($H76="opportunity",$BW76=0.1,$BV76=0.1),$D76 &amp; ";","")</f>
        <v/>
      </c>
      <c r="DW76" s="58">
        <f>IF(AND($H76="opportunity",$BW76=0.1,$BV76=0.05),$D76 &amp; ";","")</f>
        <v/>
      </c>
    </row>
    <row r="77">
      <c r="D77" s="60">
        <f>INDIRECT(ADDRESS(ROW()-22,COLUMN()-2,1,1,"Risk Register"))</f>
        <v/>
      </c>
      <c r="E77" s="143">
        <f>INDIRECT(ADDRESS(ROW()-22,COLUMN()-1,1,1,"Risk Register"))</f>
        <v/>
      </c>
      <c r="G77" s="56">
        <f>INDIRECT(ADDRESS(ROW()-22,COLUMN()+10,1,1,"Risk Register"))</f>
        <v/>
      </c>
      <c r="H77" s="60">
        <f>INDIRECT(ADDRESS(ROW()-22,COLUMN()+8,1,1,"Risk Register"))</f>
        <v/>
      </c>
      <c r="I77" s="54">
        <f>INDIRECT(ADDRESS(ROW()-22,COLUMN()+3,1,1,"Risk Register"))</f>
        <v/>
      </c>
      <c r="J77" s="143">
        <f>INDIRECT(ADDRESS(ROW()-22,COLUMN()+12,1,1,"Risk Register"))</f>
        <v/>
      </c>
      <c r="K77" s="143">
        <f>INDIRECT(ADDRESS(ROW()-22,COLUMN()-2,1,1,"Risk Register"))</f>
        <v/>
      </c>
      <c r="L77" s="176">
        <f>INDIRECT(ADDRESS(ROW()-22,COLUMN()+15,1,1,"Risk Register"))</f>
        <v/>
      </c>
      <c r="M77" s="54">
        <f>INDIRECT(ADDRESS(ROW()-22,COLUMN()+13,1,1,"Risk Register"))</f>
        <v/>
      </c>
      <c r="N77" s="143">
        <f>INDIRECT(ADDRESS(ROW()-22,COLUMN()-9,1,1,"Risk Register"))</f>
        <v/>
      </c>
      <c r="O77" s="143">
        <f>INDIRECT(ADDRESS(ROW()-22,COLUMN()-8,1,1,"Risk Register"))</f>
        <v/>
      </c>
      <c r="P77" s="56">
        <f>INDIRECT(ADDRESS(ROW()-22,COLUMN()+18,1,1,"Risk Register"))</f>
        <v/>
      </c>
      <c r="R77" s="57">
        <f>INDIRECT(ADDRESS(ROW()-22,COLUMN()-5,1,1,"Risk Register"))</f>
        <v/>
      </c>
      <c r="S77" s="58">
        <f>INDIRECT(ADDRESS(ROW()-22,COLUMN()-4,1,1,"Risk Register"))</f>
        <v/>
      </c>
      <c r="T77" s="59">
        <f>IF(AND($H77="threat",$G77&lt;=0.05),"gn",IF(AND($H77="threat",$G77&lt;=0.14),"y",IF(AND($H77="threat", $G77&gt;=0.15),"r",IF(AND($H77="opportunity",$G77&lt;=0.05),"gn",IF(AND($H77="opportunity",$G77&lt;=0.14),"lb",IF(AND($H77="opportunity",$G77&gt;=0.15),"db","z"))))))</f>
        <v/>
      </c>
      <c r="U77" s="58">
        <f>IF(AND($H77="threat",$S77=0.9,$R77=0.05),$D77 &amp; ";","")</f>
        <v/>
      </c>
      <c r="V77" s="58">
        <f>IF(AND($H77="threat",$S77=0.9,$R77=0.1),$D77 &amp; ";","")</f>
        <v/>
      </c>
      <c r="W77" s="58">
        <f>IF(AND($H77="threat",$S77=0.9,$R77=0.2),$D77 &amp; ";","")</f>
        <v/>
      </c>
      <c r="X77" s="58">
        <f>IF(AND($H77="threat",$S77=0.9,$R77=0.4),$D77 &amp; ";","")</f>
        <v/>
      </c>
      <c r="Y77" s="58">
        <f>IF(AND($H77="threat",$S77=0.9,$R77=0.8),$D77 &amp; ";","")</f>
        <v/>
      </c>
      <c r="Z77" s="58">
        <f>IF(AND($H77="threat",$S77=0.7,$R77=0.05),$D77 &amp; ";","")</f>
        <v/>
      </c>
      <c r="AA77" s="58">
        <f>IF(AND($H77="threat",$S77=0.7,$R77=0.1),$D77 &amp; ";","")</f>
        <v/>
      </c>
      <c r="AB77" s="58">
        <f>IF(AND($H77="threat",$S77=0.7,$R77=0.2),$D77 &amp; ";","")</f>
        <v/>
      </c>
      <c r="AC77" s="58">
        <f>IF(AND($H77="threat",$S77=0.7,$R77=0.4),$D77 &amp; ";","")</f>
        <v/>
      </c>
      <c r="AD77" s="58">
        <f>IF(AND($H77="threat",$S77=0.7,$R77=0.8),$D77 &amp; ";","")</f>
        <v/>
      </c>
      <c r="AE77" s="58">
        <f>IF(AND($H77="threat",$S77=0.5,$R77=0.05),$D77 &amp; ";","")</f>
        <v/>
      </c>
      <c r="AF77" s="58">
        <f>IF(AND($H77="threat",$S77=0.5,$R77=0.1),$D77 &amp; ";","")</f>
        <v/>
      </c>
      <c r="AG77" s="58">
        <f>IF(AND($H77="threat",$S77=0.5,$R77=0.2),$D77 &amp; ";","")</f>
        <v/>
      </c>
      <c r="AH77" s="58">
        <f>IF(AND($H77="threat",$S77=0.5,$R77=0.4),$D77 &amp; ";","")</f>
        <v/>
      </c>
      <c r="AI77" s="58">
        <f>IF(AND($H77="threat",$S77=0.5,$R77=0.8),$D77 &amp; ";","")</f>
        <v/>
      </c>
      <c r="AJ77" s="58">
        <f>IF(AND($H77="threat",$S77=0.3,$R77=0.05),$D77 &amp; ";","")</f>
        <v/>
      </c>
      <c r="AK77" s="58">
        <f>IF(AND($H77="threat",$S77=0.3,$R77=0.1),$D77 &amp; ";","")</f>
        <v/>
      </c>
      <c r="AL77" s="58">
        <f>IF(AND($H77="threat",$S77=0.3,$R77=0.2),$D77 &amp; ";","")</f>
        <v/>
      </c>
      <c r="AM77" s="58">
        <f>IF(AND($H77="threat",$S77=0.3,$R77=0.4),$D77 &amp; ";","")</f>
        <v/>
      </c>
      <c r="AN77" s="58">
        <f>IF(AND($H77="threat",$S77=0.3,$R77=0.8),$D77 &amp; ";","")</f>
        <v/>
      </c>
      <c r="AO77" s="58">
        <f>IF(AND($H77="threat",$S77=0.1,$R77=0.05),$D77 &amp; ";","")</f>
        <v/>
      </c>
      <c r="AP77" s="58">
        <f>IF(AND($H77="threat",$S77=0.1,$R77=0.1),$D77 &amp; ";","")</f>
        <v/>
      </c>
      <c r="AQ77" s="58">
        <f>IF(AND($H77="threat",$S77=0.1,$R77=0.2),$D77 &amp; ";","")</f>
        <v/>
      </c>
      <c r="AR77" s="58">
        <f>IF(AND($H77="threat",$S77=0.1,$R77=0.4),$D77 &amp; ";","")</f>
        <v/>
      </c>
      <c r="AS77" s="58">
        <f>IF(AND($H77="threat",$S77=0.1,$R77=0.8),$D77 &amp; ";","")</f>
        <v/>
      </c>
      <c r="AT77" s="39" t="n"/>
      <c r="AU77" s="58">
        <f>IF(AND($H77="opportunity",$S77=0.9,$R77=0.8),$D77 &amp; ";","")</f>
        <v/>
      </c>
      <c r="AV77" s="58">
        <f>IF(AND($H77="opportunity",$S77=0.9,$R77=0.4),$D77 &amp; ";","")</f>
        <v/>
      </c>
      <c r="AW77" s="58">
        <f>IF(AND($H77="opportunity",$S77=0.9,$R77=0.2),$D77 &amp; ";","")</f>
        <v/>
      </c>
      <c r="AX77" s="58">
        <f>IF(AND($H77="opportunity",$S77=0.9,$R77=0.1),$D77 &amp; ";","")</f>
        <v/>
      </c>
      <c r="AY77" s="58">
        <f>IF(AND($H77="opportunity",$S77=0.9,$R77=0.05),$D77 &amp; ";","")</f>
        <v/>
      </c>
      <c r="AZ77" s="58">
        <f>IF(AND($H77="opportunity",$S77=0.7,$R77=0.8),$D77 &amp; ";","")</f>
        <v/>
      </c>
      <c r="BA77" s="58">
        <f>IF(AND($H77="opportunity",$S77=0.7,$R77=0.4),$D77 &amp; ";","")</f>
        <v/>
      </c>
      <c r="BB77" s="58">
        <f>IF(AND($H77="opportunity",$S77=0.7,$R77=0.2),$D77 &amp; ";","")</f>
        <v/>
      </c>
      <c r="BC77" s="58">
        <f>IF(AND($H77="opportunity",$S77=0.7,$R77=0.1),$D77 &amp; ";","")</f>
        <v/>
      </c>
      <c r="BD77" s="58">
        <f>IF(AND($H77="opportunity",$S77=0.7,$R77=0.05),$D77 &amp; ";","")</f>
        <v/>
      </c>
      <c r="BE77" s="58">
        <f>IF(AND($H77="opportunity",$S77=0.5,$R77=0.8),$D77 &amp; ";","")</f>
        <v/>
      </c>
      <c r="BF77" s="58">
        <f>IF(AND($H77="opportunity",$S77=0.5,$R77=0.4),$D77 &amp; ";","")</f>
        <v/>
      </c>
      <c r="BG77" s="58">
        <f>IF(AND($H77="opportunity",$S77=0.5,$R77=0.2),$D77 &amp; ";","")</f>
        <v/>
      </c>
      <c r="BH77" s="58">
        <f>IF(AND($H77="opportunity",$S77=0.5,$R77=0.1),$D77 &amp; ";","")</f>
        <v/>
      </c>
      <c r="BI77" s="58">
        <f>IF(AND($H77="opportunity",$S77=0.5,$R77=0.05),$D77 &amp; ";","")</f>
        <v/>
      </c>
      <c r="BJ77" s="58">
        <f>IF(AND($H77="opportunity",$S77=0.3,$R77=0.8),$D77 &amp; ";","")</f>
        <v/>
      </c>
      <c r="BK77" s="58">
        <f>IF(AND($H77="opportunity",$S77=0.3,$R77=0.4),$D77 &amp; ";","")</f>
        <v/>
      </c>
      <c r="BL77" s="58">
        <f>IF(AND($H77="opportunity",$S77=0.3,$R77=0.2),$D77 &amp; ";","")</f>
        <v/>
      </c>
      <c r="BM77" s="58">
        <f>IF(AND($H77="opportunity",$S77=0.3,$R77=0.1),$D77 &amp; ";","")</f>
        <v/>
      </c>
      <c r="BN77" s="58">
        <f>IF(AND($H77="opportunity",$S77=0.3,$R77=0.05),$D77 &amp; ";","")</f>
        <v/>
      </c>
      <c r="BO77" s="58">
        <f>IF(AND($H77="opportunity",$S77=0.1,$R77=0.8),$D77 &amp; ";","")</f>
        <v/>
      </c>
      <c r="BP77" s="58">
        <f>IF(AND($H77="opportunity",$S77=0.1,$R77=0.4),$D77 &amp; ";","")</f>
        <v/>
      </c>
      <c r="BQ77" s="58">
        <f>IF(AND($H77="opportunity",$S77=0.1,$R77=0.2),$D77 &amp; ";","")</f>
        <v/>
      </c>
      <c r="BR77" s="58">
        <f>IF(AND($H77="opportunity",$S77=0.1,$R77=0.1),$D77 &amp; ";","")</f>
        <v/>
      </c>
      <c r="BS77" s="58">
        <f>IF(AND($H77="opportunity",$S77=0.1,$R77=0.05),$D77 &amp; ";","")</f>
        <v/>
      </c>
      <c r="BV77" s="57">
        <f>INDIRECT(ADDRESS(ROW()-22,COLUMN()-45,1,1,"Risk Register"))</f>
        <v/>
      </c>
      <c r="BW77" s="58">
        <f>INDIRECT(ADDRESS(ROW()-22,COLUMN()-44,1,1,"Risk Register"))</f>
        <v/>
      </c>
      <c r="BX77" s="59">
        <f>IF(AND($H77="threat",$P77&lt;=0.05),"gn",IF(AND($H77="threat",$P77&lt;=0.14),"y",IF(AND($H77="threat", $P77&gt;=0.15),"r",IF(AND($H77="opportunity",$P77&lt;=0.05),"gn",IF(AND($H77="opportunity",$P77&lt;=0.14),"lb",IF(AND($H77="opportunity",$P77&gt;=0.15),"db","z"))))))</f>
        <v/>
      </c>
      <c r="BY77" s="58">
        <f>IF(AND($H77="threat",$BW77=0.9,$BV77=0.05),$D77 &amp; ";","")</f>
        <v/>
      </c>
      <c r="BZ77" s="58">
        <f>IF(AND($H77="threat",$BW77=0.9,$BV77=0.1),$D77 &amp; ";","")</f>
        <v/>
      </c>
      <c r="CA77" s="58">
        <f>IF(AND($H77="threat",$BW77=0.9,$BV77=0.2),$D77 &amp; ";","")</f>
        <v/>
      </c>
      <c r="CB77" s="58">
        <f>IF(AND($H77="threat",$BW77=0.9,$BV77=0.4),$D77 &amp; ";","")</f>
        <v/>
      </c>
      <c r="CC77" s="58">
        <f>IF(AND($H77="threat",$BW77=0.9,$BV77=0.8),$D77 &amp; ";","")</f>
        <v/>
      </c>
      <c r="CD77" s="58">
        <f>IF(AND($H77="threat",$BW77=0.7,$BV77=0.05),$D77 &amp; ";","")</f>
        <v/>
      </c>
      <c r="CE77" s="58">
        <f>IF(AND($H77="threat",$BW77=0.7,$BV77=0.1),$D77 &amp; ";","")</f>
        <v/>
      </c>
      <c r="CF77" s="58">
        <f>IF(AND($H77="threat",$BW77=0.7,$BV77=0.2),$D77 &amp; ";","")</f>
        <v/>
      </c>
      <c r="CG77" s="58">
        <f>IF(AND($H77="threat",$BW77=0.7,$BV77=0.4),$D77 &amp; ";","")</f>
        <v/>
      </c>
      <c r="CH77" s="58">
        <f>IF(AND($H77="threat",$BW77=0.7,$BV77=0.8),$D77 &amp; ";","")</f>
        <v/>
      </c>
      <c r="CI77" s="58">
        <f>IF(AND($H77="threat",$BW77=0.5,$BV77=0.05),$D77 &amp; ";","")</f>
        <v/>
      </c>
      <c r="CJ77" s="58">
        <f>IF(AND($H77="threat",$BW77=0.5,$BV77=0.1),$D77 &amp; ";","")</f>
        <v/>
      </c>
      <c r="CK77" s="58">
        <f>IF(AND($H77="threat",$BW77=0.5,$BV77=0.2),$D77 &amp; ";","")</f>
        <v/>
      </c>
      <c r="CL77" s="58">
        <f>IF(AND($H77="threat",$BW77=0.5,$BV77=0.4),$D77 &amp; ";","")</f>
        <v/>
      </c>
      <c r="CM77" s="58">
        <f>IF(AND($H77="threat",$BW77=0.5,$BV77=0.8),$D77 &amp; ";","")</f>
        <v/>
      </c>
      <c r="CN77" s="58">
        <f>IF(AND($H77="threat",$BW77=0.3,$BV77=0.05),$D77 &amp; ";","")</f>
        <v/>
      </c>
      <c r="CO77" s="58">
        <f>IF(AND($H77="threat",$BW77=0.3,$BV77=0.1),$D77 &amp; ";","")</f>
        <v/>
      </c>
      <c r="CP77" s="58">
        <f>IF(AND($H77="threat",$BW77=0.3,$BV77=0.2),$D77 &amp; ";","")</f>
        <v/>
      </c>
      <c r="CQ77" s="58">
        <f>IF(AND($H77="threat",$BW77=0.3,$BV77=0.4),$D77 &amp; ";","")</f>
        <v/>
      </c>
      <c r="CR77" s="58">
        <f>IF(AND($H77="threat",$BW77=0.3,$BV77=0.8),$D77 &amp; ";","")</f>
        <v/>
      </c>
      <c r="CS77" s="58">
        <f>IF(AND($H77="threat",$BW77=0.1,$BV77=0.05),$D77 &amp; ";","")</f>
        <v/>
      </c>
      <c r="CT77" s="58">
        <f>IF(AND($H77="threat",$BW77=0.1,$BV77=0.1),$D77 &amp; ";","")</f>
        <v/>
      </c>
      <c r="CU77" s="58">
        <f>IF(AND($H77="threat",$BW77=0.1,$BV77=0.2),$D77 &amp; ";","")</f>
        <v/>
      </c>
      <c r="CV77" s="58">
        <f>IF(AND($H77="threat",$BW77=0.1,$BV77=0.4),$D77 &amp; ";","")</f>
        <v/>
      </c>
      <c r="CW77" s="58">
        <f>IF(AND($H77="threat",$BW77=0.1,$BV77=0.8),$D77 &amp; ";","")</f>
        <v/>
      </c>
      <c r="CX77" s="39" t="n"/>
      <c r="CY77" s="58">
        <f>IF(AND($H77="opportunity",$BW77=0.9,$BV77=0.8),$D77 &amp; ";","")</f>
        <v/>
      </c>
      <c r="CZ77" s="58">
        <f>IF(AND($H77="opportunity",$BW77=0.9,$BV77=0.4),$D77 &amp; ";","")</f>
        <v/>
      </c>
      <c r="DA77" s="58">
        <f>IF(AND($H77="opportunity",$BW77=0.9,$BV77=0.2),$D77 &amp; ";","")</f>
        <v/>
      </c>
      <c r="DB77" s="58">
        <f>IF(AND($H77="opportunity",$BW77=0.9,$BV77=0.1),$D77 &amp; ";","")</f>
        <v/>
      </c>
      <c r="DC77" s="58">
        <f>IF(AND($H77="opportunity",$BW77=0.9,$BV77=0.05),$D77 &amp; ";","")</f>
        <v/>
      </c>
      <c r="DD77" s="58">
        <f>IF(AND($H77="opportunity",$BW77=0.7,$BV77=0.8),$D77 &amp; ";","")</f>
        <v/>
      </c>
      <c r="DE77" s="58">
        <f>IF(AND($H77="opportunity",$BW77=0.7,$BV77=0.4),$D77 &amp; ";","")</f>
        <v/>
      </c>
      <c r="DF77" s="58">
        <f>IF(AND($H77="opportunity",$BW77=0.7,$BV77=0.2),$D77 &amp; ";","")</f>
        <v/>
      </c>
      <c r="DG77" s="58">
        <f>IF(AND($H77="opportunity",$BW77=0.7,$BV77=0.1),$D77 &amp; ";","")</f>
        <v/>
      </c>
      <c r="DH77" s="58">
        <f>IF(AND($H77="opportunity",$BW77=0.7,$BV77=0.05),$D77 &amp; ";","")</f>
        <v/>
      </c>
      <c r="DI77" s="58">
        <f>IF(AND($H77="opportunity",$BW77=0.5,$BV77=0.8),$D77 &amp; ";","")</f>
        <v/>
      </c>
      <c r="DJ77" s="58">
        <f>IF(AND($H77="opportunity",$BW77=0.5,$BV77=0.4),$D77 &amp; ";","")</f>
        <v/>
      </c>
      <c r="DK77" s="58">
        <f>IF(AND($H77="opportunity",$BW77=0.5,$BV77=0.2),$D77 &amp; ";","")</f>
        <v/>
      </c>
      <c r="DL77" s="58">
        <f>IF(AND($H77="opportunity",$BW77=0.5,$BV77=0.1),$D77 &amp; ";","")</f>
        <v/>
      </c>
      <c r="DM77" s="58">
        <f>IF(AND($H77="opportunity",$BW77=0.5,$BV77=0.05),$D77 &amp; ";","")</f>
        <v/>
      </c>
      <c r="DN77" s="58">
        <f>IF(AND($H77="opportunity",$BW77=0.3,$BV77=0.8),$D77 &amp; ";","")</f>
        <v/>
      </c>
      <c r="DO77" s="58">
        <f>IF(AND($H77="opportunity",$BW77=0.3,$BV77=0.4),$D77 &amp; ";","")</f>
        <v/>
      </c>
      <c r="DP77" s="58">
        <f>IF(AND($H77="opportunity",$BW77=0.3,$BV77=0.2),$D77 &amp; ";","")</f>
        <v/>
      </c>
      <c r="DQ77" s="58">
        <f>IF(AND($H77="opportunity",$BW77=0.3,$BV77=0.1),$D77 &amp; ";","")</f>
        <v/>
      </c>
      <c r="DR77" s="58">
        <f>IF(AND($H77="opportunity",$BW77=0.3,$BV77=0.05),$D77 &amp; ";","")</f>
        <v/>
      </c>
      <c r="DS77" s="58">
        <f>IF(AND($H77="opportunity",$BW77=0.1,$BV77=0.8),$D77 &amp; ";","")</f>
        <v/>
      </c>
      <c r="DT77" s="58">
        <f>IF(AND($H77="opportunity",$BW77=0.1,$BV77=0.4),$D77 &amp; ";","")</f>
        <v/>
      </c>
      <c r="DU77" s="58">
        <f>IF(AND($H77="opportunity",$BW77=0.1,$BV77=0.2),$D77 &amp; ";","")</f>
        <v/>
      </c>
      <c r="DV77" s="58">
        <f>IF(AND($H77="opportunity",$BW77=0.1,$BV77=0.1),$D77 &amp; ";","")</f>
        <v/>
      </c>
      <c r="DW77" s="58">
        <f>IF(AND($H77="opportunity",$BW77=0.1,$BV77=0.05),$D77 &amp; ";","")</f>
        <v/>
      </c>
    </row>
    <row r="78">
      <c r="D78" s="60">
        <f>INDIRECT(ADDRESS(ROW()-22,COLUMN()-2,1,1,"Risk Register"))</f>
        <v/>
      </c>
      <c r="E78" s="143">
        <f>INDIRECT(ADDRESS(ROW()-22,COLUMN()-1,1,1,"Risk Register"))</f>
        <v/>
      </c>
      <c r="G78" s="56">
        <f>INDIRECT(ADDRESS(ROW()-22,COLUMN()+10,1,1,"Risk Register"))</f>
        <v/>
      </c>
      <c r="H78" s="60">
        <f>INDIRECT(ADDRESS(ROW()-22,COLUMN()+8,1,1,"Risk Register"))</f>
        <v/>
      </c>
      <c r="I78" s="54">
        <f>INDIRECT(ADDRESS(ROW()-22,COLUMN()+3,1,1,"Risk Register"))</f>
        <v/>
      </c>
      <c r="J78" s="143">
        <f>INDIRECT(ADDRESS(ROW()-22,COLUMN()+12,1,1,"Risk Register"))</f>
        <v/>
      </c>
      <c r="K78" s="143">
        <f>INDIRECT(ADDRESS(ROW()-22,COLUMN()-2,1,1,"Risk Register"))</f>
        <v/>
      </c>
      <c r="L78" s="176">
        <f>INDIRECT(ADDRESS(ROW()-22,COLUMN()+15,1,1,"Risk Register"))</f>
        <v/>
      </c>
      <c r="M78" s="54">
        <f>INDIRECT(ADDRESS(ROW()-22,COLUMN()+13,1,1,"Risk Register"))</f>
        <v/>
      </c>
      <c r="N78" s="143">
        <f>INDIRECT(ADDRESS(ROW()-22,COLUMN()-9,1,1,"Risk Register"))</f>
        <v/>
      </c>
      <c r="O78" s="143">
        <f>INDIRECT(ADDRESS(ROW()-22,COLUMN()-8,1,1,"Risk Register"))</f>
        <v/>
      </c>
      <c r="P78" s="56">
        <f>INDIRECT(ADDRESS(ROW()-22,COLUMN()+18,1,1,"Risk Register"))</f>
        <v/>
      </c>
      <c r="R78" s="57">
        <f>INDIRECT(ADDRESS(ROW()-22,COLUMN()-5,1,1,"Risk Register"))</f>
        <v/>
      </c>
      <c r="S78" s="58">
        <f>INDIRECT(ADDRESS(ROW()-22,COLUMN()-4,1,1,"Risk Register"))</f>
        <v/>
      </c>
      <c r="T78" s="59">
        <f>IF(AND($H78="threat",$G78&lt;=0.05),"gn",IF(AND($H78="threat",$G78&lt;=0.14),"y",IF(AND($H78="threat", $G78&gt;=0.15),"r",IF(AND($H78="opportunity",$G78&lt;=0.05),"gn",IF(AND($H78="opportunity",$G78&lt;=0.14),"lb",IF(AND($H78="opportunity",$G78&gt;=0.15),"db","z"))))))</f>
        <v/>
      </c>
      <c r="U78" s="58">
        <f>IF(AND($H78="threat",$S78=0.9,$R78=0.05),$D78 &amp; ";","")</f>
        <v/>
      </c>
      <c r="V78" s="58">
        <f>IF(AND($H78="threat",$S78=0.9,$R78=0.1),$D78 &amp; ";","")</f>
        <v/>
      </c>
      <c r="W78" s="58">
        <f>IF(AND($H78="threat",$S78=0.9,$R78=0.2),$D78 &amp; ";","")</f>
        <v/>
      </c>
      <c r="X78" s="58">
        <f>IF(AND($H78="threat",$S78=0.9,$R78=0.4),$D78 &amp; ";","")</f>
        <v/>
      </c>
      <c r="Y78" s="58">
        <f>IF(AND($H78="threat",$S78=0.9,$R78=0.8),$D78 &amp; ";","")</f>
        <v/>
      </c>
      <c r="Z78" s="58">
        <f>IF(AND($H78="threat",$S78=0.7,$R78=0.05),$D78 &amp; ";","")</f>
        <v/>
      </c>
      <c r="AA78" s="58">
        <f>IF(AND($H78="threat",$S78=0.7,$R78=0.1),$D78 &amp; ";","")</f>
        <v/>
      </c>
      <c r="AB78" s="58">
        <f>IF(AND($H78="threat",$S78=0.7,$R78=0.2),$D78 &amp; ";","")</f>
        <v/>
      </c>
      <c r="AC78" s="58">
        <f>IF(AND($H78="threat",$S78=0.7,$R78=0.4),$D78 &amp; ";","")</f>
        <v/>
      </c>
      <c r="AD78" s="58">
        <f>IF(AND($H78="threat",$S78=0.7,$R78=0.8),$D78 &amp; ";","")</f>
        <v/>
      </c>
      <c r="AE78" s="58">
        <f>IF(AND($H78="threat",$S78=0.5,$R78=0.05),$D78 &amp; ";","")</f>
        <v/>
      </c>
      <c r="AF78" s="58">
        <f>IF(AND($H78="threat",$S78=0.5,$R78=0.1),$D78 &amp; ";","")</f>
        <v/>
      </c>
      <c r="AG78" s="58">
        <f>IF(AND($H78="threat",$S78=0.5,$R78=0.2),$D78 &amp; ";","")</f>
        <v/>
      </c>
      <c r="AH78" s="58">
        <f>IF(AND($H78="threat",$S78=0.5,$R78=0.4),$D78 &amp; ";","")</f>
        <v/>
      </c>
      <c r="AI78" s="58">
        <f>IF(AND($H78="threat",$S78=0.5,$R78=0.8),$D78 &amp; ";","")</f>
        <v/>
      </c>
      <c r="AJ78" s="58">
        <f>IF(AND($H78="threat",$S78=0.3,$R78=0.05),$D78 &amp; ";","")</f>
        <v/>
      </c>
      <c r="AK78" s="58">
        <f>IF(AND($H78="threat",$S78=0.3,$R78=0.1),$D78 &amp; ";","")</f>
        <v/>
      </c>
      <c r="AL78" s="58">
        <f>IF(AND($H78="threat",$S78=0.3,$R78=0.2),$D78 &amp; ";","")</f>
        <v/>
      </c>
      <c r="AM78" s="58">
        <f>IF(AND($H78="threat",$S78=0.3,$R78=0.4),$D78 &amp; ";","")</f>
        <v/>
      </c>
      <c r="AN78" s="58">
        <f>IF(AND($H78="threat",$S78=0.3,$R78=0.8),$D78 &amp; ";","")</f>
        <v/>
      </c>
      <c r="AO78" s="58">
        <f>IF(AND($H78="threat",$S78=0.1,$R78=0.05),$D78 &amp; ";","")</f>
        <v/>
      </c>
      <c r="AP78" s="58">
        <f>IF(AND($H78="threat",$S78=0.1,$R78=0.1),$D78 &amp; ";","")</f>
        <v/>
      </c>
      <c r="AQ78" s="58">
        <f>IF(AND($H78="threat",$S78=0.1,$R78=0.2),$D78 &amp; ";","")</f>
        <v/>
      </c>
      <c r="AR78" s="58">
        <f>IF(AND($H78="threat",$S78=0.1,$R78=0.4),$D78 &amp; ";","")</f>
        <v/>
      </c>
      <c r="AS78" s="58">
        <f>IF(AND($H78="threat",$S78=0.1,$R78=0.8),$D78 &amp; ";","")</f>
        <v/>
      </c>
      <c r="AT78" s="39" t="n"/>
      <c r="AU78" s="58">
        <f>IF(AND($H78="opportunity",$S78=0.9,$R78=0.8),$D78 &amp; ";","")</f>
        <v/>
      </c>
      <c r="AV78" s="58">
        <f>IF(AND($H78="opportunity",$S78=0.9,$R78=0.4),$D78 &amp; ";","")</f>
        <v/>
      </c>
      <c r="AW78" s="58">
        <f>IF(AND($H78="opportunity",$S78=0.9,$R78=0.2),$D78 &amp; ";","")</f>
        <v/>
      </c>
      <c r="AX78" s="58">
        <f>IF(AND($H78="opportunity",$S78=0.9,$R78=0.1),$D78 &amp; ";","")</f>
        <v/>
      </c>
      <c r="AY78" s="58">
        <f>IF(AND($H78="opportunity",$S78=0.9,$R78=0.05),$D78 &amp; ";","")</f>
        <v/>
      </c>
      <c r="AZ78" s="58">
        <f>IF(AND($H78="opportunity",$S78=0.7,$R78=0.8),$D78 &amp; ";","")</f>
        <v/>
      </c>
      <c r="BA78" s="58">
        <f>IF(AND($H78="opportunity",$S78=0.7,$R78=0.4),$D78 &amp; ";","")</f>
        <v/>
      </c>
      <c r="BB78" s="58">
        <f>IF(AND($H78="opportunity",$S78=0.7,$R78=0.2),$D78 &amp; ";","")</f>
        <v/>
      </c>
      <c r="BC78" s="58">
        <f>IF(AND($H78="opportunity",$S78=0.7,$R78=0.1),$D78 &amp; ";","")</f>
        <v/>
      </c>
      <c r="BD78" s="58">
        <f>IF(AND($H78="opportunity",$S78=0.7,$R78=0.05),$D78 &amp; ";","")</f>
        <v/>
      </c>
      <c r="BE78" s="58">
        <f>IF(AND($H78="opportunity",$S78=0.5,$R78=0.8),$D78 &amp; ";","")</f>
        <v/>
      </c>
      <c r="BF78" s="58">
        <f>IF(AND($H78="opportunity",$S78=0.5,$R78=0.4),$D78 &amp; ";","")</f>
        <v/>
      </c>
      <c r="BG78" s="58">
        <f>IF(AND($H78="opportunity",$S78=0.5,$R78=0.2),$D78 &amp; ";","")</f>
        <v/>
      </c>
      <c r="BH78" s="58">
        <f>IF(AND($H78="opportunity",$S78=0.5,$R78=0.1),$D78 &amp; ";","")</f>
        <v/>
      </c>
      <c r="BI78" s="58">
        <f>IF(AND($H78="opportunity",$S78=0.5,$R78=0.05),$D78 &amp; ";","")</f>
        <v/>
      </c>
      <c r="BJ78" s="58">
        <f>IF(AND($H78="opportunity",$S78=0.3,$R78=0.8),$D78 &amp; ";","")</f>
        <v/>
      </c>
      <c r="BK78" s="58">
        <f>IF(AND($H78="opportunity",$S78=0.3,$R78=0.4),$D78 &amp; ";","")</f>
        <v/>
      </c>
      <c r="BL78" s="58">
        <f>IF(AND($H78="opportunity",$S78=0.3,$R78=0.2),$D78 &amp; ";","")</f>
        <v/>
      </c>
      <c r="BM78" s="58">
        <f>IF(AND($H78="opportunity",$S78=0.3,$R78=0.1),$D78 &amp; ";","")</f>
        <v/>
      </c>
      <c r="BN78" s="58">
        <f>IF(AND($H78="opportunity",$S78=0.3,$R78=0.05),$D78 &amp; ";","")</f>
        <v/>
      </c>
      <c r="BO78" s="58">
        <f>IF(AND($H78="opportunity",$S78=0.1,$R78=0.8),$D78 &amp; ";","")</f>
        <v/>
      </c>
      <c r="BP78" s="58">
        <f>IF(AND($H78="opportunity",$S78=0.1,$R78=0.4),$D78 &amp; ";","")</f>
        <v/>
      </c>
      <c r="BQ78" s="58">
        <f>IF(AND($H78="opportunity",$S78=0.1,$R78=0.2),$D78 &amp; ";","")</f>
        <v/>
      </c>
      <c r="BR78" s="58">
        <f>IF(AND($H78="opportunity",$S78=0.1,$R78=0.1),$D78 &amp; ";","")</f>
        <v/>
      </c>
      <c r="BS78" s="58">
        <f>IF(AND($H78="opportunity",$S78=0.1,$R78=0.05),$D78 &amp; ";","")</f>
        <v/>
      </c>
      <c r="BV78" s="57">
        <f>INDIRECT(ADDRESS(ROW()-22,COLUMN()-45,1,1,"Risk Register"))</f>
        <v/>
      </c>
      <c r="BW78" s="58">
        <f>INDIRECT(ADDRESS(ROW()-22,COLUMN()-44,1,1,"Risk Register"))</f>
        <v/>
      </c>
      <c r="BX78" s="59">
        <f>IF(AND($H78="threat",$P78&lt;=0.05),"gn",IF(AND($H78="threat",$P78&lt;=0.14),"y",IF(AND($H78="threat", $P78&gt;=0.15),"r",IF(AND($H78="opportunity",$P78&lt;=0.05),"gn",IF(AND($H78="opportunity",$P78&lt;=0.14),"lb",IF(AND($H78="opportunity",$P78&gt;=0.15),"db","z"))))))</f>
        <v/>
      </c>
      <c r="BY78" s="58">
        <f>IF(AND($H78="threat",$BW78=0.9,$BV78=0.05),$D78 &amp; ";","")</f>
        <v/>
      </c>
      <c r="BZ78" s="58">
        <f>IF(AND($H78="threat",$BW78=0.9,$BV78=0.1),$D78 &amp; ";","")</f>
        <v/>
      </c>
      <c r="CA78" s="58">
        <f>IF(AND($H78="threat",$BW78=0.9,$BV78=0.2),$D78 &amp; ";","")</f>
        <v/>
      </c>
      <c r="CB78" s="58">
        <f>IF(AND($H78="threat",$BW78=0.9,$BV78=0.4),$D78 &amp; ";","")</f>
        <v/>
      </c>
      <c r="CC78" s="58">
        <f>IF(AND($H78="threat",$BW78=0.9,$BV78=0.8),$D78 &amp; ";","")</f>
        <v/>
      </c>
      <c r="CD78" s="58">
        <f>IF(AND($H78="threat",$BW78=0.7,$BV78=0.05),$D78 &amp; ";","")</f>
        <v/>
      </c>
      <c r="CE78" s="58">
        <f>IF(AND($H78="threat",$BW78=0.7,$BV78=0.1),$D78 &amp; ";","")</f>
        <v/>
      </c>
      <c r="CF78" s="58">
        <f>IF(AND($H78="threat",$BW78=0.7,$BV78=0.2),$D78 &amp; ";","")</f>
        <v/>
      </c>
      <c r="CG78" s="58">
        <f>IF(AND($H78="threat",$BW78=0.7,$BV78=0.4),$D78 &amp; ";","")</f>
        <v/>
      </c>
      <c r="CH78" s="58">
        <f>IF(AND($H78="threat",$BW78=0.7,$BV78=0.8),$D78 &amp; ";","")</f>
        <v/>
      </c>
      <c r="CI78" s="58">
        <f>IF(AND($H78="threat",$BW78=0.5,$BV78=0.05),$D78 &amp; ";","")</f>
        <v/>
      </c>
      <c r="CJ78" s="58">
        <f>IF(AND($H78="threat",$BW78=0.5,$BV78=0.1),$D78 &amp; ";","")</f>
        <v/>
      </c>
      <c r="CK78" s="58">
        <f>IF(AND($H78="threat",$BW78=0.5,$BV78=0.2),$D78 &amp; ";","")</f>
        <v/>
      </c>
      <c r="CL78" s="58">
        <f>IF(AND($H78="threat",$BW78=0.5,$BV78=0.4),$D78 &amp; ";","")</f>
        <v/>
      </c>
      <c r="CM78" s="58">
        <f>IF(AND($H78="threat",$BW78=0.5,$BV78=0.8),$D78 &amp; ";","")</f>
        <v/>
      </c>
      <c r="CN78" s="58">
        <f>IF(AND($H78="threat",$BW78=0.3,$BV78=0.05),$D78 &amp; ";","")</f>
        <v/>
      </c>
      <c r="CO78" s="58">
        <f>IF(AND($H78="threat",$BW78=0.3,$BV78=0.1),$D78 &amp; ";","")</f>
        <v/>
      </c>
      <c r="CP78" s="58">
        <f>IF(AND($H78="threat",$BW78=0.3,$BV78=0.2),$D78 &amp; ";","")</f>
        <v/>
      </c>
      <c r="CQ78" s="58">
        <f>IF(AND($H78="threat",$BW78=0.3,$BV78=0.4),$D78 &amp; ";","")</f>
        <v/>
      </c>
      <c r="CR78" s="58">
        <f>IF(AND($H78="threat",$BW78=0.3,$BV78=0.8),$D78 &amp; ";","")</f>
        <v/>
      </c>
      <c r="CS78" s="58">
        <f>IF(AND($H78="threat",$BW78=0.1,$BV78=0.05),$D78 &amp; ";","")</f>
        <v/>
      </c>
      <c r="CT78" s="58">
        <f>IF(AND($H78="threat",$BW78=0.1,$BV78=0.1),$D78 &amp; ";","")</f>
        <v/>
      </c>
      <c r="CU78" s="58">
        <f>IF(AND($H78="threat",$BW78=0.1,$BV78=0.2),$D78 &amp; ";","")</f>
        <v/>
      </c>
      <c r="CV78" s="58">
        <f>IF(AND($H78="threat",$BW78=0.1,$BV78=0.4),$D78 &amp; ";","")</f>
        <v/>
      </c>
      <c r="CW78" s="58">
        <f>IF(AND($H78="threat",$BW78=0.1,$BV78=0.8),$D78 &amp; ";","")</f>
        <v/>
      </c>
      <c r="CX78" s="39" t="n"/>
      <c r="CY78" s="58">
        <f>IF(AND($H78="opportunity",$BW78=0.9,$BV78=0.8),$D78 &amp; ";","")</f>
        <v/>
      </c>
      <c r="CZ78" s="58">
        <f>IF(AND($H78="opportunity",$BW78=0.9,$BV78=0.4),$D78 &amp; ";","")</f>
        <v/>
      </c>
      <c r="DA78" s="58">
        <f>IF(AND($H78="opportunity",$BW78=0.9,$BV78=0.2),$D78 &amp; ";","")</f>
        <v/>
      </c>
      <c r="DB78" s="58">
        <f>IF(AND($H78="opportunity",$BW78=0.9,$BV78=0.1),$D78 &amp; ";","")</f>
        <v/>
      </c>
      <c r="DC78" s="58">
        <f>IF(AND($H78="opportunity",$BW78=0.9,$BV78=0.05),$D78 &amp; ";","")</f>
        <v/>
      </c>
      <c r="DD78" s="58">
        <f>IF(AND($H78="opportunity",$BW78=0.7,$BV78=0.8),$D78 &amp; ";","")</f>
        <v/>
      </c>
      <c r="DE78" s="58">
        <f>IF(AND($H78="opportunity",$BW78=0.7,$BV78=0.4),$D78 &amp; ";","")</f>
        <v/>
      </c>
      <c r="DF78" s="58">
        <f>IF(AND($H78="opportunity",$BW78=0.7,$BV78=0.2),$D78 &amp; ";","")</f>
        <v/>
      </c>
      <c r="DG78" s="58">
        <f>IF(AND($H78="opportunity",$BW78=0.7,$BV78=0.1),$D78 &amp; ";","")</f>
        <v/>
      </c>
      <c r="DH78" s="58">
        <f>IF(AND($H78="opportunity",$BW78=0.7,$BV78=0.05),$D78 &amp; ";","")</f>
        <v/>
      </c>
      <c r="DI78" s="58">
        <f>IF(AND($H78="opportunity",$BW78=0.5,$BV78=0.8),$D78 &amp; ";","")</f>
        <v/>
      </c>
      <c r="DJ78" s="58">
        <f>IF(AND($H78="opportunity",$BW78=0.5,$BV78=0.4),$D78 &amp; ";","")</f>
        <v/>
      </c>
      <c r="DK78" s="58">
        <f>IF(AND($H78="opportunity",$BW78=0.5,$BV78=0.2),$D78 &amp; ";","")</f>
        <v/>
      </c>
      <c r="DL78" s="58">
        <f>IF(AND($H78="opportunity",$BW78=0.5,$BV78=0.1),$D78 &amp; ";","")</f>
        <v/>
      </c>
      <c r="DM78" s="58">
        <f>IF(AND($H78="opportunity",$BW78=0.5,$BV78=0.05),$D78 &amp; ";","")</f>
        <v/>
      </c>
      <c r="DN78" s="58">
        <f>IF(AND($H78="opportunity",$BW78=0.3,$BV78=0.8),$D78 &amp; ";","")</f>
        <v/>
      </c>
      <c r="DO78" s="58">
        <f>IF(AND($H78="opportunity",$BW78=0.3,$BV78=0.4),$D78 &amp; ";","")</f>
        <v/>
      </c>
      <c r="DP78" s="58">
        <f>IF(AND($H78="opportunity",$BW78=0.3,$BV78=0.2),$D78 &amp; ";","")</f>
        <v/>
      </c>
      <c r="DQ78" s="58">
        <f>IF(AND($H78="opportunity",$BW78=0.3,$BV78=0.1),$D78 &amp; ";","")</f>
        <v/>
      </c>
      <c r="DR78" s="58">
        <f>IF(AND($H78="opportunity",$BW78=0.3,$BV78=0.05),$D78 &amp; ";","")</f>
        <v/>
      </c>
      <c r="DS78" s="58">
        <f>IF(AND($H78="opportunity",$BW78=0.1,$BV78=0.8),$D78 &amp; ";","")</f>
        <v/>
      </c>
      <c r="DT78" s="58">
        <f>IF(AND($H78="opportunity",$BW78=0.1,$BV78=0.4),$D78 &amp; ";","")</f>
        <v/>
      </c>
      <c r="DU78" s="58">
        <f>IF(AND($H78="opportunity",$BW78=0.1,$BV78=0.2),$D78 &amp; ";","")</f>
        <v/>
      </c>
      <c r="DV78" s="58">
        <f>IF(AND($H78="opportunity",$BW78=0.1,$BV78=0.1),$D78 &amp; ";","")</f>
        <v/>
      </c>
      <c r="DW78" s="58">
        <f>IF(AND($H78="opportunity",$BW78=0.1,$BV78=0.05),$D78 &amp; ";","")</f>
        <v/>
      </c>
    </row>
    <row r="79">
      <c r="D79" s="60">
        <f>INDIRECT(ADDRESS(ROW()-22,COLUMN()-2,1,1,"Risk Register"))</f>
        <v/>
      </c>
      <c r="E79" s="143">
        <f>INDIRECT(ADDRESS(ROW()-22,COLUMN()-1,1,1,"Risk Register"))</f>
        <v/>
      </c>
      <c r="G79" s="56">
        <f>INDIRECT(ADDRESS(ROW()-22,COLUMN()+10,1,1,"Risk Register"))</f>
        <v/>
      </c>
      <c r="H79" s="60">
        <f>INDIRECT(ADDRESS(ROW()-22,COLUMN()+8,1,1,"Risk Register"))</f>
        <v/>
      </c>
      <c r="I79" s="54">
        <f>INDIRECT(ADDRESS(ROW()-22,COLUMN()+3,1,1,"Risk Register"))</f>
        <v/>
      </c>
      <c r="J79" s="143">
        <f>INDIRECT(ADDRESS(ROW()-22,COLUMN()+12,1,1,"Risk Register"))</f>
        <v/>
      </c>
      <c r="K79" s="143">
        <f>INDIRECT(ADDRESS(ROW()-22,COLUMN()-2,1,1,"Risk Register"))</f>
        <v/>
      </c>
      <c r="L79" s="176">
        <f>INDIRECT(ADDRESS(ROW()-22,COLUMN()+15,1,1,"Risk Register"))</f>
        <v/>
      </c>
      <c r="M79" s="54">
        <f>INDIRECT(ADDRESS(ROW()-22,COLUMN()+13,1,1,"Risk Register"))</f>
        <v/>
      </c>
      <c r="N79" s="143">
        <f>INDIRECT(ADDRESS(ROW()-22,COLUMN()-9,1,1,"Risk Register"))</f>
        <v/>
      </c>
      <c r="O79" s="143">
        <f>INDIRECT(ADDRESS(ROW()-22,COLUMN()-8,1,1,"Risk Register"))</f>
        <v/>
      </c>
      <c r="P79" s="56">
        <f>INDIRECT(ADDRESS(ROW()-22,COLUMN()+18,1,1,"Risk Register"))</f>
        <v/>
      </c>
      <c r="R79" s="57">
        <f>INDIRECT(ADDRESS(ROW()-22,COLUMN()-5,1,1,"Risk Register"))</f>
        <v/>
      </c>
      <c r="S79" s="58">
        <f>INDIRECT(ADDRESS(ROW()-22,COLUMN()-4,1,1,"Risk Register"))</f>
        <v/>
      </c>
      <c r="T79" s="59">
        <f>IF(AND($H79="threat",$G79&lt;=0.05),"gn",IF(AND($H79="threat",$G79&lt;=0.14),"y",IF(AND($H79="threat", $G79&gt;=0.15),"r",IF(AND($H79="opportunity",$G79&lt;=0.05),"gn",IF(AND($H79="opportunity",$G79&lt;=0.14),"lb",IF(AND($H79="opportunity",$G79&gt;=0.15),"db","z"))))))</f>
        <v/>
      </c>
      <c r="U79" s="58">
        <f>IF(AND($H79="threat",$S79=0.9,$R79=0.05),$D79 &amp; ";","")</f>
        <v/>
      </c>
      <c r="V79" s="58">
        <f>IF(AND($H79="threat",$S79=0.9,$R79=0.1),$D79 &amp; ";","")</f>
        <v/>
      </c>
      <c r="W79" s="58">
        <f>IF(AND($H79="threat",$S79=0.9,$R79=0.2),$D79 &amp; ";","")</f>
        <v/>
      </c>
      <c r="X79" s="58">
        <f>IF(AND($H79="threat",$S79=0.9,$R79=0.4),$D79 &amp; ";","")</f>
        <v/>
      </c>
      <c r="Y79" s="58">
        <f>IF(AND($H79="threat",$S79=0.9,$R79=0.8),$D79 &amp; ";","")</f>
        <v/>
      </c>
      <c r="Z79" s="58">
        <f>IF(AND($H79="threat",$S79=0.7,$R79=0.05),$D79 &amp; ";","")</f>
        <v/>
      </c>
      <c r="AA79" s="58">
        <f>IF(AND($H79="threat",$S79=0.7,$R79=0.1),$D79 &amp; ";","")</f>
        <v/>
      </c>
      <c r="AB79" s="58">
        <f>IF(AND($H79="threat",$S79=0.7,$R79=0.2),$D79 &amp; ";","")</f>
        <v/>
      </c>
      <c r="AC79" s="58">
        <f>IF(AND($H79="threat",$S79=0.7,$R79=0.4),$D79 &amp; ";","")</f>
        <v/>
      </c>
      <c r="AD79" s="58">
        <f>IF(AND($H79="threat",$S79=0.7,$R79=0.8),$D79 &amp; ";","")</f>
        <v/>
      </c>
      <c r="AE79" s="58">
        <f>IF(AND($H79="threat",$S79=0.5,$R79=0.05),$D79 &amp; ";","")</f>
        <v/>
      </c>
      <c r="AF79" s="58">
        <f>IF(AND($H79="threat",$S79=0.5,$R79=0.1),$D79 &amp; ";","")</f>
        <v/>
      </c>
      <c r="AG79" s="58">
        <f>IF(AND($H79="threat",$S79=0.5,$R79=0.2),$D79 &amp; ";","")</f>
        <v/>
      </c>
      <c r="AH79" s="58">
        <f>IF(AND($H79="threat",$S79=0.5,$R79=0.4),$D79 &amp; ";","")</f>
        <v/>
      </c>
      <c r="AI79" s="58">
        <f>IF(AND($H79="threat",$S79=0.5,$R79=0.8),$D79 &amp; ";","")</f>
        <v/>
      </c>
      <c r="AJ79" s="58">
        <f>IF(AND($H79="threat",$S79=0.3,$R79=0.05),$D79 &amp; ";","")</f>
        <v/>
      </c>
      <c r="AK79" s="58">
        <f>IF(AND($H79="threat",$S79=0.3,$R79=0.1),$D79 &amp; ";","")</f>
        <v/>
      </c>
      <c r="AL79" s="58">
        <f>IF(AND($H79="threat",$S79=0.3,$R79=0.2),$D79 &amp; ";","")</f>
        <v/>
      </c>
      <c r="AM79" s="58">
        <f>IF(AND($H79="threat",$S79=0.3,$R79=0.4),$D79 &amp; ";","")</f>
        <v/>
      </c>
      <c r="AN79" s="58">
        <f>IF(AND($H79="threat",$S79=0.3,$R79=0.8),$D79 &amp; ";","")</f>
        <v/>
      </c>
      <c r="AO79" s="58">
        <f>IF(AND($H79="threat",$S79=0.1,$R79=0.05),$D79 &amp; ";","")</f>
        <v/>
      </c>
      <c r="AP79" s="58">
        <f>IF(AND($H79="threat",$S79=0.1,$R79=0.1),$D79 &amp; ";","")</f>
        <v/>
      </c>
      <c r="AQ79" s="58">
        <f>IF(AND($H79="threat",$S79=0.1,$R79=0.2),$D79 &amp; ";","")</f>
        <v/>
      </c>
      <c r="AR79" s="58">
        <f>IF(AND($H79="threat",$S79=0.1,$R79=0.4),$D79 &amp; ";","")</f>
        <v/>
      </c>
      <c r="AS79" s="58">
        <f>IF(AND($H79="threat",$S79=0.1,$R79=0.8),$D79 &amp; ";","")</f>
        <v/>
      </c>
      <c r="AT79" s="39" t="n"/>
      <c r="AU79" s="58">
        <f>IF(AND($H79="opportunity",$S79=0.9,$R79=0.8),$D79 &amp; ";","")</f>
        <v/>
      </c>
      <c r="AV79" s="58">
        <f>IF(AND($H79="opportunity",$S79=0.9,$R79=0.4),$D79 &amp; ";","")</f>
        <v/>
      </c>
      <c r="AW79" s="58">
        <f>IF(AND($H79="opportunity",$S79=0.9,$R79=0.2),$D79 &amp; ";","")</f>
        <v/>
      </c>
      <c r="AX79" s="58">
        <f>IF(AND($H79="opportunity",$S79=0.9,$R79=0.1),$D79 &amp; ";","")</f>
        <v/>
      </c>
      <c r="AY79" s="58">
        <f>IF(AND($H79="opportunity",$S79=0.9,$R79=0.05),$D79 &amp; ";","")</f>
        <v/>
      </c>
      <c r="AZ79" s="58">
        <f>IF(AND($H79="opportunity",$S79=0.7,$R79=0.8),$D79 &amp; ";","")</f>
        <v/>
      </c>
      <c r="BA79" s="58">
        <f>IF(AND($H79="opportunity",$S79=0.7,$R79=0.4),$D79 &amp; ";","")</f>
        <v/>
      </c>
      <c r="BB79" s="58">
        <f>IF(AND($H79="opportunity",$S79=0.7,$R79=0.2),$D79 &amp; ";","")</f>
        <v/>
      </c>
      <c r="BC79" s="58">
        <f>IF(AND($H79="opportunity",$S79=0.7,$R79=0.1),$D79 &amp; ";","")</f>
        <v/>
      </c>
      <c r="BD79" s="58">
        <f>IF(AND($H79="opportunity",$S79=0.7,$R79=0.05),$D79 &amp; ";","")</f>
        <v/>
      </c>
      <c r="BE79" s="58">
        <f>IF(AND($H79="opportunity",$S79=0.5,$R79=0.8),$D79 &amp; ";","")</f>
        <v/>
      </c>
      <c r="BF79" s="58">
        <f>IF(AND($H79="opportunity",$S79=0.5,$R79=0.4),$D79 &amp; ";","")</f>
        <v/>
      </c>
      <c r="BG79" s="58">
        <f>IF(AND($H79="opportunity",$S79=0.5,$R79=0.2),$D79 &amp; ";","")</f>
        <v/>
      </c>
      <c r="BH79" s="58">
        <f>IF(AND($H79="opportunity",$S79=0.5,$R79=0.1),$D79 &amp; ";","")</f>
        <v/>
      </c>
      <c r="BI79" s="58">
        <f>IF(AND($H79="opportunity",$S79=0.5,$R79=0.05),$D79 &amp; ";","")</f>
        <v/>
      </c>
      <c r="BJ79" s="58">
        <f>IF(AND($H79="opportunity",$S79=0.3,$R79=0.8),$D79 &amp; ";","")</f>
        <v/>
      </c>
      <c r="BK79" s="58">
        <f>IF(AND($H79="opportunity",$S79=0.3,$R79=0.4),$D79 &amp; ";","")</f>
        <v/>
      </c>
      <c r="BL79" s="58">
        <f>IF(AND($H79="opportunity",$S79=0.3,$R79=0.2),$D79 &amp; ";","")</f>
        <v/>
      </c>
      <c r="BM79" s="58">
        <f>IF(AND($H79="opportunity",$S79=0.3,$R79=0.1),$D79 &amp; ";","")</f>
        <v/>
      </c>
      <c r="BN79" s="58">
        <f>IF(AND($H79="opportunity",$S79=0.3,$R79=0.05),$D79 &amp; ";","")</f>
        <v/>
      </c>
      <c r="BO79" s="58">
        <f>IF(AND($H79="opportunity",$S79=0.1,$R79=0.8),$D79 &amp; ";","")</f>
        <v/>
      </c>
      <c r="BP79" s="58">
        <f>IF(AND($H79="opportunity",$S79=0.1,$R79=0.4),$D79 &amp; ";","")</f>
        <v/>
      </c>
      <c r="BQ79" s="58">
        <f>IF(AND($H79="opportunity",$S79=0.1,$R79=0.2),$D79 &amp; ";","")</f>
        <v/>
      </c>
      <c r="BR79" s="58">
        <f>IF(AND($H79="opportunity",$S79=0.1,$R79=0.1),$D79 &amp; ";","")</f>
        <v/>
      </c>
      <c r="BS79" s="58">
        <f>IF(AND($H79="opportunity",$S79=0.1,$R79=0.05),$D79 &amp; ";","")</f>
        <v/>
      </c>
      <c r="BV79" s="57">
        <f>INDIRECT(ADDRESS(ROW()-22,COLUMN()-45,1,1,"Risk Register"))</f>
        <v/>
      </c>
      <c r="BW79" s="58">
        <f>INDIRECT(ADDRESS(ROW()-22,COLUMN()-44,1,1,"Risk Register"))</f>
        <v/>
      </c>
      <c r="BX79" s="59">
        <f>IF(AND($H79="threat",$P79&lt;=0.05),"gn",IF(AND($H79="threat",$P79&lt;=0.14),"y",IF(AND($H79="threat", $P79&gt;=0.15),"r",IF(AND($H79="opportunity",$P79&lt;=0.05),"gn",IF(AND($H79="opportunity",$P79&lt;=0.14),"lb",IF(AND($H79="opportunity",$P79&gt;=0.15),"db","z"))))))</f>
        <v/>
      </c>
      <c r="BY79" s="58">
        <f>IF(AND($H79="threat",$BW79=0.9,$BV79=0.05),$D79 &amp; ";","")</f>
        <v/>
      </c>
      <c r="BZ79" s="58">
        <f>IF(AND($H79="threat",$BW79=0.9,$BV79=0.1),$D79 &amp; ";","")</f>
        <v/>
      </c>
      <c r="CA79" s="58">
        <f>IF(AND($H79="threat",$BW79=0.9,$BV79=0.2),$D79 &amp; ";","")</f>
        <v/>
      </c>
      <c r="CB79" s="58">
        <f>IF(AND($H79="threat",$BW79=0.9,$BV79=0.4),$D79 &amp; ";","")</f>
        <v/>
      </c>
      <c r="CC79" s="58">
        <f>IF(AND($H79="threat",$BW79=0.9,$BV79=0.8),$D79 &amp; ";","")</f>
        <v/>
      </c>
      <c r="CD79" s="58">
        <f>IF(AND($H79="threat",$BW79=0.7,$BV79=0.05),$D79 &amp; ";","")</f>
        <v/>
      </c>
      <c r="CE79" s="58">
        <f>IF(AND($H79="threat",$BW79=0.7,$BV79=0.1),$D79 &amp; ";","")</f>
        <v/>
      </c>
      <c r="CF79" s="58">
        <f>IF(AND($H79="threat",$BW79=0.7,$BV79=0.2),$D79 &amp; ";","")</f>
        <v/>
      </c>
      <c r="CG79" s="58">
        <f>IF(AND($H79="threat",$BW79=0.7,$BV79=0.4),$D79 &amp; ";","")</f>
        <v/>
      </c>
      <c r="CH79" s="58">
        <f>IF(AND($H79="threat",$BW79=0.7,$BV79=0.8),$D79 &amp; ";","")</f>
        <v/>
      </c>
      <c r="CI79" s="58">
        <f>IF(AND($H79="threat",$BW79=0.5,$BV79=0.05),$D79 &amp; ";","")</f>
        <v/>
      </c>
      <c r="CJ79" s="58">
        <f>IF(AND($H79="threat",$BW79=0.5,$BV79=0.1),$D79 &amp; ";","")</f>
        <v/>
      </c>
      <c r="CK79" s="58">
        <f>IF(AND($H79="threat",$BW79=0.5,$BV79=0.2),$D79 &amp; ";","")</f>
        <v/>
      </c>
      <c r="CL79" s="58">
        <f>IF(AND($H79="threat",$BW79=0.5,$BV79=0.4),$D79 &amp; ";","")</f>
        <v/>
      </c>
      <c r="CM79" s="58">
        <f>IF(AND($H79="threat",$BW79=0.5,$BV79=0.8),$D79 &amp; ";","")</f>
        <v/>
      </c>
      <c r="CN79" s="58">
        <f>IF(AND($H79="threat",$BW79=0.3,$BV79=0.05),$D79 &amp; ";","")</f>
        <v/>
      </c>
      <c r="CO79" s="58">
        <f>IF(AND($H79="threat",$BW79=0.3,$BV79=0.1),$D79 &amp; ";","")</f>
        <v/>
      </c>
      <c r="CP79" s="58">
        <f>IF(AND($H79="threat",$BW79=0.3,$BV79=0.2),$D79 &amp; ";","")</f>
        <v/>
      </c>
      <c r="CQ79" s="58">
        <f>IF(AND($H79="threat",$BW79=0.3,$BV79=0.4),$D79 &amp; ";","")</f>
        <v/>
      </c>
      <c r="CR79" s="58">
        <f>IF(AND($H79="threat",$BW79=0.3,$BV79=0.8),$D79 &amp; ";","")</f>
        <v/>
      </c>
      <c r="CS79" s="58">
        <f>IF(AND($H79="threat",$BW79=0.1,$BV79=0.05),$D79 &amp; ";","")</f>
        <v/>
      </c>
      <c r="CT79" s="58">
        <f>IF(AND($H79="threat",$BW79=0.1,$BV79=0.1),$D79 &amp; ";","")</f>
        <v/>
      </c>
      <c r="CU79" s="58">
        <f>IF(AND($H79="threat",$BW79=0.1,$BV79=0.2),$D79 &amp; ";","")</f>
        <v/>
      </c>
      <c r="CV79" s="58">
        <f>IF(AND($H79="threat",$BW79=0.1,$BV79=0.4),$D79 &amp; ";","")</f>
        <v/>
      </c>
      <c r="CW79" s="58">
        <f>IF(AND($H79="threat",$BW79=0.1,$BV79=0.8),$D79 &amp; ";","")</f>
        <v/>
      </c>
      <c r="CX79" s="39" t="n"/>
      <c r="CY79" s="58">
        <f>IF(AND($H79="opportunity",$BW79=0.9,$BV79=0.8),$D79 &amp; ";","")</f>
        <v/>
      </c>
      <c r="CZ79" s="58">
        <f>IF(AND($H79="opportunity",$BW79=0.9,$BV79=0.4),$D79 &amp; ";","")</f>
        <v/>
      </c>
      <c r="DA79" s="58">
        <f>IF(AND($H79="opportunity",$BW79=0.9,$BV79=0.2),$D79 &amp; ";","")</f>
        <v/>
      </c>
      <c r="DB79" s="58">
        <f>IF(AND($H79="opportunity",$BW79=0.9,$BV79=0.1),$D79 &amp; ";","")</f>
        <v/>
      </c>
      <c r="DC79" s="58">
        <f>IF(AND($H79="opportunity",$BW79=0.9,$BV79=0.05),$D79 &amp; ";","")</f>
        <v/>
      </c>
      <c r="DD79" s="58">
        <f>IF(AND($H79="opportunity",$BW79=0.7,$BV79=0.8),$D79 &amp; ";","")</f>
        <v/>
      </c>
      <c r="DE79" s="58">
        <f>IF(AND($H79="opportunity",$BW79=0.7,$BV79=0.4),$D79 &amp; ";","")</f>
        <v/>
      </c>
      <c r="DF79" s="58">
        <f>IF(AND($H79="opportunity",$BW79=0.7,$BV79=0.2),$D79 &amp; ";","")</f>
        <v/>
      </c>
      <c r="DG79" s="58">
        <f>IF(AND($H79="opportunity",$BW79=0.7,$BV79=0.1),$D79 &amp; ";","")</f>
        <v/>
      </c>
      <c r="DH79" s="58">
        <f>IF(AND($H79="opportunity",$BW79=0.7,$BV79=0.05),$D79 &amp; ";","")</f>
        <v/>
      </c>
      <c r="DI79" s="58">
        <f>IF(AND($H79="opportunity",$BW79=0.5,$BV79=0.8),$D79 &amp; ";","")</f>
        <v/>
      </c>
      <c r="DJ79" s="58">
        <f>IF(AND($H79="opportunity",$BW79=0.5,$BV79=0.4),$D79 &amp; ";","")</f>
        <v/>
      </c>
      <c r="DK79" s="58">
        <f>IF(AND($H79="opportunity",$BW79=0.5,$BV79=0.2),$D79 &amp; ";","")</f>
        <v/>
      </c>
      <c r="DL79" s="58">
        <f>IF(AND($H79="opportunity",$BW79=0.5,$BV79=0.1),$D79 &amp; ";","")</f>
        <v/>
      </c>
      <c r="DM79" s="58">
        <f>IF(AND($H79="opportunity",$BW79=0.5,$BV79=0.05),$D79 &amp; ";","")</f>
        <v/>
      </c>
      <c r="DN79" s="58">
        <f>IF(AND($H79="opportunity",$BW79=0.3,$BV79=0.8),$D79 &amp; ";","")</f>
        <v/>
      </c>
      <c r="DO79" s="58">
        <f>IF(AND($H79="opportunity",$BW79=0.3,$BV79=0.4),$D79 &amp; ";","")</f>
        <v/>
      </c>
      <c r="DP79" s="58">
        <f>IF(AND($H79="opportunity",$BW79=0.3,$BV79=0.2),$D79 &amp; ";","")</f>
        <v/>
      </c>
      <c r="DQ79" s="58">
        <f>IF(AND($H79="opportunity",$BW79=0.3,$BV79=0.1),$D79 &amp; ";","")</f>
        <v/>
      </c>
      <c r="DR79" s="58">
        <f>IF(AND($H79="opportunity",$BW79=0.3,$BV79=0.05),$D79 &amp; ";","")</f>
        <v/>
      </c>
      <c r="DS79" s="58">
        <f>IF(AND($H79="opportunity",$BW79=0.1,$BV79=0.8),$D79 &amp; ";","")</f>
        <v/>
      </c>
      <c r="DT79" s="58">
        <f>IF(AND($H79="opportunity",$BW79=0.1,$BV79=0.4),$D79 &amp; ";","")</f>
        <v/>
      </c>
      <c r="DU79" s="58">
        <f>IF(AND($H79="opportunity",$BW79=0.1,$BV79=0.2),$D79 &amp; ";","")</f>
        <v/>
      </c>
      <c r="DV79" s="58">
        <f>IF(AND($H79="opportunity",$BW79=0.1,$BV79=0.1),$D79 &amp; ";","")</f>
        <v/>
      </c>
      <c r="DW79" s="58">
        <f>IF(AND($H79="opportunity",$BW79=0.1,$BV79=0.05),$D79 &amp; ";","")</f>
        <v/>
      </c>
    </row>
    <row r="80">
      <c r="D80" s="60">
        <f>INDIRECT(ADDRESS(ROW()-22,COLUMN()-2,1,1,"Risk Register"))</f>
        <v/>
      </c>
      <c r="E80" s="143">
        <f>INDIRECT(ADDRESS(ROW()-22,COLUMN()-1,1,1,"Risk Register"))</f>
        <v/>
      </c>
      <c r="G80" s="56">
        <f>INDIRECT(ADDRESS(ROW()-22,COLUMN()+10,1,1,"Risk Register"))</f>
        <v/>
      </c>
      <c r="H80" s="60">
        <f>INDIRECT(ADDRESS(ROW()-22,COLUMN()+8,1,1,"Risk Register"))</f>
        <v/>
      </c>
      <c r="I80" s="54">
        <f>INDIRECT(ADDRESS(ROW()-22,COLUMN()+3,1,1,"Risk Register"))</f>
        <v/>
      </c>
      <c r="J80" s="143">
        <f>INDIRECT(ADDRESS(ROW()-22,COLUMN()+12,1,1,"Risk Register"))</f>
        <v/>
      </c>
      <c r="K80" s="143">
        <f>INDIRECT(ADDRESS(ROW()-22,COLUMN()-2,1,1,"Risk Register"))</f>
        <v/>
      </c>
      <c r="L80" s="176">
        <f>INDIRECT(ADDRESS(ROW()-22,COLUMN()+15,1,1,"Risk Register"))</f>
        <v/>
      </c>
      <c r="M80" s="54">
        <f>INDIRECT(ADDRESS(ROW()-22,COLUMN()+13,1,1,"Risk Register"))</f>
        <v/>
      </c>
      <c r="N80" s="143">
        <f>INDIRECT(ADDRESS(ROW()-22,COLUMN()-9,1,1,"Risk Register"))</f>
        <v/>
      </c>
      <c r="O80" s="143">
        <f>INDIRECT(ADDRESS(ROW()-22,COLUMN()-8,1,1,"Risk Register"))</f>
        <v/>
      </c>
      <c r="P80" s="56">
        <f>INDIRECT(ADDRESS(ROW()-22,COLUMN()+18,1,1,"Risk Register"))</f>
        <v/>
      </c>
      <c r="R80" s="57">
        <f>INDIRECT(ADDRESS(ROW()-22,COLUMN()-5,1,1,"Risk Register"))</f>
        <v/>
      </c>
      <c r="S80" s="58">
        <f>INDIRECT(ADDRESS(ROW()-22,COLUMN()-4,1,1,"Risk Register"))</f>
        <v/>
      </c>
      <c r="T80" s="59">
        <f>IF(AND($H80="threat",$G80&lt;=0.05),"gn",IF(AND($H80="threat",$G80&lt;=0.14),"y",IF(AND($H80="threat", $G80&gt;=0.15),"r",IF(AND($H80="opportunity",$G80&lt;=0.05),"gn",IF(AND($H80="opportunity",$G80&lt;=0.14),"lb",IF(AND($H80="opportunity",$G80&gt;=0.15),"db","z"))))))</f>
        <v/>
      </c>
      <c r="U80" s="58">
        <f>IF(AND($H80="threat",$S80=0.9,$R80=0.05),$D80 &amp; ";","")</f>
        <v/>
      </c>
      <c r="V80" s="58">
        <f>IF(AND($H80="threat",$S80=0.9,$R80=0.1),$D80 &amp; ";","")</f>
        <v/>
      </c>
      <c r="W80" s="58">
        <f>IF(AND($H80="threat",$S80=0.9,$R80=0.2),$D80 &amp; ";","")</f>
        <v/>
      </c>
      <c r="X80" s="58">
        <f>IF(AND($H80="threat",$S80=0.9,$R80=0.4),$D80 &amp; ";","")</f>
        <v/>
      </c>
      <c r="Y80" s="58">
        <f>IF(AND($H80="threat",$S80=0.9,$R80=0.8),$D80 &amp; ";","")</f>
        <v/>
      </c>
      <c r="Z80" s="58">
        <f>IF(AND($H80="threat",$S80=0.7,$R80=0.05),$D80 &amp; ";","")</f>
        <v/>
      </c>
      <c r="AA80" s="58">
        <f>IF(AND($H80="threat",$S80=0.7,$R80=0.1),$D80 &amp; ";","")</f>
        <v/>
      </c>
      <c r="AB80" s="58">
        <f>IF(AND($H80="threat",$S80=0.7,$R80=0.2),$D80 &amp; ";","")</f>
        <v/>
      </c>
      <c r="AC80" s="58">
        <f>IF(AND($H80="threat",$S80=0.7,$R80=0.4),$D80 &amp; ";","")</f>
        <v/>
      </c>
      <c r="AD80" s="58">
        <f>IF(AND($H80="threat",$S80=0.7,$R80=0.8),$D80 &amp; ";","")</f>
        <v/>
      </c>
      <c r="AE80" s="58">
        <f>IF(AND($H80="threat",$S80=0.5,$R80=0.05),$D80 &amp; ";","")</f>
        <v/>
      </c>
      <c r="AF80" s="58">
        <f>IF(AND($H80="threat",$S80=0.5,$R80=0.1),$D80 &amp; ";","")</f>
        <v/>
      </c>
      <c r="AG80" s="58">
        <f>IF(AND($H80="threat",$S80=0.5,$R80=0.2),$D80 &amp; ";","")</f>
        <v/>
      </c>
      <c r="AH80" s="58">
        <f>IF(AND($H80="threat",$S80=0.5,$R80=0.4),$D80 &amp; ";","")</f>
        <v/>
      </c>
      <c r="AI80" s="58">
        <f>IF(AND($H80="threat",$S80=0.5,$R80=0.8),$D80 &amp; ";","")</f>
        <v/>
      </c>
      <c r="AJ80" s="58">
        <f>IF(AND($H80="threat",$S80=0.3,$R80=0.05),$D80 &amp; ";","")</f>
        <v/>
      </c>
      <c r="AK80" s="58">
        <f>IF(AND($H80="threat",$S80=0.3,$R80=0.1),$D80 &amp; ";","")</f>
        <v/>
      </c>
      <c r="AL80" s="58">
        <f>IF(AND($H80="threat",$S80=0.3,$R80=0.2),$D80 &amp; ";","")</f>
        <v/>
      </c>
      <c r="AM80" s="58">
        <f>IF(AND($H80="threat",$S80=0.3,$R80=0.4),$D80 &amp; ";","")</f>
        <v/>
      </c>
      <c r="AN80" s="58">
        <f>IF(AND($H80="threat",$S80=0.3,$R80=0.8),$D80 &amp; ";","")</f>
        <v/>
      </c>
      <c r="AO80" s="58">
        <f>IF(AND($H80="threat",$S80=0.1,$R80=0.05),$D80 &amp; ";","")</f>
        <v/>
      </c>
      <c r="AP80" s="58">
        <f>IF(AND($H80="threat",$S80=0.1,$R80=0.1),$D80 &amp; ";","")</f>
        <v/>
      </c>
      <c r="AQ80" s="58">
        <f>IF(AND($H80="threat",$S80=0.1,$R80=0.2),$D80 &amp; ";","")</f>
        <v/>
      </c>
      <c r="AR80" s="58">
        <f>IF(AND($H80="threat",$S80=0.1,$R80=0.4),$D80 &amp; ";","")</f>
        <v/>
      </c>
      <c r="AS80" s="58">
        <f>IF(AND($H80="threat",$S80=0.1,$R80=0.8),$D80 &amp; ";","")</f>
        <v/>
      </c>
      <c r="AT80" s="39" t="n"/>
      <c r="AU80" s="58">
        <f>IF(AND($H80="opportunity",$S80=0.9,$R80=0.8),$D80 &amp; ";","")</f>
        <v/>
      </c>
      <c r="AV80" s="58">
        <f>IF(AND($H80="opportunity",$S80=0.9,$R80=0.4),$D80 &amp; ";","")</f>
        <v/>
      </c>
      <c r="AW80" s="58">
        <f>IF(AND($H80="opportunity",$S80=0.9,$R80=0.2),$D80 &amp; ";","")</f>
        <v/>
      </c>
      <c r="AX80" s="58">
        <f>IF(AND($H80="opportunity",$S80=0.9,$R80=0.1),$D80 &amp; ";","")</f>
        <v/>
      </c>
      <c r="AY80" s="58">
        <f>IF(AND($H80="opportunity",$S80=0.9,$R80=0.05),$D80 &amp; ";","")</f>
        <v/>
      </c>
      <c r="AZ80" s="58">
        <f>IF(AND($H80="opportunity",$S80=0.7,$R80=0.8),$D80 &amp; ";","")</f>
        <v/>
      </c>
      <c r="BA80" s="58">
        <f>IF(AND($H80="opportunity",$S80=0.7,$R80=0.4),$D80 &amp; ";","")</f>
        <v/>
      </c>
      <c r="BB80" s="58">
        <f>IF(AND($H80="opportunity",$S80=0.7,$R80=0.2),$D80 &amp; ";","")</f>
        <v/>
      </c>
      <c r="BC80" s="58">
        <f>IF(AND($H80="opportunity",$S80=0.7,$R80=0.1),$D80 &amp; ";","")</f>
        <v/>
      </c>
      <c r="BD80" s="58">
        <f>IF(AND($H80="opportunity",$S80=0.7,$R80=0.05),$D80 &amp; ";","")</f>
        <v/>
      </c>
      <c r="BE80" s="58">
        <f>IF(AND($H80="opportunity",$S80=0.5,$R80=0.8),$D80 &amp; ";","")</f>
        <v/>
      </c>
      <c r="BF80" s="58">
        <f>IF(AND($H80="opportunity",$S80=0.5,$R80=0.4),$D80 &amp; ";","")</f>
        <v/>
      </c>
      <c r="BG80" s="58">
        <f>IF(AND($H80="opportunity",$S80=0.5,$R80=0.2),$D80 &amp; ";","")</f>
        <v/>
      </c>
      <c r="BH80" s="58">
        <f>IF(AND($H80="opportunity",$S80=0.5,$R80=0.1),$D80 &amp; ";","")</f>
        <v/>
      </c>
      <c r="BI80" s="58">
        <f>IF(AND($H80="opportunity",$S80=0.5,$R80=0.05),$D80 &amp; ";","")</f>
        <v/>
      </c>
      <c r="BJ80" s="58">
        <f>IF(AND($H80="opportunity",$S80=0.3,$R80=0.8),$D80 &amp; ";","")</f>
        <v/>
      </c>
      <c r="BK80" s="58">
        <f>IF(AND($H80="opportunity",$S80=0.3,$R80=0.4),$D80 &amp; ";","")</f>
        <v/>
      </c>
      <c r="BL80" s="58">
        <f>IF(AND($H80="opportunity",$S80=0.3,$R80=0.2),$D80 &amp; ";","")</f>
        <v/>
      </c>
      <c r="BM80" s="58">
        <f>IF(AND($H80="opportunity",$S80=0.3,$R80=0.1),$D80 &amp; ";","")</f>
        <v/>
      </c>
      <c r="BN80" s="58">
        <f>IF(AND($H80="opportunity",$S80=0.3,$R80=0.05),$D80 &amp; ";","")</f>
        <v/>
      </c>
      <c r="BO80" s="58">
        <f>IF(AND($H80="opportunity",$S80=0.1,$R80=0.8),$D80 &amp; ";","")</f>
        <v/>
      </c>
      <c r="BP80" s="58">
        <f>IF(AND($H80="opportunity",$S80=0.1,$R80=0.4),$D80 &amp; ";","")</f>
        <v/>
      </c>
      <c r="BQ80" s="58">
        <f>IF(AND($H80="opportunity",$S80=0.1,$R80=0.2),$D80 &amp; ";","")</f>
        <v/>
      </c>
      <c r="BR80" s="58">
        <f>IF(AND($H80="opportunity",$S80=0.1,$R80=0.1),$D80 &amp; ";","")</f>
        <v/>
      </c>
      <c r="BS80" s="58">
        <f>IF(AND($H80="opportunity",$S80=0.1,$R80=0.05),$D80 &amp; ";","")</f>
        <v/>
      </c>
      <c r="BV80" s="57">
        <f>INDIRECT(ADDRESS(ROW()-22,COLUMN()-45,1,1,"Risk Register"))</f>
        <v/>
      </c>
      <c r="BW80" s="58">
        <f>INDIRECT(ADDRESS(ROW()-22,COLUMN()-44,1,1,"Risk Register"))</f>
        <v/>
      </c>
      <c r="BX80" s="59">
        <f>IF(AND($H80="threat",$P80&lt;=0.05),"gn",IF(AND($H80="threat",$P80&lt;=0.14),"y",IF(AND($H80="threat", $P80&gt;=0.15),"r",IF(AND($H80="opportunity",$P80&lt;=0.05),"gn",IF(AND($H80="opportunity",$P80&lt;=0.14),"lb",IF(AND($H80="opportunity",$P80&gt;=0.15),"db","z"))))))</f>
        <v/>
      </c>
      <c r="BY80" s="58">
        <f>IF(AND($H80="threat",$BW80=0.9,$BV80=0.05),$D80 &amp; ";","")</f>
        <v/>
      </c>
      <c r="BZ80" s="58">
        <f>IF(AND($H80="threat",$BW80=0.9,$BV80=0.1),$D80 &amp; ";","")</f>
        <v/>
      </c>
      <c r="CA80" s="58">
        <f>IF(AND($H80="threat",$BW80=0.9,$BV80=0.2),$D80 &amp; ";","")</f>
        <v/>
      </c>
      <c r="CB80" s="58">
        <f>IF(AND($H80="threat",$BW80=0.9,$BV80=0.4),$D80 &amp; ";","")</f>
        <v/>
      </c>
      <c r="CC80" s="58">
        <f>IF(AND($H80="threat",$BW80=0.9,$BV80=0.8),$D80 &amp; ";","")</f>
        <v/>
      </c>
      <c r="CD80" s="58">
        <f>IF(AND($H80="threat",$BW80=0.7,$BV80=0.05),$D80 &amp; ";","")</f>
        <v/>
      </c>
      <c r="CE80" s="58">
        <f>IF(AND($H80="threat",$BW80=0.7,$BV80=0.1),$D80 &amp; ";","")</f>
        <v/>
      </c>
      <c r="CF80" s="58">
        <f>IF(AND($H80="threat",$BW80=0.7,$BV80=0.2),$D80 &amp; ";","")</f>
        <v/>
      </c>
      <c r="CG80" s="58">
        <f>IF(AND($H80="threat",$BW80=0.7,$BV80=0.4),$D80 &amp; ";","")</f>
        <v/>
      </c>
      <c r="CH80" s="58">
        <f>IF(AND($H80="threat",$BW80=0.7,$BV80=0.8),$D80 &amp; ";","")</f>
        <v/>
      </c>
      <c r="CI80" s="58">
        <f>IF(AND($H80="threat",$BW80=0.5,$BV80=0.05),$D80 &amp; ";","")</f>
        <v/>
      </c>
      <c r="CJ80" s="58">
        <f>IF(AND($H80="threat",$BW80=0.5,$BV80=0.1),$D80 &amp; ";","")</f>
        <v/>
      </c>
      <c r="CK80" s="58">
        <f>IF(AND($H80="threat",$BW80=0.5,$BV80=0.2),$D80 &amp; ";","")</f>
        <v/>
      </c>
      <c r="CL80" s="58">
        <f>IF(AND($H80="threat",$BW80=0.5,$BV80=0.4),$D80 &amp; ";","")</f>
        <v/>
      </c>
      <c r="CM80" s="58">
        <f>IF(AND($H80="threat",$BW80=0.5,$BV80=0.8),$D80 &amp; ";","")</f>
        <v/>
      </c>
      <c r="CN80" s="58">
        <f>IF(AND($H80="threat",$BW80=0.3,$BV80=0.05),$D80 &amp; ";","")</f>
        <v/>
      </c>
      <c r="CO80" s="58">
        <f>IF(AND($H80="threat",$BW80=0.3,$BV80=0.1),$D80 &amp; ";","")</f>
        <v/>
      </c>
      <c r="CP80" s="58">
        <f>IF(AND($H80="threat",$BW80=0.3,$BV80=0.2),$D80 &amp; ";","")</f>
        <v/>
      </c>
      <c r="CQ80" s="58">
        <f>IF(AND($H80="threat",$BW80=0.3,$BV80=0.4),$D80 &amp; ";","")</f>
        <v/>
      </c>
      <c r="CR80" s="58">
        <f>IF(AND($H80="threat",$BW80=0.3,$BV80=0.8),$D80 &amp; ";","")</f>
        <v/>
      </c>
      <c r="CS80" s="58">
        <f>IF(AND($H80="threat",$BW80=0.1,$BV80=0.05),$D80 &amp; ";","")</f>
        <v/>
      </c>
      <c r="CT80" s="58">
        <f>IF(AND($H80="threat",$BW80=0.1,$BV80=0.1),$D80 &amp; ";","")</f>
        <v/>
      </c>
      <c r="CU80" s="58">
        <f>IF(AND($H80="threat",$BW80=0.1,$BV80=0.2),$D80 &amp; ";","")</f>
        <v/>
      </c>
      <c r="CV80" s="58">
        <f>IF(AND($H80="threat",$BW80=0.1,$BV80=0.4),$D80 &amp; ";","")</f>
        <v/>
      </c>
      <c r="CW80" s="58">
        <f>IF(AND($H80="threat",$BW80=0.1,$BV80=0.8),$D80 &amp; ";","")</f>
        <v/>
      </c>
      <c r="CX80" s="39" t="n"/>
      <c r="CY80" s="58">
        <f>IF(AND($H80="opportunity",$BW80=0.9,$BV80=0.8),$D80 &amp; ";","")</f>
        <v/>
      </c>
      <c r="CZ80" s="58">
        <f>IF(AND($H80="opportunity",$BW80=0.9,$BV80=0.4),$D80 &amp; ";","")</f>
        <v/>
      </c>
      <c r="DA80" s="58">
        <f>IF(AND($H80="opportunity",$BW80=0.9,$BV80=0.2),$D80 &amp; ";","")</f>
        <v/>
      </c>
      <c r="DB80" s="58">
        <f>IF(AND($H80="opportunity",$BW80=0.9,$BV80=0.1),$D80 &amp; ";","")</f>
        <v/>
      </c>
      <c r="DC80" s="58">
        <f>IF(AND($H80="opportunity",$BW80=0.9,$BV80=0.05),$D80 &amp; ";","")</f>
        <v/>
      </c>
      <c r="DD80" s="58">
        <f>IF(AND($H80="opportunity",$BW80=0.7,$BV80=0.8),$D80 &amp; ";","")</f>
        <v/>
      </c>
      <c r="DE80" s="58">
        <f>IF(AND($H80="opportunity",$BW80=0.7,$BV80=0.4),$D80 &amp; ";","")</f>
        <v/>
      </c>
      <c r="DF80" s="58">
        <f>IF(AND($H80="opportunity",$BW80=0.7,$BV80=0.2),$D80 &amp; ";","")</f>
        <v/>
      </c>
      <c r="DG80" s="58">
        <f>IF(AND($H80="opportunity",$BW80=0.7,$BV80=0.1),$D80 &amp; ";","")</f>
        <v/>
      </c>
      <c r="DH80" s="58">
        <f>IF(AND($H80="opportunity",$BW80=0.7,$BV80=0.05),$D80 &amp; ";","")</f>
        <v/>
      </c>
      <c r="DI80" s="58">
        <f>IF(AND($H80="opportunity",$BW80=0.5,$BV80=0.8),$D80 &amp; ";","")</f>
        <v/>
      </c>
      <c r="DJ80" s="58">
        <f>IF(AND($H80="opportunity",$BW80=0.5,$BV80=0.4),$D80 &amp; ";","")</f>
        <v/>
      </c>
      <c r="DK80" s="58">
        <f>IF(AND($H80="opportunity",$BW80=0.5,$BV80=0.2),$D80 &amp; ";","")</f>
        <v/>
      </c>
      <c r="DL80" s="58">
        <f>IF(AND($H80="opportunity",$BW80=0.5,$BV80=0.1),$D80 &amp; ";","")</f>
        <v/>
      </c>
      <c r="DM80" s="58">
        <f>IF(AND($H80="opportunity",$BW80=0.5,$BV80=0.05),$D80 &amp; ";","")</f>
        <v/>
      </c>
      <c r="DN80" s="58">
        <f>IF(AND($H80="opportunity",$BW80=0.3,$BV80=0.8),$D80 &amp; ";","")</f>
        <v/>
      </c>
      <c r="DO80" s="58">
        <f>IF(AND($H80="opportunity",$BW80=0.3,$BV80=0.4),$D80 &amp; ";","")</f>
        <v/>
      </c>
      <c r="DP80" s="58">
        <f>IF(AND($H80="opportunity",$BW80=0.3,$BV80=0.2),$D80 &amp; ";","")</f>
        <v/>
      </c>
      <c r="DQ80" s="58">
        <f>IF(AND($H80="opportunity",$BW80=0.3,$BV80=0.1),$D80 &amp; ";","")</f>
        <v/>
      </c>
      <c r="DR80" s="58">
        <f>IF(AND($H80="opportunity",$BW80=0.3,$BV80=0.05),$D80 &amp; ";","")</f>
        <v/>
      </c>
      <c r="DS80" s="58">
        <f>IF(AND($H80="opportunity",$BW80=0.1,$BV80=0.8),$D80 &amp; ";","")</f>
        <v/>
      </c>
      <c r="DT80" s="58">
        <f>IF(AND($H80="opportunity",$BW80=0.1,$BV80=0.4),$D80 &amp; ";","")</f>
        <v/>
      </c>
      <c r="DU80" s="58">
        <f>IF(AND($H80="opportunity",$BW80=0.1,$BV80=0.2),$D80 &amp; ";","")</f>
        <v/>
      </c>
      <c r="DV80" s="58">
        <f>IF(AND($H80="opportunity",$BW80=0.1,$BV80=0.1),$D80 &amp; ";","")</f>
        <v/>
      </c>
      <c r="DW80" s="58">
        <f>IF(AND($H80="opportunity",$BW80=0.1,$BV80=0.05),$D80 &amp; ";","")</f>
        <v/>
      </c>
    </row>
    <row r="81">
      <c r="D81" s="60">
        <f>INDIRECT(ADDRESS(ROW()-22,COLUMN()-2,1,1,"Risk Register"))</f>
        <v/>
      </c>
      <c r="E81" s="143">
        <f>INDIRECT(ADDRESS(ROW()-22,COLUMN()-1,1,1,"Risk Register"))</f>
        <v/>
      </c>
      <c r="G81" s="56">
        <f>INDIRECT(ADDRESS(ROW()-22,COLUMN()+10,1,1,"Risk Register"))</f>
        <v/>
      </c>
      <c r="H81" s="60">
        <f>INDIRECT(ADDRESS(ROW()-22,COLUMN()+8,1,1,"Risk Register"))</f>
        <v/>
      </c>
      <c r="I81" s="54">
        <f>INDIRECT(ADDRESS(ROW()-22,COLUMN()+3,1,1,"Risk Register"))</f>
        <v/>
      </c>
      <c r="J81" s="143">
        <f>INDIRECT(ADDRESS(ROW()-22,COLUMN()+12,1,1,"Risk Register"))</f>
        <v/>
      </c>
      <c r="K81" s="143">
        <f>INDIRECT(ADDRESS(ROW()-22,COLUMN()-2,1,1,"Risk Register"))</f>
        <v/>
      </c>
      <c r="L81" s="176">
        <f>INDIRECT(ADDRESS(ROW()-22,COLUMN()+15,1,1,"Risk Register"))</f>
        <v/>
      </c>
      <c r="M81" s="54">
        <f>INDIRECT(ADDRESS(ROW()-22,COLUMN()+13,1,1,"Risk Register"))</f>
        <v/>
      </c>
      <c r="N81" s="143">
        <f>INDIRECT(ADDRESS(ROW()-22,COLUMN()-9,1,1,"Risk Register"))</f>
        <v/>
      </c>
      <c r="O81" s="143">
        <f>INDIRECT(ADDRESS(ROW()-22,COLUMN()-8,1,1,"Risk Register"))</f>
        <v/>
      </c>
      <c r="P81" s="56">
        <f>INDIRECT(ADDRESS(ROW()-22,COLUMN()+18,1,1,"Risk Register"))</f>
        <v/>
      </c>
      <c r="R81" s="57">
        <f>INDIRECT(ADDRESS(ROW()-22,COLUMN()-5,1,1,"Risk Register"))</f>
        <v/>
      </c>
      <c r="S81" s="58">
        <f>INDIRECT(ADDRESS(ROW()-22,COLUMN()-4,1,1,"Risk Register"))</f>
        <v/>
      </c>
      <c r="T81" s="59">
        <f>IF(AND($H81="threat",$G81&lt;=0.05),"gn",IF(AND($H81="threat",$G81&lt;=0.14),"y",IF(AND($H81="threat", $G81&gt;=0.15),"r",IF(AND($H81="opportunity",$G81&lt;=0.05),"gn",IF(AND($H81="opportunity",$G81&lt;=0.14),"lb",IF(AND($H81="opportunity",$G81&gt;=0.15),"db","z"))))))</f>
        <v/>
      </c>
      <c r="U81" s="58">
        <f>IF(AND($H81="threat",$S81=0.9,$R81=0.05),$D81 &amp; ";","")</f>
        <v/>
      </c>
      <c r="V81" s="58">
        <f>IF(AND($H81="threat",$S81=0.9,$R81=0.1),$D81 &amp; ";","")</f>
        <v/>
      </c>
      <c r="W81" s="58">
        <f>IF(AND($H81="threat",$S81=0.9,$R81=0.2),$D81 &amp; ";","")</f>
        <v/>
      </c>
      <c r="X81" s="58">
        <f>IF(AND($H81="threat",$S81=0.9,$R81=0.4),$D81 &amp; ";","")</f>
        <v/>
      </c>
      <c r="Y81" s="58">
        <f>IF(AND($H81="threat",$S81=0.9,$R81=0.8),$D81 &amp; ";","")</f>
        <v/>
      </c>
      <c r="Z81" s="58">
        <f>IF(AND($H81="threat",$S81=0.7,$R81=0.05),$D81 &amp; ";","")</f>
        <v/>
      </c>
      <c r="AA81" s="58">
        <f>IF(AND($H81="threat",$S81=0.7,$R81=0.1),$D81 &amp; ";","")</f>
        <v/>
      </c>
      <c r="AB81" s="58">
        <f>IF(AND($H81="threat",$S81=0.7,$R81=0.2),$D81 &amp; ";","")</f>
        <v/>
      </c>
      <c r="AC81" s="58">
        <f>IF(AND($H81="threat",$S81=0.7,$R81=0.4),$D81 &amp; ";","")</f>
        <v/>
      </c>
      <c r="AD81" s="58">
        <f>IF(AND($H81="threat",$S81=0.7,$R81=0.8),$D81 &amp; ";","")</f>
        <v/>
      </c>
      <c r="AE81" s="58">
        <f>IF(AND($H81="threat",$S81=0.5,$R81=0.05),$D81 &amp; ";","")</f>
        <v/>
      </c>
      <c r="AF81" s="58">
        <f>IF(AND($H81="threat",$S81=0.5,$R81=0.1),$D81 &amp; ";","")</f>
        <v/>
      </c>
      <c r="AG81" s="58">
        <f>IF(AND($H81="threat",$S81=0.5,$R81=0.2),$D81 &amp; ";","")</f>
        <v/>
      </c>
      <c r="AH81" s="58">
        <f>IF(AND($H81="threat",$S81=0.5,$R81=0.4),$D81 &amp; ";","")</f>
        <v/>
      </c>
      <c r="AI81" s="58">
        <f>IF(AND($H81="threat",$S81=0.5,$R81=0.8),$D81 &amp; ";","")</f>
        <v/>
      </c>
      <c r="AJ81" s="58">
        <f>IF(AND($H81="threat",$S81=0.3,$R81=0.05),$D81 &amp; ";","")</f>
        <v/>
      </c>
      <c r="AK81" s="58">
        <f>IF(AND($H81="threat",$S81=0.3,$R81=0.1),$D81 &amp; ";","")</f>
        <v/>
      </c>
      <c r="AL81" s="58">
        <f>IF(AND($H81="threat",$S81=0.3,$R81=0.2),$D81 &amp; ";","")</f>
        <v/>
      </c>
      <c r="AM81" s="58">
        <f>IF(AND($H81="threat",$S81=0.3,$R81=0.4),$D81 &amp; ";","")</f>
        <v/>
      </c>
      <c r="AN81" s="58">
        <f>IF(AND($H81="threat",$S81=0.3,$R81=0.8),$D81 &amp; ";","")</f>
        <v/>
      </c>
      <c r="AO81" s="58">
        <f>IF(AND($H81="threat",$S81=0.1,$R81=0.05),$D81 &amp; ";","")</f>
        <v/>
      </c>
      <c r="AP81" s="58">
        <f>IF(AND($H81="threat",$S81=0.1,$R81=0.1),$D81 &amp; ";","")</f>
        <v/>
      </c>
      <c r="AQ81" s="58">
        <f>IF(AND($H81="threat",$S81=0.1,$R81=0.2),$D81 &amp; ";","")</f>
        <v/>
      </c>
      <c r="AR81" s="58">
        <f>IF(AND($H81="threat",$S81=0.1,$R81=0.4),$D81 &amp; ";","")</f>
        <v/>
      </c>
      <c r="AS81" s="58">
        <f>IF(AND($H81="threat",$S81=0.1,$R81=0.8),$D81 &amp; ";","")</f>
        <v/>
      </c>
      <c r="AT81" s="39" t="n"/>
      <c r="AU81" s="58">
        <f>IF(AND($H81="opportunity",$S81=0.9,$R81=0.8),$D81 &amp; ";","")</f>
        <v/>
      </c>
      <c r="AV81" s="58">
        <f>IF(AND($H81="opportunity",$S81=0.9,$R81=0.4),$D81 &amp; ";","")</f>
        <v/>
      </c>
      <c r="AW81" s="58">
        <f>IF(AND($H81="opportunity",$S81=0.9,$R81=0.2),$D81 &amp; ";","")</f>
        <v/>
      </c>
      <c r="AX81" s="58">
        <f>IF(AND($H81="opportunity",$S81=0.9,$R81=0.1),$D81 &amp; ";","")</f>
        <v/>
      </c>
      <c r="AY81" s="58">
        <f>IF(AND($H81="opportunity",$S81=0.9,$R81=0.05),$D81 &amp; ";","")</f>
        <v/>
      </c>
      <c r="AZ81" s="58">
        <f>IF(AND($H81="opportunity",$S81=0.7,$R81=0.8),$D81 &amp; ";","")</f>
        <v/>
      </c>
      <c r="BA81" s="58">
        <f>IF(AND($H81="opportunity",$S81=0.7,$R81=0.4),$D81 &amp; ";","")</f>
        <v/>
      </c>
      <c r="BB81" s="58">
        <f>IF(AND($H81="opportunity",$S81=0.7,$R81=0.2),$D81 &amp; ";","")</f>
        <v/>
      </c>
      <c r="BC81" s="58">
        <f>IF(AND($H81="opportunity",$S81=0.7,$R81=0.1),$D81 &amp; ";","")</f>
        <v/>
      </c>
      <c r="BD81" s="58">
        <f>IF(AND($H81="opportunity",$S81=0.7,$R81=0.05),$D81 &amp; ";","")</f>
        <v/>
      </c>
      <c r="BE81" s="58">
        <f>IF(AND($H81="opportunity",$S81=0.5,$R81=0.8),$D81 &amp; ";","")</f>
        <v/>
      </c>
      <c r="BF81" s="58">
        <f>IF(AND($H81="opportunity",$S81=0.5,$R81=0.4),$D81 &amp; ";","")</f>
        <v/>
      </c>
      <c r="BG81" s="58">
        <f>IF(AND($H81="opportunity",$S81=0.5,$R81=0.2),$D81 &amp; ";","")</f>
        <v/>
      </c>
      <c r="BH81" s="58">
        <f>IF(AND($H81="opportunity",$S81=0.5,$R81=0.1),$D81 &amp; ";","")</f>
        <v/>
      </c>
      <c r="BI81" s="58">
        <f>IF(AND($H81="opportunity",$S81=0.5,$R81=0.05),$D81 &amp; ";","")</f>
        <v/>
      </c>
      <c r="BJ81" s="58">
        <f>IF(AND($H81="opportunity",$S81=0.3,$R81=0.8),$D81 &amp; ";","")</f>
        <v/>
      </c>
      <c r="BK81" s="58">
        <f>IF(AND($H81="opportunity",$S81=0.3,$R81=0.4),$D81 &amp; ";","")</f>
        <v/>
      </c>
      <c r="BL81" s="58">
        <f>IF(AND($H81="opportunity",$S81=0.3,$R81=0.2),$D81 &amp; ";","")</f>
        <v/>
      </c>
      <c r="BM81" s="58">
        <f>IF(AND($H81="opportunity",$S81=0.3,$R81=0.1),$D81 &amp; ";","")</f>
        <v/>
      </c>
      <c r="BN81" s="58">
        <f>IF(AND($H81="opportunity",$S81=0.3,$R81=0.05),$D81 &amp; ";","")</f>
        <v/>
      </c>
      <c r="BO81" s="58">
        <f>IF(AND($H81="opportunity",$S81=0.1,$R81=0.8),$D81 &amp; ";","")</f>
        <v/>
      </c>
      <c r="BP81" s="58">
        <f>IF(AND($H81="opportunity",$S81=0.1,$R81=0.4),$D81 &amp; ";","")</f>
        <v/>
      </c>
      <c r="BQ81" s="58">
        <f>IF(AND($H81="opportunity",$S81=0.1,$R81=0.2),$D81 &amp; ";","")</f>
        <v/>
      </c>
      <c r="BR81" s="58">
        <f>IF(AND($H81="opportunity",$S81=0.1,$R81=0.1),$D81 &amp; ";","")</f>
        <v/>
      </c>
      <c r="BS81" s="58">
        <f>IF(AND($H81="opportunity",$S81=0.1,$R81=0.05),$D81 &amp; ";","")</f>
        <v/>
      </c>
      <c r="BV81" s="57">
        <f>INDIRECT(ADDRESS(ROW()-22,COLUMN()-45,1,1,"Risk Register"))</f>
        <v/>
      </c>
      <c r="BW81" s="58">
        <f>INDIRECT(ADDRESS(ROW()-22,COLUMN()-44,1,1,"Risk Register"))</f>
        <v/>
      </c>
      <c r="BX81" s="59">
        <f>IF(AND($H81="threat",$P81&lt;=0.05),"gn",IF(AND($H81="threat",$P81&lt;=0.14),"y",IF(AND($H81="threat", $P81&gt;=0.15),"r",IF(AND($H81="opportunity",$P81&lt;=0.05),"gn",IF(AND($H81="opportunity",$P81&lt;=0.14),"lb",IF(AND($H81="opportunity",$P81&gt;=0.15),"db","z"))))))</f>
        <v/>
      </c>
      <c r="BY81" s="58">
        <f>IF(AND($H81="threat",$BW81=0.9,$BV81=0.05),$D81 &amp; ";","")</f>
        <v/>
      </c>
      <c r="BZ81" s="58">
        <f>IF(AND($H81="threat",$BW81=0.9,$BV81=0.1),$D81 &amp; ";","")</f>
        <v/>
      </c>
      <c r="CA81" s="58">
        <f>IF(AND($H81="threat",$BW81=0.9,$BV81=0.2),$D81 &amp; ";","")</f>
        <v/>
      </c>
      <c r="CB81" s="58">
        <f>IF(AND($H81="threat",$BW81=0.9,$BV81=0.4),$D81 &amp; ";","")</f>
        <v/>
      </c>
      <c r="CC81" s="58">
        <f>IF(AND($H81="threat",$BW81=0.9,$BV81=0.8),$D81 &amp; ";","")</f>
        <v/>
      </c>
      <c r="CD81" s="58">
        <f>IF(AND($H81="threat",$BW81=0.7,$BV81=0.05),$D81 &amp; ";","")</f>
        <v/>
      </c>
      <c r="CE81" s="58">
        <f>IF(AND($H81="threat",$BW81=0.7,$BV81=0.1),$D81 &amp; ";","")</f>
        <v/>
      </c>
      <c r="CF81" s="58">
        <f>IF(AND($H81="threat",$BW81=0.7,$BV81=0.2),$D81 &amp; ";","")</f>
        <v/>
      </c>
      <c r="CG81" s="58">
        <f>IF(AND($H81="threat",$BW81=0.7,$BV81=0.4),$D81 &amp; ";","")</f>
        <v/>
      </c>
      <c r="CH81" s="58">
        <f>IF(AND($H81="threat",$BW81=0.7,$BV81=0.8),$D81 &amp; ";","")</f>
        <v/>
      </c>
      <c r="CI81" s="58">
        <f>IF(AND($H81="threat",$BW81=0.5,$BV81=0.05),$D81 &amp; ";","")</f>
        <v/>
      </c>
      <c r="CJ81" s="58">
        <f>IF(AND($H81="threat",$BW81=0.5,$BV81=0.1),$D81 &amp; ";","")</f>
        <v/>
      </c>
      <c r="CK81" s="58">
        <f>IF(AND($H81="threat",$BW81=0.5,$BV81=0.2),$D81 &amp; ";","")</f>
        <v/>
      </c>
      <c r="CL81" s="58">
        <f>IF(AND($H81="threat",$BW81=0.5,$BV81=0.4),$D81 &amp; ";","")</f>
        <v/>
      </c>
      <c r="CM81" s="58">
        <f>IF(AND($H81="threat",$BW81=0.5,$BV81=0.8),$D81 &amp; ";","")</f>
        <v/>
      </c>
      <c r="CN81" s="58">
        <f>IF(AND($H81="threat",$BW81=0.3,$BV81=0.05),$D81 &amp; ";","")</f>
        <v/>
      </c>
      <c r="CO81" s="58">
        <f>IF(AND($H81="threat",$BW81=0.3,$BV81=0.1),$D81 &amp; ";","")</f>
        <v/>
      </c>
      <c r="CP81" s="58">
        <f>IF(AND($H81="threat",$BW81=0.3,$BV81=0.2),$D81 &amp; ";","")</f>
        <v/>
      </c>
      <c r="CQ81" s="58">
        <f>IF(AND($H81="threat",$BW81=0.3,$BV81=0.4),$D81 &amp; ";","")</f>
        <v/>
      </c>
      <c r="CR81" s="58">
        <f>IF(AND($H81="threat",$BW81=0.3,$BV81=0.8),$D81 &amp; ";","")</f>
        <v/>
      </c>
      <c r="CS81" s="58">
        <f>IF(AND($H81="threat",$BW81=0.1,$BV81=0.05),$D81 &amp; ";","")</f>
        <v/>
      </c>
      <c r="CT81" s="58">
        <f>IF(AND($H81="threat",$BW81=0.1,$BV81=0.1),$D81 &amp; ";","")</f>
        <v/>
      </c>
      <c r="CU81" s="58">
        <f>IF(AND($H81="threat",$BW81=0.1,$BV81=0.2),$D81 &amp; ";","")</f>
        <v/>
      </c>
      <c r="CV81" s="58">
        <f>IF(AND($H81="threat",$BW81=0.1,$BV81=0.4),$D81 &amp; ";","")</f>
        <v/>
      </c>
      <c r="CW81" s="58">
        <f>IF(AND($H81="threat",$BW81=0.1,$BV81=0.8),$D81 &amp; ";","")</f>
        <v/>
      </c>
      <c r="CX81" s="39" t="n"/>
      <c r="CY81" s="58">
        <f>IF(AND($H81="opportunity",$BW81=0.9,$BV81=0.8),$D81 &amp; ";","")</f>
        <v/>
      </c>
      <c r="CZ81" s="58">
        <f>IF(AND($H81="opportunity",$BW81=0.9,$BV81=0.4),$D81 &amp; ";","")</f>
        <v/>
      </c>
      <c r="DA81" s="58">
        <f>IF(AND($H81="opportunity",$BW81=0.9,$BV81=0.2),$D81 &amp; ";","")</f>
        <v/>
      </c>
      <c r="DB81" s="58">
        <f>IF(AND($H81="opportunity",$BW81=0.9,$BV81=0.1),$D81 &amp; ";","")</f>
        <v/>
      </c>
      <c r="DC81" s="58">
        <f>IF(AND($H81="opportunity",$BW81=0.9,$BV81=0.05),$D81 &amp; ";","")</f>
        <v/>
      </c>
      <c r="DD81" s="58">
        <f>IF(AND($H81="opportunity",$BW81=0.7,$BV81=0.8),$D81 &amp; ";","")</f>
        <v/>
      </c>
      <c r="DE81" s="58">
        <f>IF(AND($H81="opportunity",$BW81=0.7,$BV81=0.4),$D81 &amp; ";","")</f>
        <v/>
      </c>
      <c r="DF81" s="58">
        <f>IF(AND($H81="opportunity",$BW81=0.7,$BV81=0.2),$D81 &amp; ";","")</f>
        <v/>
      </c>
      <c r="DG81" s="58">
        <f>IF(AND($H81="opportunity",$BW81=0.7,$BV81=0.1),$D81 &amp; ";","")</f>
        <v/>
      </c>
      <c r="DH81" s="58">
        <f>IF(AND($H81="opportunity",$BW81=0.7,$BV81=0.05),$D81 &amp; ";","")</f>
        <v/>
      </c>
      <c r="DI81" s="58">
        <f>IF(AND($H81="opportunity",$BW81=0.5,$BV81=0.8),$D81 &amp; ";","")</f>
        <v/>
      </c>
      <c r="DJ81" s="58">
        <f>IF(AND($H81="opportunity",$BW81=0.5,$BV81=0.4),$D81 &amp; ";","")</f>
        <v/>
      </c>
      <c r="DK81" s="58">
        <f>IF(AND($H81="opportunity",$BW81=0.5,$BV81=0.2),$D81 &amp; ";","")</f>
        <v/>
      </c>
      <c r="DL81" s="58">
        <f>IF(AND($H81="opportunity",$BW81=0.5,$BV81=0.1),$D81 &amp; ";","")</f>
        <v/>
      </c>
      <c r="DM81" s="58">
        <f>IF(AND($H81="opportunity",$BW81=0.5,$BV81=0.05),$D81 &amp; ";","")</f>
        <v/>
      </c>
      <c r="DN81" s="58">
        <f>IF(AND($H81="opportunity",$BW81=0.3,$BV81=0.8),$D81 &amp; ";","")</f>
        <v/>
      </c>
      <c r="DO81" s="58">
        <f>IF(AND($H81="opportunity",$BW81=0.3,$BV81=0.4),$D81 &amp; ";","")</f>
        <v/>
      </c>
      <c r="DP81" s="58">
        <f>IF(AND($H81="opportunity",$BW81=0.3,$BV81=0.2),$D81 &amp; ";","")</f>
        <v/>
      </c>
      <c r="DQ81" s="58">
        <f>IF(AND($H81="opportunity",$BW81=0.3,$BV81=0.1),$D81 &amp; ";","")</f>
        <v/>
      </c>
      <c r="DR81" s="58">
        <f>IF(AND($H81="opportunity",$BW81=0.3,$BV81=0.05),$D81 &amp; ";","")</f>
        <v/>
      </c>
      <c r="DS81" s="58">
        <f>IF(AND($H81="opportunity",$BW81=0.1,$BV81=0.8),$D81 &amp; ";","")</f>
        <v/>
      </c>
      <c r="DT81" s="58">
        <f>IF(AND($H81="opportunity",$BW81=0.1,$BV81=0.4),$D81 &amp; ";","")</f>
        <v/>
      </c>
      <c r="DU81" s="58">
        <f>IF(AND($H81="opportunity",$BW81=0.1,$BV81=0.2),$D81 &amp; ";","")</f>
        <v/>
      </c>
      <c r="DV81" s="58">
        <f>IF(AND($H81="opportunity",$BW81=0.1,$BV81=0.1),$D81 &amp; ";","")</f>
        <v/>
      </c>
      <c r="DW81" s="58">
        <f>IF(AND($H81="opportunity",$BW81=0.1,$BV81=0.05),$D81 &amp; ";","")</f>
        <v/>
      </c>
    </row>
    <row r="82">
      <c r="D82" s="60">
        <f>INDIRECT(ADDRESS(ROW()-22,COLUMN()-2,1,1,"Risk Register"))</f>
        <v/>
      </c>
      <c r="E82" s="143">
        <f>INDIRECT(ADDRESS(ROW()-22,COLUMN()-1,1,1,"Risk Register"))</f>
        <v/>
      </c>
      <c r="G82" s="56">
        <f>INDIRECT(ADDRESS(ROW()-22,COLUMN()+10,1,1,"Risk Register"))</f>
        <v/>
      </c>
      <c r="H82" s="60">
        <f>INDIRECT(ADDRESS(ROW()-22,COLUMN()+8,1,1,"Risk Register"))</f>
        <v/>
      </c>
      <c r="I82" s="54">
        <f>INDIRECT(ADDRESS(ROW()-22,COLUMN()+3,1,1,"Risk Register"))</f>
        <v/>
      </c>
      <c r="J82" s="143">
        <f>INDIRECT(ADDRESS(ROW()-22,COLUMN()+12,1,1,"Risk Register"))</f>
        <v/>
      </c>
      <c r="K82" s="143">
        <f>INDIRECT(ADDRESS(ROW()-22,COLUMN()-2,1,1,"Risk Register"))</f>
        <v/>
      </c>
      <c r="L82" s="176">
        <f>INDIRECT(ADDRESS(ROW()-22,COLUMN()+15,1,1,"Risk Register"))</f>
        <v/>
      </c>
      <c r="M82" s="54">
        <f>INDIRECT(ADDRESS(ROW()-22,COLUMN()+13,1,1,"Risk Register"))</f>
        <v/>
      </c>
      <c r="N82" s="143">
        <f>INDIRECT(ADDRESS(ROW()-22,COLUMN()-9,1,1,"Risk Register"))</f>
        <v/>
      </c>
      <c r="O82" s="143">
        <f>INDIRECT(ADDRESS(ROW()-22,COLUMN()-8,1,1,"Risk Register"))</f>
        <v/>
      </c>
      <c r="P82" s="56">
        <f>INDIRECT(ADDRESS(ROW()-22,COLUMN()+18,1,1,"Risk Register"))</f>
        <v/>
      </c>
      <c r="R82" s="57">
        <f>INDIRECT(ADDRESS(ROW()-22,COLUMN()-5,1,1,"Risk Register"))</f>
        <v/>
      </c>
      <c r="S82" s="58">
        <f>INDIRECT(ADDRESS(ROW()-22,COLUMN()-4,1,1,"Risk Register"))</f>
        <v/>
      </c>
      <c r="T82" s="59">
        <f>IF(AND($H82="threat",$G82&lt;=0.05),"gn",IF(AND($H82="threat",$G82&lt;=0.14),"y",IF(AND($H82="threat", $G82&gt;=0.15),"r",IF(AND($H82="opportunity",$G82&lt;=0.05),"gn",IF(AND($H82="opportunity",$G82&lt;=0.14),"lb",IF(AND($H82="opportunity",$G82&gt;=0.15),"db","z"))))))</f>
        <v/>
      </c>
      <c r="U82" s="58">
        <f>IF(AND($H82="threat",$S82=0.9,$R82=0.05),$D82 &amp; ";","")</f>
        <v/>
      </c>
      <c r="V82" s="58">
        <f>IF(AND($H82="threat",$S82=0.9,$R82=0.1),$D82 &amp; ";","")</f>
        <v/>
      </c>
      <c r="W82" s="58">
        <f>IF(AND($H82="threat",$S82=0.9,$R82=0.2),$D82 &amp; ";","")</f>
        <v/>
      </c>
      <c r="X82" s="58">
        <f>IF(AND($H82="threat",$S82=0.9,$R82=0.4),$D82 &amp; ";","")</f>
        <v/>
      </c>
      <c r="Y82" s="58">
        <f>IF(AND($H82="threat",$S82=0.9,$R82=0.8),$D82 &amp; ";","")</f>
        <v/>
      </c>
      <c r="Z82" s="58">
        <f>IF(AND($H82="threat",$S82=0.7,$R82=0.05),$D82 &amp; ";","")</f>
        <v/>
      </c>
      <c r="AA82" s="58">
        <f>IF(AND($H82="threat",$S82=0.7,$R82=0.1),$D82 &amp; ";","")</f>
        <v/>
      </c>
      <c r="AB82" s="58">
        <f>IF(AND($H82="threat",$S82=0.7,$R82=0.2),$D82 &amp; ";","")</f>
        <v/>
      </c>
      <c r="AC82" s="58">
        <f>IF(AND($H82="threat",$S82=0.7,$R82=0.4),$D82 &amp; ";","")</f>
        <v/>
      </c>
      <c r="AD82" s="58">
        <f>IF(AND($H82="threat",$S82=0.7,$R82=0.8),$D82 &amp; ";","")</f>
        <v/>
      </c>
      <c r="AE82" s="58">
        <f>IF(AND($H82="threat",$S82=0.5,$R82=0.05),$D82 &amp; ";","")</f>
        <v/>
      </c>
      <c r="AF82" s="58">
        <f>IF(AND($H82="threat",$S82=0.5,$R82=0.1),$D82 &amp; ";","")</f>
        <v/>
      </c>
      <c r="AG82" s="58">
        <f>IF(AND($H82="threat",$S82=0.5,$R82=0.2),$D82 &amp; ";","")</f>
        <v/>
      </c>
      <c r="AH82" s="58">
        <f>IF(AND($H82="threat",$S82=0.5,$R82=0.4),$D82 &amp; ";","")</f>
        <v/>
      </c>
      <c r="AI82" s="58">
        <f>IF(AND($H82="threat",$S82=0.5,$R82=0.8),$D82 &amp; ";","")</f>
        <v/>
      </c>
      <c r="AJ82" s="58">
        <f>IF(AND($H82="threat",$S82=0.3,$R82=0.05),$D82 &amp; ";","")</f>
        <v/>
      </c>
      <c r="AK82" s="58">
        <f>IF(AND($H82="threat",$S82=0.3,$R82=0.1),$D82 &amp; ";","")</f>
        <v/>
      </c>
      <c r="AL82" s="58">
        <f>IF(AND($H82="threat",$S82=0.3,$R82=0.2),$D82 &amp; ";","")</f>
        <v/>
      </c>
      <c r="AM82" s="58">
        <f>IF(AND($H82="threat",$S82=0.3,$R82=0.4),$D82 &amp; ";","")</f>
        <v/>
      </c>
      <c r="AN82" s="58">
        <f>IF(AND($H82="threat",$S82=0.3,$R82=0.8),$D82 &amp; ";","")</f>
        <v/>
      </c>
      <c r="AO82" s="58">
        <f>IF(AND($H82="threat",$S82=0.1,$R82=0.05),$D82 &amp; ";","")</f>
        <v/>
      </c>
      <c r="AP82" s="58">
        <f>IF(AND($H82="threat",$S82=0.1,$R82=0.1),$D82 &amp; ";","")</f>
        <v/>
      </c>
      <c r="AQ82" s="58">
        <f>IF(AND($H82="threat",$S82=0.1,$R82=0.2),$D82 &amp; ";","")</f>
        <v/>
      </c>
      <c r="AR82" s="58">
        <f>IF(AND($H82="threat",$S82=0.1,$R82=0.4),$D82 &amp; ";","")</f>
        <v/>
      </c>
      <c r="AS82" s="58">
        <f>IF(AND($H82="threat",$S82=0.1,$R82=0.8),$D82 &amp; ";","")</f>
        <v/>
      </c>
      <c r="AT82" s="39" t="n"/>
      <c r="AU82" s="58">
        <f>IF(AND($H82="opportunity",$S82=0.9,$R82=0.8),$D82 &amp; ";","")</f>
        <v/>
      </c>
      <c r="AV82" s="58">
        <f>IF(AND($H82="opportunity",$S82=0.9,$R82=0.4),$D82 &amp; ";","")</f>
        <v/>
      </c>
      <c r="AW82" s="58">
        <f>IF(AND($H82="opportunity",$S82=0.9,$R82=0.2),$D82 &amp; ";","")</f>
        <v/>
      </c>
      <c r="AX82" s="58">
        <f>IF(AND($H82="opportunity",$S82=0.9,$R82=0.1),$D82 &amp; ";","")</f>
        <v/>
      </c>
      <c r="AY82" s="58">
        <f>IF(AND($H82="opportunity",$S82=0.9,$R82=0.05),$D82 &amp; ";","")</f>
        <v/>
      </c>
      <c r="AZ82" s="58">
        <f>IF(AND($H82="opportunity",$S82=0.7,$R82=0.8),$D82 &amp; ";","")</f>
        <v/>
      </c>
      <c r="BA82" s="58">
        <f>IF(AND($H82="opportunity",$S82=0.7,$R82=0.4),$D82 &amp; ";","")</f>
        <v/>
      </c>
      <c r="BB82" s="58">
        <f>IF(AND($H82="opportunity",$S82=0.7,$R82=0.2),$D82 &amp; ";","")</f>
        <v/>
      </c>
      <c r="BC82" s="58">
        <f>IF(AND($H82="opportunity",$S82=0.7,$R82=0.1),$D82 &amp; ";","")</f>
        <v/>
      </c>
      <c r="BD82" s="58">
        <f>IF(AND($H82="opportunity",$S82=0.7,$R82=0.05),$D82 &amp; ";","")</f>
        <v/>
      </c>
      <c r="BE82" s="58">
        <f>IF(AND($H82="opportunity",$S82=0.5,$R82=0.8),$D82 &amp; ";","")</f>
        <v/>
      </c>
      <c r="BF82" s="58">
        <f>IF(AND($H82="opportunity",$S82=0.5,$R82=0.4),$D82 &amp; ";","")</f>
        <v/>
      </c>
      <c r="BG82" s="58">
        <f>IF(AND($H82="opportunity",$S82=0.5,$R82=0.2),$D82 &amp; ";","")</f>
        <v/>
      </c>
      <c r="BH82" s="58">
        <f>IF(AND($H82="opportunity",$S82=0.5,$R82=0.1),$D82 &amp; ";","")</f>
        <v/>
      </c>
      <c r="BI82" s="58">
        <f>IF(AND($H82="opportunity",$S82=0.5,$R82=0.05),$D82 &amp; ";","")</f>
        <v/>
      </c>
      <c r="BJ82" s="58">
        <f>IF(AND($H82="opportunity",$S82=0.3,$R82=0.8),$D82 &amp; ";","")</f>
        <v/>
      </c>
      <c r="BK82" s="58">
        <f>IF(AND($H82="opportunity",$S82=0.3,$R82=0.4),$D82 &amp; ";","")</f>
        <v/>
      </c>
      <c r="BL82" s="58">
        <f>IF(AND($H82="opportunity",$S82=0.3,$R82=0.2),$D82 &amp; ";","")</f>
        <v/>
      </c>
      <c r="BM82" s="58">
        <f>IF(AND($H82="opportunity",$S82=0.3,$R82=0.1),$D82 &amp; ";","")</f>
        <v/>
      </c>
      <c r="BN82" s="58">
        <f>IF(AND($H82="opportunity",$S82=0.3,$R82=0.05),$D82 &amp; ";","")</f>
        <v/>
      </c>
      <c r="BO82" s="58">
        <f>IF(AND($H82="opportunity",$S82=0.1,$R82=0.8),$D82 &amp; ";","")</f>
        <v/>
      </c>
      <c r="BP82" s="58">
        <f>IF(AND($H82="opportunity",$S82=0.1,$R82=0.4),$D82 &amp; ";","")</f>
        <v/>
      </c>
      <c r="BQ82" s="58">
        <f>IF(AND($H82="opportunity",$S82=0.1,$R82=0.2),$D82 &amp; ";","")</f>
        <v/>
      </c>
      <c r="BR82" s="58">
        <f>IF(AND($H82="opportunity",$S82=0.1,$R82=0.1),$D82 &amp; ";","")</f>
        <v/>
      </c>
      <c r="BS82" s="58">
        <f>IF(AND($H82="opportunity",$S82=0.1,$R82=0.05),$D82 &amp; ";","")</f>
        <v/>
      </c>
      <c r="BV82" s="57">
        <f>INDIRECT(ADDRESS(ROW()-22,COLUMN()-45,1,1,"Risk Register"))</f>
        <v/>
      </c>
      <c r="BW82" s="58">
        <f>INDIRECT(ADDRESS(ROW()-22,COLUMN()-44,1,1,"Risk Register"))</f>
        <v/>
      </c>
      <c r="BX82" s="59">
        <f>IF(AND($H82="threat",$P82&lt;=0.05),"gn",IF(AND($H82="threat",$P82&lt;=0.14),"y",IF(AND($H82="threat", $P82&gt;=0.15),"r",IF(AND($H82="opportunity",$P82&lt;=0.05),"gn",IF(AND($H82="opportunity",$P82&lt;=0.14),"lb",IF(AND($H82="opportunity",$P82&gt;=0.15),"db","z"))))))</f>
        <v/>
      </c>
      <c r="BY82" s="58">
        <f>IF(AND($H82="threat",$BW82=0.9,$BV82=0.05),$D82 &amp; ";","")</f>
        <v/>
      </c>
      <c r="BZ82" s="58">
        <f>IF(AND($H82="threat",$BW82=0.9,$BV82=0.1),$D82 &amp; ";","")</f>
        <v/>
      </c>
      <c r="CA82" s="58">
        <f>IF(AND($H82="threat",$BW82=0.9,$BV82=0.2),$D82 &amp; ";","")</f>
        <v/>
      </c>
      <c r="CB82" s="58">
        <f>IF(AND($H82="threat",$BW82=0.9,$BV82=0.4),$D82 &amp; ";","")</f>
        <v/>
      </c>
      <c r="CC82" s="58">
        <f>IF(AND($H82="threat",$BW82=0.9,$BV82=0.8),$D82 &amp; ";","")</f>
        <v/>
      </c>
      <c r="CD82" s="58">
        <f>IF(AND($H82="threat",$BW82=0.7,$BV82=0.05),$D82 &amp; ";","")</f>
        <v/>
      </c>
      <c r="CE82" s="58">
        <f>IF(AND($H82="threat",$BW82=0.7,$BV82=0.1),$D82 &amp; ";","")</f>
        <v/>
      </c>
      <c r="CF82" s="58">
        <f>IF(AND($H82="threat",$BW82=0.7,$BV82=0.2),$D82 &amp; ";","")</f>
        <v/>
      </c>
      <c r="CG82" s="58">
        <f>IF(AND($H82="threat",$BW82=0.7,$BV82=0.4),$D82 &amp; ";","")</f>
        <v/>
      </c>
      <c r="CH82" s="58">
        <f>IF(AND($H82="threat",$BW82=0.7,$BV82=0.8),$D82 &amp; ";","")</f>
        <v/>
      </c>
      <c r="CI82" s="58">
        <f>IF(AND($H82="threat",$BW82=0.5,$BV82=0.05),$D82 &amp; ";","")</f>
        <v/>
      </c>
      <c r="CJ82" s="58">
        <f>IF(AND($H82="threat",$BW82=0.5,$BV82=0.1),$D82 &amp; ";","")</f>
        <v/>
      </c>
      <c r="CK82" s="58">
        <f>IF(AND($H82="threat",$BW82=0.5,$BV82=0.2),$D82 &amp; ";","")</f>
        <v/>
      </c>
      <c r="CL82" s="58">
        <f>IF(AND($H82="threat",$BW82=0.5,$BV82=0.4),$D82 &amp; ";","")</f>
        <v/>
      </c>
      <c r="CM82" s="58">
        <f>IF(AND($H82="threat",$BW82=0.5,$BV82=0.8),$D82 &amp; ";","")</f>
        <v/>
      </c>
      <c r="CN82" s="58">
        <f>IF(AND($H82="threat",$BW82=0.3,$BV82=0.05),$D82 &amp; ";","")</f>
        <v/>
      </c>
      <c r="CO82" s="58">
        <f>IF(AND($H82="threat",$BW82=0.3,$BV82=0.1),$D82 &amp; ";","")</f>
        <v/>
      </c>
      <c r="CP82" s="58">
        <f>IF(AND($H82="threat",$BW82=0.3,$BV82=0.2),$D82 &amp; ";","")</f>
        <v/>
      </c>
      <c r="CQ82" s="58">
        <f>IF(AND($H82="threat",$BW82=0.3,$BV82=0.4),$D82 &amp; ";","")</f>
        <v/>
      </c>
      <c r="CR82" s="58">
        <f>IF(AND($H82="threat",$BW82=0.3,$BV82=0.8),$D82 &amp; ";","")</f>
        <v/>
      </c>
      <c r="CS82" s="58">
        <f>IF(AND($H82="threat",$BW82=0.1,$BV82=0.05),$D82 &amp; ";","")</f>
        <v/>
      </c>
      <c r="CT82" s="58">
        <f>IF(AND($H82="threat",$BW82=0.1,$BV82=0.1),$D82 &amp; ";","")</f>
        <v/>
      </c>
      <c r="CU82" s="58">
        <f>IF(AND($H82="threat",$BW82=0.1,$BV82=0.2),$D82 &amp; ";","")</f>
        <v/>
      </c>
      <c r="CV82" s="58">
        <f>IF(AND($H82="threat",$BW82=0.1,$BV82=0.4),$D82 &amp; ";","")</f>
        <v/>
      </c>
      <c r="CW82" s="58">
        <f>IF(AND($H82="threat",$BW82=0.1,$BV82=0.8),$D82 &amp; ";","")</f>
        <v/>
      </c>
      <c r="CX82" s="39" t="n"/>
      <c r="CY82" s="58">
        <f>IF(AND($H82="opportunity",$BW82=0.9,$BV82=0.8),$D82 &amp; ";","")</f>
        <v/>
      </c>
      <c r="CZ82" s="58">
        <f>IF(AND($H82="opportunity",$BW82=0.9,$BV82=0.4),$D82 &amp; ";","")</f>
        <v/>
      </c>
      <c r="DA82" s="58">
        <f>IF(AND($H82="opportunity",$BW82=0.9,$BV82=0.2),$D82 &amp; ";","")</f>
        <v/>
      </c>
      <c r="DB82" s="58">
        <f>IF(AND($H82="opportunity",$BW82=0.9,$BV82=0.1),$D82 &amp; ";","")</f>
        <v/>
      </c>
      <c r="DC82" s="58">
        <f>IF(AND($H82="opportunity",$BW82=0.9,$BV82=0.05),$D82 &amp; ";","")</f>
        <v/>
      </c>
      <c r="DD82" s="58">
        <f>IF(AND($H82="opportunity",$BW82=0.7,$BV82=0.8),$D82 &amp; ";","")</f>
        <v/>
      </c>
      <c r="DE82" s="58">
        <f>IF(AND($H82="opportunity",$BW82=0.7,$BV82=0.4),$D82 &amp; ";","")</f>
        <v/>
      </c>
      <c r="DF82" s="58">
        <f>IF(AND($H82="opportunity",$BW82=0.7,$BV82=0.2),$D82 &amp; ";","")</f>
        <v/>
      </c>
      <c r="DG82" s="58">
        <f>IF(AND($H82="opportunity",$BW82=0.7,$BV82=0.1),$D82 &amp; ";","")</f>
        <v/>
      </c>
      <c r="DH82" s="58">
        <f>IF(AND($H82="opportunity",$BW82=0.7,$BV82=0.05),$D82 &amp; ";","")</f>
        <v/>
      </c>
      <c r="DI82" s="58">
        <f>IF(AND($H82="opportunity",$BW82=0.5,$BV82=0.8),$D82 &amp; ";","")</f>
        <v/>
      </c>
      <c r="DJ82" s="58">
        <f>IF(AND($H82="opportunity",$BW82=0.5,$BV82=0.4),$D82 &amp; ";","")</f>
        <v/>
      </c>
      <c r="DK82" s="58">
        <f>IF(AND($H82="opportunity",$BW82=0.5,$BV82=0.2),$D82 &amp; ";","")</f>
        <v/>
      </c>
      <c r="DL82" s="58">
        <f>IF(AND($H82="opportunity",$BW82=0.5,$BV82=0.1),$D82 &amp; ";","")</f>
        <v/>
      </c>
      <c r="DM82" s="58">
        <f>IF(AND($H82="opportunity",$BW82=0.5,$BV82=0.05),$D82 &amp; ";","")</f>
        <v/>
      </c>
      <c r="DN82" s="58">
        <f>IF(AND($H82="opportunity",$BW82=0.3,$BV82=0.8),$D82 &amp; ";","")</f>
        <v/>
      </c>
      <c r="DO82" s="58">
        <f>IF(AND($H82="opportunity",$BW82=0.3,$BV82=0.4),$D82 &amp; ";","")</f>
        <v/>
      </c>
      <c r="DP82" s="58">
        <f>IF(AND($H82="opportunity",$BW82=0.3,$BV82=0.2),$D82 &amp; ";","")</f>
        <v/>
      </c>
      <c r="DQ82" s="58">
        <f>IF(AND($H82="opportunity",$BW82=0.3,$BV82=0.1),$D82 &amp; ";","")</f>
        <v/>
      </c>
      <c r="DR82" s="58">
        <f>IF(AND($H82="opportunity",$BW82=0.3,$BV82=0.05),$D82 &amp; ";","")</f>
        <v/>
      </c>
      <c r="DS82" s="58">
        <f>IF(AND($H82="opportunity",$BW82=0.1,$BV82=0.8),$D82 &amp; ";","")</f>
        <v/>
      </c>
      <c r="DT82" s="58">
        <f>IF(AND($H82="opportunity",$BW82=0.1,$BV82=0.4),$D82 &amp; ";","")</f>
        <v/>
      </c>
      <c r="DU82" s="58">
        <f>IF(AND($H82="opportunity",$BW82=0.1,$BV82=0.2),$D82 &amp; ";","")</f>
        <v/>
      </c>
      <c r="DV82" s="58">
        <f>IF(AND($H82="opportunity",$BW82=0.1,$BV82=0.1),$D82 &amp; ";","")</f>
        <v/>
      </c>
      <c r="DW82" s="58">
        <f>IF(AND($H82="opportunity",$BW82=0.1,$BV82=0.05),$D82 &amp; ";","")</f>
        <v/>
      </c>
    </row>
    <row r="83">
      <c r="D83" s="60">
        <f>INDIRECT(ADDRESS(ROW()-22,COLUMN()-2,1,1,"Risk Register"))</f>
        <v/>
      </c>
      <c r="E83" s="143">
        <f>INDIRECT(ADDRESS(ROW()-22,COLUMN()-1,1,1,"Risk Register"))</f>
        <v/>
      </c>
      <c r="G83" s="56">
        <f>INDIRECT(ADDRESS(ROW()-22,COLUMN()+10,1,1,"Risk Register"))</f>
        <v/>
      </c>
      <c r="H83" s="60">
        <f>INDIRECT(ADDRESS(ROW()-22,COLUMN()+8,1,1,"Risk Register"))</f>
        <v/>
      </c>
      <c r="I83" s="54">
        <f>INDIRECT(ADDRESS(ROW()-22,COLUMN()+3,1,1,"Risk Register"))</f>
        <v/>
      </c>
      <c r="J83" s="143">
        <f>INDIRECT(ADDRESS(ROW()-22,COLUMN()+12,1,1,"Risk Register"))</f>
        <v/>
      </c>
      <c r="K83" s="143">
        <f>INDIRECT(ADDRESS(ROW()-22,COLUMN()-2,1,1,"Risk Register"))</f>
        <v/>
      </c>
      <c r="L83" s="176">
        <f>INDIRECT(ADDRESS(ROW()-22,COLUMN()+15,1,1,"Risk Register"))</f>
        <v/>
      </c>
      <c r="M83" s="54">
        <f>INDIRECT(ADDRESS(ROW()-22,COLUMN()+13,1,1,"Risk Register"))</f>
        <v/>
      </c>
      <c r="N83" s="143">
        <f>INDIRECT(ADDRESS(ROW()-22,COLUMN()-9,1,1,"Risk Register"))</f>
        <v/>
      </c>
      <c r="O83" s="143">
        <f>INDIRECT(ADDRESS(ROW()-22,COLUMN()-8,1,1,"Risk Register"))</f>
        <v/>
      </c>
      <c r="P83" s="56">
        <f>INDIRECT(ADDRESS(ROW()-22,COLUMN()+18,1,1,"Risk Register"))</f>
        <v/>
      </c>
      <c r="R83" s="57">
        <f>INDIRECT(ADDRESS(ROW()-22,COLUMN()-5,1,1,"Risk Register"))</f>
        <v/>
      </c>
      <c r="S83" s="58">
        <f>INDIRECT(ADDRESS(ROW()-22,COLUMN()-4,1,1,"Risk Register"))</f>
        <v/>
      </c>
      <c r="T83" s="59">
        <f>IF(AND($H83="threat",$G83&lt;=0.05),"gn",IF(AND($H83="threat",$G83&lt;=0.14),"y",IF(AND($H83="threat", $G83&gt;=0.15),"r",IF(AND($H83="opportunity",$G83&lt;=0.05),"gn",IF(AND($H83="opportunity",$G83&lt;=0.14),"lb",IF(AND($H83="opportunity",$G83&gt;=0.15),"db","z"))))))</f>
        <v/>
      </c>
      <c r="U83" s="58">
        <f>IF(AND($H83="threat",$S83=0.9,$R83=0.05),$D83 &amp; ";","")</f>
        <v/>
      </c>
      <c r="V83" s="58">
        <f>IF(AND($H83="threat",$S83=0.9,$R83=0.1),$D83 &amp; ";","")</f>
        <v/>
      </c>
      <c r="W83" s="58">
        <f>IF(AND($H83="threat",$S83=0.9,$R83=0.2),$D83 &amp; ";","")</f>
        <v/>
      </c>
      <c r="X83" s="58">
        <f>IF(AND($H83="threat",$S83=0.9,$R83=0.4),$D83 &amp; ";","")</f>
        <v/>
      </c>
      <c r="Y83" s="58">
        <f>IF(AND($H83="threat",$S83=0.9,$R83=0.8),$D83 &amp; ";","")</f>
        <v/>
      </c>
      <c r="Z83" s="58">
        <f>IF(AND($H83="threat",$S83=0.7,$R83=0.05),$D83 &amp; ";","")</f>
        <v/>
      </c>
      <c r="AA83" s="58">
        <f>IF(AND($H83="threat",$S83=0.7,$R83=0.1),$D83 &amp; ";","")</f>
        <v/>
      </c>
      <c r="AB83" s="58">
        <f>IF(AND($H83="threat",$S83=0.7,$R83=0.2),$D83 &amp; ";","")</f>
        <v/>
      </c>
      <c r="AC83" s="58">
        <f>IF(AND($H83="threat",$S83=0.7,$R83=0.4),$D83 &amp; ";","")</f>
        <v/>
      </c>
      <c r="AD83" s="58">
        <f>IF(AND($H83="threat",$S83=0.7,$R83=0.8),$D83 &amp; ";","")</f>
        <v/>
      </c>
      <c r="AE83" s="58">
        <f>IF(AND($H83="threat",$S83=0.5,$R83=0.05),$D83 &amp; ";","")</f>
        <v/>
      </c>
      <c r="AF83" s="58">
        <f>IF(AND($H83="threat",$S83=0.5,$R83=0.1),$D83 &amp; ";","")</f>
        <v/>
      </c>
      <c r="AG83" s="58">
        <f>IF(AND($H83="threat",$S83=0.5,$R83=0.2),$D83 &amp; ";","")</f>
        <v/>
      </c>
      <c r="AH83" s="58">
        <f>IF(AND($H83="threat",$S83=0.5,$R83=0.4),$D83 &amp; ";","")</f>
        <v/>
      </c>
      <c r="AI83" s="58">
        <f>IF(AND($H83="threat",$S83=0.5,$R83=0.8),$D83 &amp; ";","")</f>
        <v/>
      </c>
      <c r="AJ83" s="58">
        <f>IF(AND($H83="threat",$S83=0.3,$R83=0.05),$D83 &amp; ";","")</f>
        <v/>
      </c>
      <c r="AK83" s="58">
        <f>IF(AND($H83="threat",$S83=0.3,$R83=0.1),$D83 &amp; ";","")</f>
        <v/>
      </c>
      <c r="AL83" s="58">
        <f>IF(AND($H83="threat",$S83=0.3,$R83=0.2),$D83 &amp; ";","")</f>
        <v/>
      </c>
      <c r="AM83" s="58">
        <f>IF(AND($H83="threat",$S83=0.3,$R83=0.4),$D83 &amp; ";","")</f>
        <v/>
      </c>
      <c r="AN83" s="58">
        <f>IF(AND($H83="threat",$S83=0.3,$R83=0.8),$D83 &amp; ";","")</f>
        <v/>
      </c>
      <c r="AO83" s="58">
        <f>IF(AND($H83="threat",$S83=0.1,$R83=0.05),$D83 &amp; ";","")</f>
        <v/>
      </c>
      <c r="AP83" s="58">
        <f>IF(AND($H83="threat",$S83=0.1,$R83=0.1),$D83 &amp; ";","")</f>
        <v/>
      </c>
      <c r="AQ83" s="58">
        <f>IF(AND($H83="threat",$S83=0.1,$R83=0.2),$D83 &amp; ";","")</f>
        <v/>
      </c>
      <c r="AR83" s="58">
        <f>IF(AND($H83="threat",$S83=0.1,$R83=0.4),$D83 &amp; ";","")</f>
        <v/>
      </c>
      <c r="AS83" s="58">
        <f>IF(AND($H83="threat",$S83=0.1,$R83=0.8),$D83 &amp; ";","")</f>
        <v/>
      </c>
      <c r="AT83" s="39" t="n"/>
      <c r="AU83" s="58">
        <f>IF(AND($H83="opportunity",$S83=0.9,$R83=0.8),$D83 &amp; ";","")</f>
        <v/>
      </c>
      <c r="AV83" s="58">
        <f>IF(AND($H83="opportunity",$S83=0.9,$R83=0.4),$D83 &amp; ";","")</f>
        <v/>
      </c>
      <c r="AW83" s="58">
        <f>IF(AND($H83="opportunity",$S83=0.9,$R83=0.2),$D83 &amp; ";","")</f>
        <v/>
      </c>
      <c r="AX83" s="58">
        <f>IF(AND($H83="opportunity",$S83=0.9,$R83=0.1),$D83 &amp; ";","")</f>
        <v/>
      </c>
      <c r="AY83" s="58">
        <f>IF(AND($H83="opportunity",$S83=0.9,$R83=0.05),$D83 &amp; ";","")</f>
        <v/>
      </c>
      <c r="AZ83" s="58">
        <f>IF(AND($H83="opportunity",$S83=0.7,$R83=0.8),$D83 &amp; ";","")</f>
        <v/>
      </c>
      <c r="BA83" s="58">
        <f>IF(AND($H83="opportunity",$S83=0.7,$R83=0.4),$D83 &amp; ";","")</f>
        <v/>
      </c>
      <c r="BB83" s="58">
        <f>IF(AND($H83="opportunity",$S83=0.7,$R83=0.2),$D83 &amp; ";","")</f>
        <v/>
      </c>
      <c r="BC83" s="58">
        <f>IF(AND($H83="opportunity",$S83=0.7,$R83=0.1),$D83 &amp; ";","")</f>
        <v/>
      </c>
      <c r="BD83" s="58">
        <f>IF(AND($H83="opportunity",$S83=0.7,$R83=0.05),$D83 &amp; ";","")</f>
        <v/>
      </c>
      <c r="BE83" s="58">
        <f>IF(AND($H83="opportunity",$S83=0.5,$R83=0.8),$D83 &amp; ";","")</f>
        <v/>
      </c>
      <c r="BF83" s="58">
        <f>IF(AND($H83="opportunity",$S83=0.5,$R83=0.4),$D83 &amp; ";","")</f>
        <v/>
      </c>
      <c r="BG83" s="58">
        <f>IF(AND($H83="opportunity",$S83=0.5,$R83=0.2),$D83 &amp; ";","")</f>
        <v/>
      </c>
      <c r="BH83" s="58">
        <f>IF(AND($H83="opportunity",$S83=0.5,$R83=0.1),$D83 &amp; ";","")</f>
        <v/>
      </c>
      <c r="BI83" s="58">
        <f>IF(AND($H83="opportunity",$S83=0.5,$R83=0.05),$D83 &amp; ";","")</f>
        <v/>
      </c>
      <c r="BJ83" s="58">
        <f>IF(AND($H83="opportunity",$S83=0.3,$R83=0.8),$D83 &amp; ";","")</f>
        <v/>
      </c>
      <c r="BK83" s="58">
        <f>IF(AND($H83="opportunity",$S83=0.3,$R83=0.4),$D83 &amp; ";","")</f>
        <v/>
      </c>
      <c r="BL83" s="58">
        <f>IF(AND($H83="opportunity",$S83=0.3,$R83=0.2),$D83 &amp; ";","")</f>
        <v/>
      </c>
      <c r="BM83" s="58">
        <f>IF(AND($H83="opportunity",$S83=0.3,$R83=0.1),$D83 &amp; ";","")</f>
        <v/>
      </c>
      <c r="BN83" s="58">
        <f>IF(AND($H83="opportunity",$S83=0.3,$R83=0.05),$D83 &amp; ";","")</f>
        <v/>
      </c>
      <c r="BO83" s="58">
        <f>IF(AND($H83="opportunity",$S83=0.1,$R83=0.8),$D83 &amp; ";","")</f>
        <v/>
      </c>
      <c r="BP83" s="58">
        <f>IF(AND($H83="opportunity",$S83=0.1,$R83=0.4),$D83 &amp; ";","")</f>
        <v/>
      </c>
      <c r="BQ83" s="58">
        <f>IF(AND($H83="opportunity",$S83=0.1,$R83=0.2),$D83 &amp; ";","")</f>
        <v/>
      </c>
      <c r="BR83" s="58">
        <f>IF(AND($H83="opportunity",$S83=0.1,$R83=0.1),$D83 &amp; ";","")</f>
        <v/>
      </c>
      <c r="BS83" s="58">
        <f>IF(AND($H83="opportunity",$S83=0.1,$R83=0.05),$D83 &amp; ";","")</f>
        <v/>
      </c>
      <c r="BV83" s="57">
        <f>INDIRECT(ADDRESS(ROW()-22,COLUMN()-45,1,1,"Risk Register"))</f>
        <v/>
      </c>
      <c r="BW83" s="58">
        <f>INDIRECT(ADDRESS(ROW()-22,COLUMN()-44,1,1,"Risk Register"))</f>
        <v/>
      </c>
      <c r="BX83" s="59">
        <f>IF(AND($H83="threat",$P83&lt;=0.05),"gn",IF(AND($H83="threat",$P83&lt;=0.14),"y",IF(AND($H83="threat", $P83&gt;=0.15),"r",IF(AND($H83="opportunity",$P83&lt;=0.05),"gn",IF(AND($H83="opportunity",$P83&lt;=0.14),"lb",IF(AND($H83="opportunity",$P83&gt;=0.15),"db","z"))))))</f>
        <v/>
      </c>
      <c r="BY83" s="58">
        <f>IF(AND($H83="threat",$BW83=0.9,$BV83=0.05),$D83 &amp; ";","")</f>
        <v/>
      </c>
      <c r="BZ83" s="58">
        <f>IF(AND($H83="threat",$BW83=0.9,$BV83=0.1),$D83 &amp; ";","")</f>
        <v/>
      </c>
      <c r="CA83" s="58">
        <f>IF(AND($H83="threat",$BW83=0.9,$BV83=0.2),$D83 &amp; ";","")</f>
        <v/>
      </c>
      <c r="CB83" s="58">
        <f>IF(AND($H83="threat",$BW83=0.9,$BV83=0.4),$D83 &amp; ";","")</f>
        <v/>
      </c>
      <c r="CC83" s="58">
        <f>IF(AND($H83="threat",$BW83=0.9,$BV83=0.8),$D83 &amp; ";","")</f>
        <v/>
      </c>
      <c r="CD83" s="58">
        <f>IF(AND($H83="threat",$BW83=0.7,$BV83=0.05),$D83 &amp; ";","")</f>
        <v/>
      </c>
      <c r="CE83" s="58">
        <f>IF(AND($H83="threat",$BW83=0.7,$BV83=0.1),$D83 &amp; ";","")</f>
        <v/>
      </c>
      <c r="CF83" s="58">
        <f>IF(AND($H83="threat",$BW83=0.7,$BV83=0.2),$D83 &amp; ";","")</f>
        <v/>
      </c>
      <c r="CG83" s="58">
        <f>IF(AND($H83="threat",$BW83=0.7,$BV83=0.4),$D83 &amp; ";","")</f>
        <v/>
      </c>
      <c r="CH83" s="58">
        <f>IF(AND($H83="threat",$BW83=0.7,$BV83=0.8),$D83 &amp; ";","")</f>
        <v/>
      </c>
      <c r="CI83" s="58">
        <f>IF(AND($H83="threat",$BW83=0.5,$BV83=0.05),$D83 &amp; ";","")</f>
        <v/>
      </c>
      <c r="CJ83" s="58">
        <f>IF(AND($H83="threat",$BW83=0.5,$BV83=0.1),$D83 &amp; ";","")</f>
        <v/>
      </c>
      <c r="CK83" s="58">
        <f>IF(AND($H83="threat",$BW83=0.5,$BV83=0.2),$D83 &amp; ";","")</f>
        <v/>
      </c>
      <c r="CL83" s="58">
        <f>IF(AND($H83="threat",$BW83=0.5,$BV83=0.4),$D83 &amp; ";","")</f>
        <v/>
      </c>
      <c r="CM83" s="58">
        <f>IF(AND($H83="threat",$BW83=0.5,$BV83=0.8),$D83 &amp; ";","")</f>
        <v/>
      </c>
      <c r="CN83" s="58">
        <f>IF(AND($H83="threat",$BW83=0.3,$BV83=0.05),$D83 &amp; ";","")</f>
        <v/>
      </c>
      <c r="CO83" s="58">
        <f>IF(AND($H83="threat",$BW83=0.3,$BV83=0.1),$D83 &amp; ";","")</f>
        <v/>
      </c>
      <c r="CP83" s="58">
        <f>IF(AND($H83="threat",$BW83=0.3,$BV83=0.2),$D83 &amp; ";","")</f>
        <v/>
      </c>
      <c r="CQ83" s="58">
        <f>IF(AND($H83="threat",$BW83=0.3,$BV83=0.4),$D83 &amp; ";","")</f>
        <v/>
      </c>
      <c r="CR83" s="58">
        <f>IF(AND($H83="threat",$BW83=0.3,$BV83=0.8),$D83 &amp; ";","")</f>
        <v/>
      </c>
      <c r="CS83" s="58">
        <f>IF(AND($H83="threat",$BW83=0.1,$BV83=0.05),$D83 &amp; ";","")</f>
        <v/>
      </c>
      <c r="CT83" s="58">
        <f>IF(AND($H83="threat",$BW83=0.1,$BV83=0.1),$D83 &amp; ";","")</f>
        <v/>
      </c>
      <c r="CU83" s="58">
        <f>IF(AND($H83="threat",$BW83=0.1,$BV83=0.2),$D83 &amp; ";","")</f>
        <v/>
      </c>
      <c r="CV83" s="58">
        <f>IF(AND($H83="threat",$BW83=0.1,$BV83=0.4),$D83 &amp; ";","")</f>
        <v/>
      </c>
      <c r="CW83" s="58">
        <f>IF(AND($H83="threat",$BW83=0.1,$BV83=0.8),$D83 &amp; ";","")</f>
        <v/>
      </c>
      <c r="CX83" s="39" t="n"/>
      <c r="CY83" s="58">
        <f>IF(AND($H83="opportunity",$BW83=0.9,$BV83=0.8),$D83 &amp; ";","")</f>
        <v/>
      </c>
      <c r="CZ83" s="58">
        <f>IF(AND($H83="opportunity",$BW83=0.9,$BV83=0.4),$D83 &amp; ";","")</f>
        <v/>
      </c>
      <c r="DA83" s="58">
        <f>IF(AND($H83="opportunity",$BW83=0.9,$BV83=0.2),$D83 &amp; ";","")</f>
        <v/>
      </c>
      <c r="DB83" s="58">
        <f>IF(AND($H83="opportunity",$BW83=0.9,$BV83=0.1),$D83 &amp; ";","")</f>
        <v/>
      </c>
      <c r="DC83" s="58">
        <f>IF(AND($H83="opportunity",$BW83=0.9,$BV83=0.05),$D83 &amp; ";","")</f>
        <v/>
      </c>
      <c r="DD83" s="58">
        <f>IF(AND($H83="opportunity",$BW83=0.7,$BV83=0.8),$D83 &amp; ";","")</f>
        <v/>
      </c>
      <c r="DE83" s="58">
        <f>IF(AND($H83="opportunity",$BW83=0.7,$BV83=0.4),$D83 &amp; ";","")</f>
        <v/>
      </c>
      <c r="DF83" s="58">
        <f>IF(AND($H83="opportunity",$BW83=0.7,$BV83=0.2),$D83 &amp; ";","")</f>
        <v/>
      </c>
      <c r="DG83" s="58">
        <f>IF(AND($H83="opportunity",$BW83=0.7,$BV83=0.1),$D83 &amp; ";","")</f>
        <v/>
      </c>
      <c r="DH83" s="58">
        <f>IF(AND($H83="opportunity",$BW83=0.7,$BV83=0.05),$D83 &amp; ";","")</f>
        <v/>
      </c>
      <c r="DI83" s="58">
        <f>IF(AND($H83="opportunity",$BW83=0.5,$BV83=0.8),$D83 &amp; ";","")</f>
        <v/>
      </c>
      <c r="DJ83" s="58">
        <f>IF(AND($H83="opportunity",$BW83=0.5,$BV83=0.4),$D83 &amp; ";","")</f>
        <v/>
      </c>
      <c r="DK83" s="58">
        <f>IF(AND($H83="opportunity",$BW83=0.5,$BV83=0.2),$D83 &amp; ";","")</f>
        <v/>
      </c>
      <c r="DL83" s="58">
        <f>IF(AND($H83="opportunity",$BW83=0.5,$BV83=0.1),$D83 &amp; ";","")</f>
        <v/>
      </c>
      <c r="DM83" s="58">
        <f>IF(AND($H83="opportunity",$BW83=0.5,$BV83=0.05),$D83 &amp; ";","")</f>
        <v/>
      </c>
      <c r="DN83" s="58">
        <f>IF(AND($H83="opportunity",$BW83=0.3,$BV83=0.8),$D83 &amp; ";","")</f>
        <v/>
      </c>
      <c r="DO83" s="58">
        <f>IF(AND($H83="opportunity",$BW83=0.3,$BV83=0.4),$D83 &amp; ";","")</f>
        <v/>
      </c>
      <c r="DP83" s="58">
        <f>IF(AND($H83="opportunity",$BW83=0.3,$BV83=0.2),$D83 &amp; ";","")</f>
        <v/>
      </c>
      <c r="DQ83" s="58">
        <f>IF(AND($H83="opportunity",$BW83=0.3,$BV83=0.1),$D83 &amp; ";","")</f>
        <v/>
      </c>
      <c r="DR83" s="58">
        <f>IF(AND($H83="opportunity",$BW83=0.3,$BV83=0.05),$D83 &amp; ";","")</f>
        <v/>
      </c>
      <c r="DS83" s="58">
        <f>IF(AND($H83="opportunity",$BW83=0.1,$BV83=0.8),$D83 &amp; ";","")</f>
        <v/>
      </c>
      <c r="DT83" s="58">
        <f>IF(AND($H83="opportunity",$BW83=0.1,$BV83=0.4),$D83 &amp; ";","")</f>
        <v/>
      </c>
      <c r="DU83" s="58">
        <f>IF(AND($H83="opportunity",$BW83=0.1,$BV83=0.2),$D83 &amp; ";","")</f>
        <v/>
      </c>
      <c r="DV83" s="58">
        <f>IF(AND($H83="opportunity",$BW83=0.1,$BV83=0.1),$D83 &amp; ";","")</f>
        <v/>
      </c>
      <c r="DW83" s="58">
        <f>IF(AND($H83="opportunity",$BW83=0.1,$BV83=0.05),$D83 &amp; ";","")</f>
        <v/>
      </c>
    </row>
    <row r="84">
      <c r="D84" s="60">
        <f>INDIRECT(ADDRESS(ROW()-22,COLUMN()-2,1,1,"Risk Register"))</f>
        <v/>
      </c>
      <c r="E84" s="143">
        <f>INDIRECT(ADDRESS(ROW()-22,COLUMN()-1,1,1,"Risk Register"))</f>
        <v/>
      </c>
      <c r="G84" s="56">
        <f>INDIRECT(ADDRESS(ROW()-22,COLUMN()+10,1,1,"Risk Register"))</f>
        <v/>
      </c>
      <c r="H84" s="60">
        <f>INDIRECT(ADDRESS(ROW()-22,COLUMN()+8,1,1,"Risk Register"))</f>
        <v/>
      </c>
      <c r="I84" s="54">
        <f>INDIRECT(ADDRESS(ROW()-22,COLUMN()+3,1,1,"Risk Register"))</f>
        <v/>
      </c>
      <c r="J84" s="143">
        <f>INDIRECT(ADDRESS(ROW()-22,COLUMN()+12,1,1,"Risk Register"))</f>
        <v/>
      </c>
      <c r="K84" s="143">
        <f>INDIRECT(ADDRESS(ROW()-22,COLUMN()-2,1,1,"Risk Register"))</f>
        <v/>
      </c>
      <c r="L84" s="176">
        <f>INDIRECT(ADDRESS(ROW()-22,COLUMN()+15,1,1,"Risk Register"))</f>
        <v/>
      </c>
      <c r="M84" s="54">
        <f>INDIRECT(ADDRESS(ROW()-22,COLUMN()+13,1,1,"Risk Register"))</f>
        <v/>
      </c>
      <c r="N84" s="143">
        <f>INDIRECT(ADDRESS(ROW()-22,COLUMN()-9,1,1,"Risk Register"))</f>
        <v/>
      </c>
      <c r="O84" s="143">
        <f>INDIRECT(ADDRESS(ROW()-22,COLUMN()-8,1,1,"Risk Register"))</f>
        <v/>
      </c>
      <c r="P84" s="56">
        <f>INDIRECT(ADDRESS(ROW()-22,COLUMN()+18,1,1,"Risk Register"))</f>
        <v/>
      </c>
      <c r="R84" s="57">
        <f>INDIRECT(ADDRESS(ROW()-22,COLUMN()-5,1,1,"Risk Register"))</f>
        <v/>
      </c>
      <c r="S84" s="58">
        <f>INDIRECT(ADDRESS(ROW()-22,COLUMN()-4,1,1,"Risk Register"))</f>
        <v/>
      </c>
      <c r="T84" s="59">
        <f>IF(AND($H84="threat",$G84&lt;=0.05),"gn",IF(AND($H84="threat",$G84&lt;=0.14),"y",IF(AND($H84="threat", $G84&gt;=0.15),"r",IF(AND($H84="opportunity",$G84&lt;=0.05),"gn",IF(AND($H84="opportunity",$G84&lt;=0.14),"lb",IF(AND($H84="opportunity",$G84&gt;=0.15),"db","z"))))))</f>
        <v/>
      </c>
      <c r="U84" s="58">
        <f>IF(AND($H84="threat",$S84=0.9,$R84=0.05),$D84 &amp; ";","")</f>
        <v/>
      </c>
      <c r="V84" s="58">
        <f>IF(AND($H84="threat",$S84=0.9,$R84=0.1),$D84 &amp; ";","")</f>
        <v/>
      </c>
      <c r="W84" s="58">
        <f>IF(AND($H84="threat",$S84=0.9,$R84=0.2),$D84 &amp; ";","")</f>
        <v/>
      </c>
      <c r="X84" s="58">
        <f>IF(AND($H84="threat",$S84=0.9,$R84=0.4),$D84 &amp; ";","")</f>
        <v/>
      </c>
      <c r="Y84" s="58">
        <f>IF(AND($H84="threat",$S84=0.9,$R84=0.8),$D84 &amp; ";","")</f>
        <v/>
      </c>
      <c r="Z84" s="58">
        <f>IF(AND($H84="threat",$S84=0.7,$R84=0.05),$D84 &amp; ";","")</f>
        <v/>
      </c>
      <c r="AA84" s="58">
        <f>IF(AND($H84="threat",$S84=0.7,$R84=0.1),$D84 &amp; ";","")</f>
        <v/>
      </c>
      <c r="AB84" s="58">
        <f>IF(AND($H84="threat",$S84=0.7,$R84=0.2),$D84 &amp; ";","")</f>
        <v/>
      </c>
      <c r="AC84" s="58">
        <f>IF(AND($H84="threat",$S84=0.7,$R84=0.4),$D84 &amp; ";","")</f>
        <v/>
      </c>
      <c r="AD84" s="58">
        <f>IF(AND($H84="threat",$S84=0.7,$R84=0.8),$D84 &amp; ";","")</f>
        <v/>
      </c>
      <c r="AE84" s="58">
        <f>IF(AND($H84="threat",$S84=0.5,$R84=0.05),$D84 &amp; ";","")</f>
        <v/>
      </c>
      <c r="AF84" s="58">
        <f>IF(AND($H84="threat",$S84=0.5,$R84=0.1),$D84 &amp; ";","")</f>
        <v/>
      </c>
      <c r="AG84" s="58">
        <f>IF(AND($H84="threat",$S84=0.5,$R84=0.2),$D84 &amp; ";","")</f>
        <v/>
      </c>
      <c r="AH84" s="58">
        <f>IF(AND($H84="threat",$S84=0.5,$R84=0.4),$D84 &amp; ";","")</f>
        <v/>
      </c>
      <c r="AI84" s="58">
        <f>IF(AND($H84="threat",$S84=0.5,$R84=0.8),$D84 &amp; ";","")</f>
        <v/>
      </c>
      <c r="AJ84" s="58">
        <f>IF(AND($H84="threat",$S84=0.3,$R84=0.05),$D84 &amp; ";","")</f>
        <v/>
      </c>
      <c r="AK84" s="58">
        <f>IF(AND($H84="threat",$S84=0.3,$R84=0.1),$D84 &amp; ";","")</f>
        <v/>
      </c>
      <c r="AL84" s="58">
        <f>IF(AND($H84="threat",$S84=0.3,$R84=0.2),$D84 &amp; ";","")</f>
        <v/>
      </c>
      <c r="AM84" s="58">
        <f>IF(AND($H84="threat",$S84=0.3,$R84=0.4),$D84 &amp; ";","")</f>
        <v/>
      </c>
      <c r="AN84" s="58">
        <f>IF(AND($H84="threat",$S84=0.3,$R84=0.8),$D84 &amp; ";","")</f>
        <v/>
      </c>
      <c r="AO84" s="58">
        <f>IF(AND($H84="threat",$S84=0.1,$R84=0.05),$D84 &amp; ";","")</f>
        <v/>
      </c>
      <c r="AP84" s="58">
        <f>IF(AND($H84="threat",$S84=0.1,$R84=0.1),$D84 &amp; ";","")</f>
        <v/>
      </c>
      <c r="AQ84" s="58">
        <f>IF(AND($H84="threat",$S84=0.1,$R84=0.2),$D84 &amp; ";","")</f>
        <v/>
      </c>
      <c r="AR84" s="58">
        <f>IF(AND($H84="threat",$S84=0.1,$R84=0.4),$D84 &amp; ";","")</f>
        <v/>
      </c>
      <c r="AS84" s="58">
        <f>IF(AND($H84="threat",$S84=0.1,$R84=0.8),$D84 &amp; ";","")</f>
        <v/>
      </c>
      <c r="AT84" s="39" t="n"/>
      <c r="AU84" s="58">
        <f>IF(AND($H84="opportunity",$S84=0.9,$R84=0.8),$D84 &amp; ";","")</f>
        <v/>
      </c>
      <c r="AV84" s="58">
        <f>IF(AND($H84="opportunity",$S84=0.9,$R84=0.4),$D84 &amp; ";","")</f>
        <v/>
      </c>
      <c r="AW84" s="58">
        <f>IF(AND($H84="opportunity",$S84=0.9,$R84=0.2),$D84 &amp; ";","")</f>
        <v/>
      </c>
      <c r="AX84" s="58">
        <f>IF(AND($H84="opportunity",$S84=0.9,$R84=0.1),$D84 &amp; ";","")</f>
        <v/>
      </c>
      <c r="AY84" s="58">
        <f>IF(AND($H84="opportunity",$S84=0.9,$R84=0.05),$D84 &amp; ";","")</f>
        <v/>
      </c>
      <c r="AZ84" s="58">
        <f>IF(AND($H84="opportunity",$S84=0.7,$R84=0.8),$D84 &amp; ";","")</f>
        <v/>
      </c>
      <c r="BA84" s="58">
        <f>IF(AND($H84="opportunity",$S84=0.7,$R84=0.4),$D84 &amp; ";","")</f>
        <v/>
      </c>
      <c r="BB84" s="58">
        <f>IF(AND($H84="opportunity",$S84=0.7,$R84=0.2),$D84 &amp; ";","")</f>
        <v/>
      </c>
      <c r="BC84" s="58">
        <f>IF(AND($H84="opportunity",$S84=0.7,$R84=0.1),$D84 &amp; ";","")</f>
        <v/>
      </c>
      <c r="BD84" s="58">
        <f>IF(AND($H84="opportunity",$S84=0.7,$R84=0.05),$D84 &amp; ";","")</f>
        <v/>
      </c>
      <c r="BE84" s="58">
        <f>IF(AND($H84="opportunity",$S84=0.5,$R84=0.8),$D84 &amp; ";","")</f>
        <v/>
      </c>
      <c r="BF84" s="58">
        <f>IF(AND($H84="opportunity",$S84=0.5,$R84=0.4),$D84 &amp; ";","")</f>
        <v/>
      </c>
      <c r="BG84" s="58">
        <f>IF(AND($H84="opportunity",$S84=0.5,$R84=0.2),$D84 &amp; ";","")</f>
        <v/>
      </c>
      <c r="BH84" s="58">
        <f>IF(AND($H84="opportunity",$S84=0.5,$R84=0.1),$D84 &amp; ";","")</f>
        <v/>
      </c>
      <c r="BI84" s="58">
        <f>IF(AND($H84="opportunity",$S84=0.5,$R84=0.05),$D84 &amp; ";","")</f>
        <v/>
      </c>
      <c r="BJ84" s="58">
        <f>IF(AND($H84="opportunity",$S84=0.3,$R84=0.8),$D84 &amp; ";","")</f>
        <v/>
      </c>
      <c r="BK84" s="58">
        <f>IF(AND($H84="opportunity",$S84=0.3,$R84=0.4),$D84 &amp; ";","")</f>
        <v/>
      </c>
      <c r="BL84" s="58">
        <f>IF(AND($H84="opportunity",$S84=0.3,$R84=0.2),$D84 &amp; ";","")</f>
        <v/>
      </c>
      <c r="BM84" s="58">
        <f>IF(AND($H84="opportunity",$S84=0.3,$R84=0.1),$D84 &amp; ";","")</f>
        <v/>
      </c>
      <c r="BN84" s="58">
        <f>IF(AND($H84="opportunity",$S84=0.3,$R84=0.05),$D84 &amp; ";","")</f>
        <v/>
      </c>
      <c r="BO84" s="58">
        <f>IF(AND($H84="opportunity",$S84=0.1,$R84=0.8),$D84 &amp; ";","")</f>
        <v/>
      </c>
      <c r="BP84" s="58">
        <f>IF(AND($H84="opportunity",$S84=0.1,$R84=0.4),$D84 &amp; ";","")</f>
        <v/>
      </c>
      <c r="BQ84" s="58">
        <f>IF(AND($H84="opportunity",$S84=0.1,$R84=0.2),$D84 &amp; ";","")</f>
        <v/>
      </c>
      <c r="BR84" s="58">
        <f>IF(AND($H84="opportunity",$S84=0.1,$R84=0.1),$D84 &amp; ";","")</f>
        <v/>
      </c>
      <c r="BS84" s="58">
        <f>IF(AND($H84="opportunity",$S84=0.1,$R84=0.05),$D84 &amp; ";","")</f>
        <v/>
      </c>
      <c r="BV84" s="57">
        <f>INDIRECT(ADDRESS(ROW()-22,COLUMN()-45,1,1,"Risk Register"))</f>
        <v/>
      </c>
      <c r="BW84" s="58">
        <f>INDIRECT(ADDRESS(ROW()-22,COLUMN()-44,1,1,"Risk Register"))</f>
        <v/>
      </c>
      <c r="BX84" s="59">
        <f>IF(AND($H84="threat",$P84&lt;=0.05),"gn",IF(AND($H84="threat",$P84&lt;=0.14),"y",IF(AND($H84="threat", $P84&gt;=0.15),"r",IF(AND($H84="opportunity",$P84&lt;=0.05),"gn",IF(AND($H84="opportunity",$P84&lt;=0.14),"lb",IF(AND($H84="opportunity",$P84&gt;=0.15),"db","z"))))))</f>
        <v/>
      </c>
      <c r="BY84" s="58">
        <f>IF(AND($H84="threat",$BW84=0.9,$BV84=0.05),$D84 &amp; ";","")</f>
        <v/>
      </c>
      <c r="BZ84" s="58">
        <f>IF(AND($H84="threat",$BW84=0.9,$BV84=0.1),$D84 &amp; ";","")</f>
        <v/>
      </c>
      <c r="CA84" s="58">
        <f>IF(AND($H84="threat",$BW84=0.9,$BV84=0.2),$D84 &amp; ";","")</f>
        <v/>
      </c>
      <c r="CB84" s="58">
        <f>IF(AND($H84="threat",$BW84=0.9,$BV84=0.4),$D84 &amp; ";","")</f>
        <v/>
      </c>
      <c r="CC84" s="58">
        <f>IF(AND($H84="threat",$BW84=0.9,$BV84=0.8),$D84 &amp; ";","")</f>
        <v/>
      </c>
      <c r="CD84" s="58">
        <f>IF(AND($H84="threat",$BW84=0.7,$BV84=0.05),$D84 &amp; ";","")</f>
        <v/>
      </c>
      <c r="CE84" s="58">
        <f>IF(AND($H84="threat",$BW84=0.7,$BV84=0.1),$D84 &amp; ";","")</f>
        <v/>
      </c>
      <c r="CF84" s="58">
        <f>IF(AND($H84="threat",$BW84=0.7,$BV84=0.2),$D84 &amp; ";","")</f>
        <v/>
      </c>
      <c r="CG84" s="58">
        <f>IF(AND($H84="threat",$BW84=0.7,$BV84=0.4),$D84 &amp; ";","")</f>
        <v/>
      </c>
      <c r="CH84" s="58">
        <f>IF(AND($H84="threat",$BW84=0.7,$BV84=0.8),$D84 &amp; ";","")</f>
        <v/>
      </c>
      <c r="CI84" s="58">
        <f>IF(AND($H84="threat",$BW84=0.5,$BV84=0.05),$D84 &amp; ";","")</f>
        <v/>
      </c>
      <c r="CJ84" s="58">
        <f>IF(AND($H84="threat",$BW84=0.5,$BV84=0.1),$D84 &amp; ";","")</f>
        <v/>
      </c>
      <c r="CK84" s="58">
        <f>IF(AND($H84="threat",$BW84=0.5,$BV84=0.2),$D84 &amp; ";","")</f>
        <v/>
      </c>
      <c r="CL84" s="58">
        <f>IF(AND($H84="threat",$BW84=0.5,$BV84=0.4),$D84 &amp; ";","")</f>
        <v/>
      </c>
      <c r="CM84" s="58">
        <f>IF(AND($H84="threat",$BW84=0.5,$BV84=0.8),$D84 &amp; ";","")</f>
        <v/>
      </c>
      <c r="CN84" s="58">
        <f>IF(AND($H84="threat",$BW84=0.3,$BV84=0.05),$D84 &amp; ";","")</f>
        <v/>
      </c>
      <c r="CO84" s="58">
        <f>IF(AND($H84="threat",$BW84=0.3,$BV84=0.1),$D84 &amp; ";","")</f>
        <v/>
      </c>
      <c r="CP84" s="58">
        <f>IF(AND($H84="threat",$BW84=0.3,$BV84=0.2),$D84 &amp; ";","")</f>
        <v/>
      </c>
      <c r="CQ84" s="58">
        <f>IF(AND($H84="threat",$BW84=0.3,$BV84=0.4),$D84 &amp; ";","")</f>
        <v/>
      </c>
      <c r="CR84" s="58">
        <f>IF(AND($H84="threat",$BW84=0.3,$BV84=0.8),$D84 &amp; ";","")</f>
        <v/>
      </c>
      <c r="CS84" s="58">
        <f>IF(AND($H84="threat",$BW84=0.1,$BV84=0.05),$D84 &amp; ";","")</f>
        <v/>
      </c>
      <c r="CT84" s="58">
        <f>IF(AND($H84="threat",$BW84=0.1,$BV84=0.1),$D84 &amp; ";","")</f>
        <v/>
      </c>
      <c r="CU84" s="58">
        <f>IF(AND($H84="threat",$BW84=0.1,$BV84=0.2),$D84 &amp; ";","")</f>
        <v/>
      </c>
      <c r="CV84" s="58">
        <f>IF(AND($H84="threat",$BW84=0.1,$BV84=0.4),$D84 &amp; ";","")</f>
        <v/>
      </c>
      <c r="CW84" s="58">
        <f>IF(AND($H84="threat",$BW84=0.1,$BV84=0.8),$D84 &amp; ";","")</f>
        <v/>
      </c>
      <c r="CX84" s="39" t="n"/>
      <c r="CY84" s="58">
        <f>IF(AND($H84="opportunity",$BW84=0.9,$BV84=0.8),$D84 &amp; ";","")</f>
        <v/>
      </c>
      <c r="CZ84" s="58">
        <f>IF(AND($H84="opportunity",$BW84=0.9,$BV84=0.4),$D84 &amp; ";","")</f>
        <v/>
      </c>
      <c r="DA84" s="58">
        <f>IF(AND($H84="opportunity",$BW84=0.9,$BV84=0.2),$D84 &amp; ";","")</f>
        <v/>
      </c>
      <c r="DB84" s="58">
        <f>IF(AND($H84="opportunity",$BW84=0.9,$BV84=0.1),$D84 &amp; ";","")</f>
        <v/>
      </c>
      <c r="DC84" s="58">
        <f>IF(AND($H84="opportunity",$BW84=0.9,$BV84=0.05),$D84 &amp; ";","")</f>
        <v/>
      </c>
      <c r="DD84" s="58">
        <f>IF(AND($H84="opportunity",$BW84=0.7,$BV84=0.8),$D84 &amp; ";","")</f>
        <v/>
      </c>
      <c r="DE84" s="58">
        <f>IF(AND($H84="opportunity",$BW84=0.7,$BV84=0.4),$D84 &amp; ";","")</f>
        <v/>
      </c>
      <c r="DF84" s="58">
        <f>IF(AND($H84="opportunity",$BW84=0.7,$BV84=0.2),$D84 &amp; ";","")</f>
        <v/>
      </c>
      <c r="DG84" s="58">
        <f>IF(AND($H84="opportunity",$BW84=0.7,$BV84=0.1),$D84 &amp; ";","")</f>
        <v/>
      </c>
      <c r="DH84" s="58">
        <f>IF(AND($H84="opportunity",$BW84=0.7,$BV84=0.05),$D84 &amp; ";","")</f>
        <v/>
      </c>
      <c r="DI84" s="58">
        <f>IF(AND($H84="opportunity",$BW84=0.5,$BV84=0.8),$D84 &amp; ";","")</f>
        <v/>
      </c>
      <c r="DJ84" s="58">
        <f>IF(AND($H84="opportunity",$BW84=0.5,$BV84=0.4),$D84 &amp; ";","")</f>
        <v/>
      </c>
      <c r="DK84" s="58">
        <f>IF(AND($H84="opportunity",$BW84=0.5,$BV84=0.2),$D84 &amp; ";","")</f>
        <v/>
      </c>
      <c r="DL84" s="58">
        <f>IF(AND($H84="opportunity",$BW84=0.5,$BV84=0.1),$D84 &amp; ";","")</f>
        <v/>
      </c>
      <c r="DM84" s="58">
        <f>IF(AND($H84="opportunity",$BW84=0.5,$BV84=0.05),$D84 &amp; ";","")</f>
        <v/>
      </c>
      <c r="DN84" s="58">
        <f>IF(AND($H84="opportunity",$BW84=0.3,$BV84=0.8),$D84 &amp; ";","")</f>
        <v/>
      </c>
      <c r="DO84" s="58">
        <f>IF(AND($H84="opportunity",$BW84=0.3,$BV84=0.4),$D84 &amp; ";","")</f>
        <v/>
      </c>
      <c r="DP84" s="58">
        <f>IF(AND($H84="opportunity",$BW84=0.3,$BV84=0.2),$D84 &amp; ";","")</f>
        <v/>
      </c>
      <c r="DQ84" s="58">
        <f>IF(AND($H84="opportunity",$BW84=0.3,$BV84=0.1),$D84 &amp; ";","")</f>
        <v/>
      </c>
      <c r="DR84" s="58">
        <f>IF(AND($H84="opportunity",$BW84=0.3,$BV84=0.05),$D84 &amp; ";","")</f>
        <v/>
      </c>
      <c r="DS84" s="58">
        <f>IF(AND($H84="opportunity",$BW84=0.1,$BV84=0.8),$D84 &amp; ";","")</f>
        <v/>
      </c>
      <c r="DT84" s="58">
        <f>IF(AND($H84="opportunity",$BW84=0.1,$BV84=0.4),$D84 &amp; ";","")</f>
        <v/>
      </c>
      <c r="DU84" s="58">
        <f>IF(AND($H84="opportunity",$BW84=0.1,$BV84=0.2),$D84 &amp; ";","")</f>
        <v/>
      </c>
      <c r="DV84" s="58">
        <f>IF(AND($H84="opportunity",$BW84=0.1,$BV84=0.1),$D84 &amp; ";","")</f>
        <v/>
      </c>
      <c r="DW84" s="58">
        <f>IF(AND($H84="opportunity",$BW84=0.1,$BV84=0.05),$D84 &amp; ";","")</f>
        <v/>
      </c>
    </row>
    <row r="85">
      <c r="D85" s="60">
        <f>INDIRECT(ADDRESS(ROW()-22,COLUMN()-2,1,1,"Risk Register"))</f>
        <v/>
      </c>
      <c r="E85" s="143">
        <f>INDIRECT(ADDRESS(ROW()-22,COLUMN()-1,1,1,"Risk Register"))</f>
        <v/>
      </c>
      <c r="G85" s="56">
        <f>INDIRECT(ADDRESS(ROW()-22,COLUMN()+10,1,1,"Risk Register"))</f>
        <v/>
      </c>
      <c r="H85" s="60">
        <f>INDIRECT(ADDRESS(ROW()-22,COLUMN()+8,1,1,"Risk Register"))</f>
        <v/>
      </c>
      <c r="I85" s="54">
        <f>INDIRECT(ADDRESS(ROW()-22,COLUMN()+3,1,1,"Risk Register"))</f>
        <v/>
      </c>
      <c r="J85" s="143">
        <f>INDIRECT(ADDRESS(ROW()-22,COLUMN()+12,1,1,"Risk Register"))</f>
        <v/>
      </c>
      <c r="K85" s="143">
        <f>INDIRECT(ADDRESS(ROW()-22,COLUMN()-2,1,1,"Risk Register"))</f>
        <v/>
      </c>
      <c r="L85" s="176">
        <f>INDIRECT(ADDRESS(ROW()-22,COLUMN()+15,1,1,"Risk Register"))</f>
        <v/>
      </c>
      <c r="M85" s="54">
        <f>INDIRECT(ADDRESS(ROW()-22,COLUMN()+13,1,1,"Risk Register"))</f>
        <v/>
      </c>
      <c r="N85" s="143">
        <f>INDIRECT(ADDRESS(ROW()-22,COLUMN()-9,1,1,"Risk Register"))</f>
        <v/>
      </c>
      <c r="O85" s="143">
        <f>INDIRECT(ADDRESS(ROW()-22,COLUMN()-8,1,1,"Risk Register"))</f>
        <v/>
      </c>
      <c r="P85" s="56">
        <f>INDIRECT(ADDRESS(ROW()-22,COLUMN()+18,1,1,"Risk Register"))</f>
        <v/>
      </c>
      <c r="R85" s="57">
        <f>INDIRECT(ADDRESS(ROW()-22,COLUMN()-5,1,1,"Risk Register"))</f>
        <v/>
      </c>
      <c r="S85" s="58">
        <f>INDIRECT(ADDRESS(ROW()-22,COLUMN()-4,1,1,"Risk Register"))</f>
        <v/>
      </c>
      <c r="T85" s="59">
        <f>IF(AND($H85="threat",$G85&lt;=0.05),"gn",IF(AND($H85="threat",$G85&lt;=0.14),"y",IF(AND($H85="threat", $G85&gt;=0.15),"r",IF(AND($H85="opportunity",$G85&lt;=0.05),"gn",IF(AND($H85="opportunity",$G85&lt;=0.14),"lb",IF(AND($H85="opportunity",$G85&gt;=0.15),"db","z"))))))</f>
        <v/>
      </c>
      <c r="U85" s="58">
        <f>IF(AND($H85="threat",$S85=0.9,$R85=0.05),$D85 &amp; ";","")</f>
        <v/>
      </c>
      <c r="V85" s="58">
        <f>IF(AND($H85="threat",$S85=0.9,$R85=0.1),$D85 &amp; ";","")</f>
        <v/>
      </c>
      <c r="W85" s="58">
        <f>IF(AND($H85="threat",$S85=0.9,$R85=0.2),$D85 &amp; ";","")</f>
        <v/>
      </c>
      <c r="X85" s="58">
        <f>IF(AND($H85="threat",$S85=0.9,$R85=0.4),$D85 &amp; ";","")</f>
        <v/>
      </c>
      <c r="Y85" s="58">
        <f>IF(AND($H85="threat",$S85=0.9,$R85=0.8),$D85 &amp; ";","")</f>
        <v/>
      </c>
      <c r="Z85" s="58">
        <f>IF(AND($H85="threat",$S85=0.7,$R85=0.05),$D85 &amp; ";","")</f>
        <v/>
      </c>
      <c r="AA85" s="58">
        <f>IF(AND($H85="threat",$S85=0.7,$R85=0.1),$D85 &amp; ";","")</f>
        <v/>
      </c>
      <c r="AB85" s="58">
        <f>IF(AND($H85="threat",$S85=0.7,$R85=0.2),$D85 &amp; ";","")</f>
        <v/>
      </c>
      <c r="AC85" s="58">
        <f>IF(AND($H85="threat",$S85=0.7,$R85=0.4),$D85 &amp; ";","")</f>
        <v/>
      </c>
      <c r="AD85" s="58">
        <f>IF(AND($H85="threat",$S85=0.7,$R85=0.8),$D85 &amp; ";","")</f>
        <v/>
      </c>
      <c r="AE85" s="58">
        <f>IF(AND($H85="threat",$S85=0.5,$R85=0.05),$D85 &amp; ";","")</f>
        <v/>
      </c>
      <c r="AF85" s="58">
        <f>IF(AND($H85="threat",$S85=0.5,$R85=0.1),$D85 &amp; ";","")</f>
        <v/>
      </c>
      <c r="AG85" s="58">
        <f>IF(AND($H85="threat",$S85=0.5,$R85=0.2),$D85 &amp; ";","")</f>
        <v/>
      </c>
      <c r="AH85" s="58">
        <f>IF(AND($H85="threat",$S85=0.5,$R85=0.4),$D85 &amp; ";","")</f>
        <v/>
      </c>
      <c r="AI85" s="58">
        <f>IF(AND($H85="threat",$S85=0.5,$R85=0.8),$D85 &amp; ";","")</f>
        <v/>
      </c>
      <c r="AJ85" s="58">
        <f>IF(AND($H85="threat",$S85=0.3,$R85=0.05),$D85 &amp; ";","")</f>
        <v/>
      </c>
      <c r="AK85" s="58">
        <f>IF(AND($H85="threat",$S85=0.3,$R85=0.1),$D85 &amp; ";","")</f>
        <v/>
      </c>
      <c r="AL85" s="58">
        <f>IF(AND($H85="threat",$S85=0.3,$R85=0.2),$D85 &amp; ";","")</f>
        <v/>
      </c>
      <c r="AM85" s="58">
        <f>IF(AND($H85="threat",$S85=0.3,$R85=0.4),$D85 &amp; ";","")</f>
        <v/>
      </c>
      <c r="AN85" s="58">
        <f>IF(AND($H85="threat",$S85=0.3,$R85=0.8),$D85 &amp; ";","")</f>
        <v/>
      </c>
      <c r="AO85" s="58">
        <f>IF(AND($H85="threat",$S85=0.1,$R85=0.05),$D85 &amp; ";","")</f>
        <v/>
      </c>
      <c r="AP85" s="58">
        <f>IF(AND($H85="threat",$S85=0.1,$R85=0.1),$D85 &amp; ";","")</f>
        <v/>
      </c>
      <c r="AQ85" s="58">
        <f>IF(AND($H85="threat",$S85=0.1,$R85=0.2),$D85 &amp; ";","")</f>
        <v/>
      </c>
      <c r="AR85" s="58">
        <f>IF(AND($H85="threat",$S85=0.1,$R85=0.4),$D85 &amp; ";","")</f>
        <v/>
      </c>
      <c r="AS85" s="58">
        <f>IF(AND($H85="threat",$S85=0.1,$R85=0.8),$D85 &amp; ";","")</f>
        <v/>
      </c>
      <c r="AT85" s="39" t="n"/>
      <c r="AU85" s="58">
        <f>IF(AND($H85="opportunity",$S85=0.9,$R85=0.8),$D85 &amp; ";","")</f>
        <v/>
      </c>
      <c r="AV85" s="58">
        <f>IF(AND($H85="opportunity",$S85=0.9,$R85=0.4),$D85 &amp; ";","")</f>
        <v/>
      </c>
      <c r="AW85" s="58">
        <f>IF(AND($H85="opportunity",$S85=0.9,$R85=0.2),$D85 &amp; ";","")</f>
        <v/>
      </c>
      <c r="AX85" s="58">
        <f>IF(AND($H85="opportunity",$S85=0.9,$R85=0.1),$D85 &amp; ";","")</f>
        <v/>
      </c>
      <c r="AY85" s="58">
        <f>IF(AND($H85="opportunity",$S85=0.9,$R85=0.05),$D85 &amp; ";","")</f>
        <v/>
      </c>
      <c r="AZ85" s="58">
        <f>IF(AND($H85="opportunity",$S85=0.7,$R85=0.8),$D85 &amp; ";","")</f>
        <v/>
      </c>
      <c r="BA85" s="58">
        <f>IF(AND($H85="opportunity",$S85=0.7,$R85=0.4),$D85 &amp; ";","")</f>
        <v/>
      </c>
      <c r="BB85" s="58">
        <f>IF(AND($H85="opportunity",$S85=0.7,$R85=0.2),$D85 &amp; ";","")</f>
        <v/>
      </c>
      <c r="BC85" s="58">
        <f>IF(AND($H85="opportunity",$S85=0.7,$R85=0.1),$D85 &amp; ";","")</f>
        <v/>
      </c>
      <c r="BD85" s="58">
        <f>IF(AND($H85="opportunity",$S85=0.7,$R85=0.05),$D85 &amp; ";","")</f>
        <v/>
      </c>
      <c r="BE85" s="58">
        <f>IF(AND($H85="opportunity",$S85=0.5,$R85=0.8),$D85 &amp; ";","")</f>
        <v/>
      </c>
      <c r="BF85" s="58">
        <f>IF(AND($H85="opportunity",$S85=0.5,$R85=0.4),$D85 &amp; ";","")</f>
        <v/>
      </c>
      <c r="BG85" s="58">
        <f>IF(AND($H85="opportunity",$S85=0.5,$R85=0.2),$D85 &amp; ";","")</f>
        <v/>
      </c>
      <c r="BH85" s="58">
        <f>IF(AND($H85="opportunity",$S85=0.5,$R85=0.1),$D85 &amp; ";","")</f>
        <v/>
      </c>
      <c r="BI85" s="58">
        <f>IF(AND($H85="opportunity",$S85=0.5,$R85=0.05),$D85 &amp; ";","")</f>
        <v/>
      </c>
      <c r="BJ85" s="58">
        <f>IF(AND($H85="opportunity",$S85=0.3,$R85=0.8),$D85 &amp; ";","")</f>
        <v/>
      </c>
      <c r="BK85" s="58">
        <f>IF(AND($H85="opportunity",$S85=0.3,$R85=0.4),$D85 &amp; ";","")</f>
        <v/>
      </c>
      <c r="BL85" s="58">
        <f>IF(AND($H85="opportunity",$S85=0.3,$R85=0.2),$D85 &amp; ";","")</f>
        <v/>
      </c>
      <c r="BM85" s="58">
        <f>IF(AND($H85="opportunity",$S85=0.3,$R85=0.1),$D85 &amp; ";","")</f>
        <v/>
      </c>
      <c r="BN85" s="58">
        <f>IF(AND($H85="opportunity",$S85=0.3,$R85=0.05),$D85 &amp; ";","")</f>
        <v/>
      </c>
      <c r="BO85" s="58">
        <f>IF(AND($H85="opportunity",$S85=0.1,$R85=0.8),$D85 &amp; ";","")</f>
        <v/>
      </c>
      <c r="BP85" s="58">
        <f>IF(AND($H85="opportunity",$S85=0.1,$R85=0.4),$D85 &amp; ";","")</f>
        <v/>
      </c>
      <c r="BQ85" s="58">
        <f>IF(AND($H85="opportunity",$S85=0.1,$R85=0.2),$D85 &amp; ";","")</f>
        <v/>
      </c>
      <c r="BR85" s="58">
        <f>IF(AND($H85="opportunity",$S85=0.1,$R85=0.1),$D85 &amp; ";","")</f>
        <v/>
      </c>
      <c r="BS85" s="58">
        <f>IF(AND($H85="opportunity",$S85=0.1,$R85=0.05),$D85 &amp; ";","")</f>
        <v/>
      </c>
      <c r="BV85" s="57">
        <f>INDIRECT(ADDRESS(ROW()-22,COLUMN()-45,1,1,"Risk Register"))</f>
        <v/>
      </c>
      <c r="BW85" s="58">
        <f>INDIRECT(ADDRESS(ROW()-22,COLUMN()-44,1,1,"Risk Register"))</f>
        <v/>
      </c>
      <c r="BX85" s="59">
        <f>IF(AND($H85="threat",$P85&lt;=0.05),"gn",IF(AND($H85="threat",$P85&lt;=0.14),"y",IF(AND($H85="threat", $P85&gt;=0.15),"r",IF(AND($H85="opportunity",$P85&lt;=0.05),"gn",IF(AND($H85="opportunity",$P85&lt;=0.14),"lb",IF(AND($H85="opportunity",$P85&gt;=0.15),"db","z"))))))</f>
        <v/>
      </c>
      <c r="BY85" s="58">
        <f>IF(AND($H85="threat",$BW85=0.9,$BV85=0.05),$D85 &amp; ";","")</f>
        <v/>
      </c>
      <c r="BZ85" s="58">
        <f>IF(AND($H85="threat",$BW85=0.9,$BV85=0.1),$D85 &amp; ";","")</f>
        <v/>
      </c>
      <c r="CA85" s="58">
        <f>IF(AND($H85="threat",$BW85=0.9,$BV85=0.2),$D85 &amp; ";","")</f>
        <v/>
      </c>
      <c r="CB85" s="58">
        <f>IF(AND($H85="threat",$BW85=0.9,$BV85=0.4),$D85 &amp; ";","")</f>
        <v/>
      </c>
      <c r="CC85" s="58">
        <f>IF(AND($H85="threat",$BW85=0.9,$BV85=0.8),$D85 &amp; ";","")</f>
        <v/>
      </c>
      <c r="CD85" s="58">
        <f>IF(AND($H85="threat",$BW85=0.7,$BV85=0.05),$D85 &amp; ";","")</f>
        <v/>
      </c>
      <c r="CE85" s="58">
        <f>IF(AND($H85="threat",$BW85=0.7,$BV85=0.1),$D85 &amp; ";","")</f>
        <v/>
      </c>
      <c r="CF85" s="58">
        <f>IF(AND($H85="threat",$BW85=0.7,$BV85=0.2),$D85 &amp; ";","")</f>
        <v/>
      </c>
      <c r="CG85" s="58">
        <f>IF(AND($H85="threat",$BW85=0.7,$BV85=0.4),$D85 &amp; ";","")</f>
        <v/>
      </c>
      <c r="CH85" s="58">
        <f>IF(AND($H85="threat",$BW85=0.7,$BV85=0.8),$D85 &amp; ";","")</f>
        <v/>
      </c>
      <c r="CI85" s="58">
        <f>IF(AND($H85="threat",$BW85=0.5,$BV85=0.05),$D85 &amp; ";","")</f>
        <v/>
      </c>
      <c r="CJ85" s="58">
        <f>IF(AND($H85="threat",$BW85=0.5,$BV85=0.1),$D85 &amp; ";","")</f>
        <v/>
      </c>
      <c r="CK85" s="58">
        <f>IF(AND($H85="threat",$BW85=0.5,$BV85=0.2),$D85 &amp; ";","")</f>
        <v/>
      </c>
      <c r="CL85" s="58">
        <f>IF(AND($H85="threat",$BW85=0.5,$BV85=0.4),$D85 &amp; ";","")</f>
        <v/>
      </c>
      <c r="CM85" s="58">
        <f>IF(AND($H85="threat",$BW85=0.5,$BV85=0.8),$D85 &amp; ";","")</f>
        <v/>
      </c>
      <c r="CN85" s="58">
        <f>IF(AND($H85="threat",$BW85=0.3,$BV85=0.05),$D85 &amp; ";","")</f>
        <v/>
      </c>
      <c r="CO85" s="58">
        <f>IF(AND($H85="threat",$BW85=0.3,$BV85=0.1),$D85 &amp; ";","")</f>
        <v/>
      </c>
      <c r="CP85" s="58">
        <f>IF(AND($H85="threat",$BW85=0.3,$BV85=0.2),$D85 &amp; ";","")</f>
        <v/>
      </c>
      <c r="CQ85" s="58">
        <f>IF(AND($H85="threat",$BW85=0.3,$BV85=0.4),$D85 &amp; ";","")</f>
        <v/>
      </c>
      <c r="CR85" s="58">
        <f>IF(AND($H85="threat",$BW85=0.3,$BV85=0.8),$D85 &amp; ";","")</f>
        <v/>
      </c>
      <c r="CS85" s="58">
        <f>IF(AND($H85="threat",$BW85=0.1,$BV85=0.05),$D85 &amp; ";","")</f>
        <v/>
      </c>
      <c r="CT85" s="58">
        <f>IF(AND($H85="threat",$BW85=0.1,$BV85=0.1),$D85 &amp; ";","")</f>
        <v/>
      </c>
      <c r="CU85" s="58">
        <f>IF(AND($H85="threat",$BW85=0.1,$BV85=0.2),$D85 &amp; ";","")</f>
        <v/>
      </c>
      <c r="CV85" s="58">
        <f>IF(AND($H85="threat",$BW85=0.1,$BV85=0.4),$D85 &amp; ";","")</f>
        <v/>
      </c>
      <c r="CW85" s="58">
        <f>IF(AND($H85="threat",$BW85=0.1,$BV85=0.8),$D85 &amp; ";","")</f>
        <v/>
      </c>
      <c r="CX85" s="39" t="n"/>
      <c r="CY85" s="58">
        <f>IF(AND($H85="opportunity",$BW85=0.9,$BV85=0.8),$D85 &amp; ";","")</f>
        <v/>
      </c>
      <c r="CZ85" s="58">
        <f>IF(AND($H85="opportunity",$BW85=0.9,$BV85=0.4),$D85 &amp; ";","")</f>
        <v/>
      </c>
      <c r="DA85" s="58">
        <f>IF(AND($H85="opportunity",$BW85=0.9,$BV85=0.2),$D85 &amp; ";","")</f>
        <v/>
      </c>
      <c r="DB85" s="58">
        <f>IF(AND($H85="opportunity",$BW85=0.9,$BV85=0.1),$D85 &amp; ";","")</f>
        <v/>
      </c>
      <c r="DC85" s="58">
        <f>IF(AND($H85="opportunity",$BW85=0.9,$BV85=0.05),$D85 &amp; ";","")</f>
        <v/>
      </c>
      <c r="DD85" s="58">
        <f>IF(AND($H85="opportunity",$BW85=0.7,$BV85=0.8),$D85 &amp; ";","")</f>
        <v/>
      </c>
      <c r="DE85" s="58">
        <f>IF(AND($H85="opportunity",$BW85=0.7,$BV85=0.4),$D85 &amp; ";","")</f>
        <v/>
      </c>
      <c r="DF85" s="58">
        <f>IF(AND($H85="opportunity",$BW85=0.7,$BV85=0.2),$D85 &amp; ";","")</f>
        <v/>
      </c>
      <c r="DG85" s="58">
        <f>IF(AND($H85="opportunity",$BW85=0.7,$BV85=0.1),$D85 &amp; ";","")</f>
        <v/>
      </c>
      <c r="DH85" s="58">
        <f>IF(AND($H85="opportunity",$BW85=0.7,$BV85=0.05),$D85 &amp; ";","")</f>
        <v/>
      </c>
      <c r="DI85" s="58">
        <f>IF(AND($H85="opportunity",$BW85=0.5,$BV85=0.8),$D85 &amp; ";","")</f>
        <v/>
      </c>
      <c r="DJ85" s="58">
        <f>IF(AND($H85="opportunity",$BW85=0.5,$BV85=0.4),$D85 &amp; ";","")</f>
        <v/>
      </c>
      <c r="DK85" s="58">
        <f>IF(AND($H85="opportunity",$BW85=0.5,$BV85=0.2),$D85 &amp; ";","")</f>
        <v/>
      </c>
      <c r="DL85" s="58">
        <f>IF(AND($H85="opportunity",$BW85=0.5,$BV85=0.1),$D85 &amp; ";","")</f>
        <v/>
      </c>
      <c r="DM85" s="58">
        <f>IF(AND($H85="opportunity",$BW85=0.5,$BV85=0.05),$D85 &amp; ";","")</f>
        <v/>
      </c>
      <c r="DN85" s="58">
        <f>IF(AND($H85="opportunity",$BW85=0.3,$BV85=0.8),$D85 &amp; ";","")</f>
        <v/>
      </c>
      <c r="DO85" s="58">
        <f>IF(AND($H85="opportunity",$BW85=0.3,$BV85=0.4),$D85 &amp; ";","")</f>
        <v/>
      </c>
      <c r="DP85" s="58">
        <f>IF(AND($H85="opportunity",$BW85=0.3,$BV85=0.2),$D85 &amp; ";","")</f>
        <v/>
      </c>
      <c r="DQ85" s="58">
        <f>IF(AND($H85="opportunity",$BW85=0.3,$BV85=0.1),$D85 &amp; ";","")</f>
        <v/>
      </c>
      <c r="DR85" s="58">
        <f>IF(AND($H85="opportunity",$BW85=0.3,$BV85=0.05),$D85 &amp; ";","")</f>
        <v/>
      </c>
      <c r="DS85" s="58">
        <f>IF(AND($H85="opportunity",$BW85=0.1,$BV85=0.8),$D85 &amp; ";","")</f>
        <v/>
      </c>
      <c r="DT85" s="58">
        <f>IF(AND($H85="opportunity",$BW85=0.1,$BV85=0.4),$D85 &amp; ";","")</f>
        <v/>
      </c>
      <c r="DU85" s="58">
        <f>IF(AND($H85="opportunity",$BW85=0.1,$BV85=0.2),$D85 &amp; ";","")</f>
        <v/>
      </c>
      <c r="DV85" s="58">
        <f>IF(AND($H85="opportunity",$BW85=0.1,$BV85=0.1),$D85 &amp; ";","")</f>
        <v/>
      </c>
      <c r="DW85" s="58">
        <f>IF(AND($H85="opportunity",$BW85=0.1,$BV85=0.05),$D85 &amp; ";","")</f>
        <v/>
      </c>
    </row>
    <row r="86">
      <c r="D86" s="60">
        <f>INDIRECT(ADDRESS(ROW()-22,COLUMN()-2,1,1,"Risk Register"))</f>
        <v/>
      </c>
      <c r="E86" s="143">
        <f>INDIRECT(ADDRESS(ROW()-22,COLUMN()-1,1,1,"Risk Register"))</f>
        <v/>
      </c>
      <c r="G86" s="56">
        <f>INDIRECT(ADDRESS(ROW()-22,COLUMN()+10,1,1,"Risk Register"))</f>
        <v/>
      </c>
      <c r="H86" s="60">
        <f>INDIRECT(ADDRESS(ROW()-22,COLUMN()+8,1,1,"Risk Register"))</f>
        <v/>
      </c>
      <c r="I86" s="54">
        <f>INDIRECT(ADDRESS(ROW()-22,COLUMN()+3,1,1,"Risk Register"))</f>
        <v/>
      </c>
      <c r="J86" s="143">
        <f>INDIRECT(ADDRESS(ROW()-22,COLUMN()+12,1,1,"Risk Register"))</f>
        <v/>
      </c>
      <c r="K86" s="143">
        <f>INDIRECT(ADDRESS(ROW()-22,COLUMN()-2,1,1,"Risk Register"))</f>
        <v/>
      </c>
      <c r="L86" s="176">
        <f>INDIRECT(ADDRESS(ROW()-22,COLUMN()+15,1,1,"Risk Register"))</f>
        <v/>
      </c>
      <c r="M86" s="54">
        <f>INDIRECT(ADDRESS(ROW()-22,COLUMN()+13,1,1,"Risk Register"))</f>
        <v/>
      </c>
      <c r="N86" s="143">
        <f>INDIRECT(ADDRESS(ROW()-22,COLUMN()-9,1,1,"Risk Register"))</f>
        <v/>
      </c>
      <c r="O86" s="143">
        <f>INDIRECT(ADDRESS(ROW()-22,COLUMN()-8,1,1,"Risk Register"))</f>
        <v/>
      </c>
      <c r="P86" s="56">
        <f>INDIRECT(ADDRESS(ROW()-22,COLUMN()+18,1,1,"Risk Register"))</f>
        <v/>
      </c>
      <c r="R86" s="57">
        <f>INDIRECT(ADDRESS(ROW()-22,COLUMN()-5,1,1,"Risk Register"))</f>
        <v/>
      </c>
      <c r="S86" s="58">
        <f>INDIRECT(ADDRESS(ROW()-22,COLUMN()-4,1,1,"Risk Register"))</f>
        <v/>
      </c>
      <c r="T86" s="59">
        <f>IF(AND($H86="threat",$G86&lt;=0.05),"gn",IF(AND($H86="threat",$G86&lt;=0.14),"y",IF(AND($H86="threat", $G86&gt;=0.15),"r",IF(AND($H86="opportunity",$G86&lt;=0.05),"gn",IF(AND($H86="opportunity",$G86&lt;=0.14),"lb",IF(AND($H86="opportunity",$G86&gt;=0.15),"db","z"))))))</f>
        <v/>
      </c>
      <c r="U86" s="58">
        <f>IF(AND($H86="threat",$S86=0.9,$R86=0.05),$D86 &amp; ";","")</f>
        <v/>
      </c>
      <c r="V86" s="58">
        <f>IF(AND($H86="threat",$S86=0.9,$R86=0.1),$D86 &amp; ";","")</f>
        <v/>
      </c>
      <c r="W86" s="58">
        <f>IF(AND($H86="threat",$S86=0.9,$R86=0.2),$D86 &amp; ";","")</f>
        <v/>
      </c>
      <c r="X86" s="58">
        <f>IF(AND($H86="threat",$S86=0.9,$R86=0.4),$D86 &amp; ";","")</f>
        <v/>
      </c>
      <c r="Y86" s="58">
        <f>IF(AND($H86="threat",$S86=0.9,$R86=0.8),$D86 &amp; ";","")</f>
        <v/>
      </c>
      <c r="Z86" s="58">
        <f>IF(AND($H86="threat",$S86=0.7,$R86=0.05),$D86 &amp; ";","")</f>
        <v/>
      </c>
      <c r="AA86" s="58">
        <f>IF(AND($H86="threat",$S86=0.7,$R86=0.1),$D86 &amp; ";","")</f>
        <v/>
      </c>
      <c r="AB86" s="58">
        <f>IF(AND($H86="threat",$S86=0.7,$R86=0.2),$D86 &amp; ";","")</f>
        <v/>
      </c>
      <c r="AC86" s="58">
        <f>IF(AND($H86="threat",$S86=0.7,$R86=0.4),$D86 &amp; ";","")</f>
        <v/>
      </c>
      <c r="AD86" s="58">
        <f>IF(AND($H86="threat",$S86=0.7,$R86=0.8),$D86 &amp; ";","")</f>
        <v/>
      </c>
      <c r="AE86" s="58">
        <f>IF(AND($H86="threat",$S86=0.5,$R86=0.05),$D86 &amp; ";","")</f>
        <v/>
      </c>
      <c r="AF86" s="58">
        <f>IF(AND($H86="threat",$S86=0.5,$R86=0.1),$D86 &amp; ";","")</f>
        <v/>
      </c>
      <c r="AG86" s="58">
        <f>IF(AND($H86="threat",$S86=0.5,$R86=0.2),$D86 &amp; ";","")</f>
        <v/>
      </c>
      <c r="AH86" s="58">
        <f>IF(AND($H86="threat",$S86=0.5,$R86=0.4),$D86 &amp; ";","")</f>
        <v/>
      </c>
      <c r="AI86" s="58">
        <f>IF(AND($H86="threat",$S86=0.5,$R86=0.8),$D86 &amp; ";","")</f>
        <v/>
      </c>
      <c r="AJ86" s="58">
        <f>IF(AND($H86="threat",$S86=0.3,$R86=0.05),$D86 &amp; ";","")</f>
        <v/>
      </c>
      <c r="AK86" s="58">
        <f>IF(AND($H86="threat",$S86=0.3,$R86=0.1),$D86 &amp; ";","")</f>
        <v/>
      </c>
      <c r="AL86" s="58">
        <f>IF(AND($H86="threat",$S86=0.3,$R86=0.2),$D86 &amp; ";","")</f>
        <v/>
      </c>
      <c r="AM86" s="58">
        <f>IF(AND($H86="threat",$S86=0.3,$R86=0.4),$D86 &amp; ";","")</f>
        <v/>
      </c>
      <c r="AN86" s="58">
        <f>IF(AND($H86="threat",$S86=0.3,$R86=0.8),$D86 &amp; ";","")</f>
        <v/>
      </c>
      <c r="AO86" s="58">
        <f>IF(AND($H86="threat",$S86=0.1,$R86=0.05),$D86 &amp; ";","")</f>
        <v/>
      </c>
      <c r="AP86" s="58">
        <f>IF(AND($H86="threat",$S86=0.1,$R86=0.1),$D86 &amp; ";","")</f>
        <v/>
      </c>
      <c r="AQ86" s="58">
        <f>IF(AND($H86="threat",$S86=0.1,$R86=0.2),$D86 &amp; ";","")</f>
        <v/>
      </c>
      <c r="AR86" s="58">
        <f>IF(AND($H86="threat",$S86=0.1,$R86=0.4),$D86 &amp; ";","")</f>
        <v/>
      </c>
      <c r="AS86" s="58">
        <f>IF(AND($H86="threat",$S86=0.1,$R86=0.8),$D86 &amp; ";","")</f>
        <v/>
      </c>
      <c r="AT86" s="39" t="n"/>
      <c r="AU86" s="58">
        <f>IF(AND($H86="opportunity",$S86=0.9,$R86=0.8),$D86 &amp; ";","")</f>
        <v/>
      </c>
      <c r="AV86" s="58">
        <f>IF(AND($H86="opportunity",$S86=0.9,$R86=0.4),$D86 &amp; ";","")</f>
        <v/>
      </c>
      <c r="AW86" s="58">
        <f>IF(AND($H86="opportunity",$S86=0.9,$R86=0.2),$D86 &amp; ";","")</f>
        <v/>
      </c>
      <c r="AX86" s="58">
        <f>IF(AND($H86="opportunity",$S86=0.9,$R86=0.1),$D86 &amp; ";","")</f>
        <v/>
      </c>
      <c r="AY86" s="58">
        <f>IF(AND($H86="opportunity",$S86=0.9,$R86=0.05),$D86 &amp; ";","")</f>
        <v/>
      </c>
      <c r="AZ86" s="58">
        <f>IF(AND($H86="opportunity",$S86=0.7,$R86=0.8),$D86 &amp; ";","")</f>
        <v/>
      </c>
      <c r="BA86" s="58">
        <f>IF(AND($H86="opportunity",$S86=0.7,$R86=0.4),$D86 &amp; ";","")</f>
        <v/>
      </c>
      <c r="BB86" s="58">
        <f>IF(AND($H86="opportunity",$S86=0.7,$R86=0.2),$D86 &amp; ";","")</f>
        <v/>
      </c>
      <c r="BC86" s="58">
        <f>IF(AND($H86="opportunity",$S86=0.7,$R86=0.1),$D86 &amp; ";","")</f>
        <v/>
      </c>
      <c r="BD86" s="58">
        <f>IF(AND($H86="opportunity",$S86=0.7,$R86=0.05),$D86 &amp; ";","")</f>
        <v/>
      </c>
      <c r="BE86" s="58">
        <f>IF(AND($H86="opportunity",$S86=0.5,$R86=0.8),$D86 &amp; ";","")</f>
        <v/>
      </c>
      <c r="BF86" s="58">
        <f>IF(AND($H86="opportunity",$S86=0.5,$R86=0.4),$D86 &amp; ";","")</f>
        <v/>
      </c>
      <c r="BG86" s="58">
        <f>IF(AND($H86="opportunity",$S86=0.5,$R86=0.2),$D86 &amp; ";","")</f>
        <v/>
      </c>
      <c r="BH86" s="58">
        <f>IF(AND($H86="opportunity",$S86=0.5,$R86=0.1),$D86 &amp; ";","")</f>
        <v/>
      </c>
      <c r="BI86" s="58">
        <f>IF(AND($H86="opportunity",$S86=0.5,$R86=0.05),$D86 &amp; ";","")</f>
        <v/>
      </c>
      <c r="BJ86" s="58">
        <f>IF(AND($H86="opportunity",$S86=0.3,$R86=0.8),$D86 &amp; ";","")</f>
        <v/>
      </c>
      <c r="BK86" s="58">
        <f>IF(AND($H86="opportunity",$S86=0.3,$R86=0.4),$D86 &amp; ";","")</f>
        <v/>
      </c>
      <c r="BL86" s="58">
        <f>IF(AND($H86="opportunity",$S86=0.3,$R86=0.2),$D86 &amp; ";","")</f>
        <v/>
      </c>
      <c r="BM86" s="58">
        <f>IF(AND($H86="opportunity",$S86=0.3,$R86=0.1),$D86 &amp; ";","")</f>
        <v/>
      </c>
      <c r="BN86" s="58">
        <f>IF(AND($H86="opportunity",$S86=0.3,$R86=0.05),$D86 &amp; ";","")</f>
        <v/>
      </c>
      <c r="BO86" s="58">
        <f>IF(AND($H86="opportunity",$S86=0.1,$R86=0.8),$D86 &amp; ";","")</f>
        <v/>
      </c>
      <c r="BP86" s="58">
        <f>IF(AND($H86="opportunity",$S86=0.1,$R86=0.4),$D86 &amp; ";","")</f>
        <v/>
      </c>
      <c r="BQ86" s="58">
        <f>IF(AND($H86="opportunity",$S86=0.1,$R86=0.2),$D86 &amp; ";","")</f>
        <v/>
      </c>
      <c r="BR86" s="58">
        <f>IF(AND($H86="opportunity",$S86=0.1,$R86=0.1),$D86 &amp; ";","")</f>
        <v/>
      </c>
      <c r="BS86" s="58">
        <f>IF(AND($H86="opportunity",$S86=0.1,$R86=0.05),$D86 &amp; ";","")</f>
        <v/>
      </c>
      <c r="BV86" s="57">
        <f>INDIRECT(ADDRESS(ROW()-22,COLUMN()-45,1,1,"Risk Register"))</f>
        <v/>
      </c>
      <c r="BW86" s="58">
        <f>INDIRECT(ADDRESS(ROW()-22,COLUMN()-44,1,1,"Risk Register"))</f>
        <v/>
      </c>
      <c r="BX86" s="59">
        <f>IF(AND($H86="threat",$P86&lt;=0.05),"gn",IF(AND($H86="threat",$P86&lt;=0.14),"y",IF(AND($H86="threat", $P86&gt;=0.15),"r",IF(AND($H86="opportunity",$P86&lt;=0.05),"gn",IF(AND($H86="opportunity",$P86&lt;=0.14),"lb",IF(AND($H86="opportunity",$P86&gt;=0.15),"db","z"))))))</f>
        <v/>
      </c>
      <c r="BY86" s="58">
        <f>IF(AND($H86="threat",$BW86=0.9,$BV86=0.05),$D86 &amp; ";","")</f>
        <v/>
      </c>
      <c r="BZ86" s="58">
        <f>IF(AND($H86="threat",$BW86=0.9,$BV86=0.1),$D86 &amp; ";","")</f>
        <v/>
      </c>
      <c r="CA86" s="58">
        <f>IF(AND($H86="threat",$BW86=0.9,$BV86=0.2),$D86 &amp; ";","")</f>
        <v/>
      </c>
      <c r="CB86" s="58">
        <f>IF(AND($H86="threat",$BW86=0.9,$BV86=0.4),$D86 &amp; ";","")</f>
        <v/>
      </c>
      <c r="CC86" s="58">
        <f>IF(AND($H86="threat",$BW86=0.9,$BV86=0.8),$D86 &amp; ";","")</f>
        <v/>
      </c>
      <c r="CD86" s="58">
        <f>IF(AND($H86="threat",$BW86=0.7,$BV86=0.05),$D86 &amp; ";","")</f>
        <v/>
      </c>
      <c r="CE86" s="58">
        <f>IF(AND($H86="threat",$BW86=0.7,$BV86=0.1),$D86 &amp; ";","")</f>
        <v/>
      </c>
      <c r="CF86" s="58">
        <f>IF(AND($H86="threat",$BW86=0.7,$BV86=0.2),$D86 &amp; ";","")</f>
        <v/>
      </c>
      <c r="CG86" s="58">
        <f>IF(AND($H86="threat",$BW86=0.7,$BV86=0.4),$D86 &amp; ";","")</f>
        <v/>
      </c>
      <c r="CH86" s="58">
        <f>IF(AND($H86="threat",$BW86=0.7,$BV86=0.8),$D86 &amp; ";","")</f>
        <v/>
      </c>
      <c r="CI86" s="58">
        <f>IF(AND($H86="threat",$BW86=0.5,$BV86=0.05),$D86 &amp; ";","")</f>
        <v/>
      </c>
      <c r="CJ86" s="58">
        <f>IF(AND($H86="threat",$BW86=0.5,$BV86=0.1),$D86 &amp; ";","")</f>
        <v/>
      </c>
      <c r="CK86" s="58">
        <f>IF(AND($H86="threat",$BW86=0.5,$BV86=0.2),$D86 &amp; ";","")</f>
        <v/>
      </c>
      <c r="CL86" s="58">
        <f>IF(AND($H86="threat",$BW86=0.5,$BV86=0.4),$D86 &amp; ";","")</f>
        <v/>
      </c>
      <c r="CM86" s="58">
        <f>IF(AND($H86="threat",$BW86=0.5,$BV86=0.8),$D86 &amp; ";","")</f>
        <v/>
      </c>
      <c r="CN86" s="58">
        <f>IF(AND($H86="threat",$BW86=0.3,$BV86=0.05),$D86 &amp; ";","")</f>
        <v/>
      </c>
      <c r="CO86" s="58">
        <f>IF(AND($H86="threat",$BW86=0.3,$BV86=0.1),$D86 &amp; ";","")</f>
        <v/>
      </c>
      <c r="CP86" s="58">
        <f>IF(AND($H86="threat",$BW86=0.3,$BV86=0.2),$D86 &amp; ";","")</f>
        <v/>
      </c>
      <c r="CQ86" s="58">
        <f>IF(AND($H86="threat",$BW86=0.3,$BV86=0.4),$D86 &amp; ";","")</f>
        <v/>
      </c>
      <c r="CR86" s="58">
        <f>IF(AND($H86="threat",$BW86=0.3,$BV86=0.8),$D86 &amp; ";","")</f>
        <v/>
      </c>
      <c r="CS86" s="58">
        <f>IF(AND($H86="threat",$BW86=0.1,$BV86=0.05),$D86 &amp; ";","")</f>
        <v/>
      </c>
      <c r="CT86" s="58">
        <f>IF(AND($H86="threat",$BW86=0.1,$BV86=0.1),$D86 &amp; ";","")</f>
        <v/>
      </c>
      <c r="CU86" s="58">
        <f>IF(AND($H86="threat",$BW86=0.1,$BV86=0.2),$D86 &amp; ";","")</f>
        <v/>
      </c>
      <c r="CV86" s="58">
        <f>IF(AND($H86="threat",$BW86=0.1,$BV86=0.4),$D86 &amp; ";","")</f>
        <v/>
      </c>
      <c r="CW86" s="58">
        <f>IF(AND($H86="threat",$BW86=0.1,$BV86=0.8),$D86 &amp; ";","")</f>
        <v/>
      </c>
      <c r="CX86" s="39" t="n"/>
      <c r="CY86" s="58">
        <f>IF(AND($H86="opportunity",$BW86=0.9,$BV86=0.8),$D86 &amp; ";","")</f>
        <v/>
      </c>
      <c r="CZ86" s="58">
        <f>IF(AND($H86="opportunity",$BW86=0.9,$BV86=0.4),$D86 &amp; ";","")</f>
        <v/>
      </c>
      <c r="DA86" s="58">
        <f>IF(AND($H86="opportunity",$BW86=0.9,$BV86=0.2),$D86 &amp; ";","")</f>
        <v/>
      </c>
      <c r="DB86" s="58">
        <f>IF(AND($H86="opportunity",$BW86=0.9,$BV86=0.1),$D86 &amp; ";","")</f>
        <v/>
      </c>
      <c r="DC86" s="58">
        <f>IF(AND($H86="opportunity",$BW86=0.9,$BV86=0.05),$D86 &amp; ";","")</f>
        <v/>
      </c>
      <c r="DD86" s="58">
        <f>IF(AND($H86="opportunity",$BW86=0.7,$BV86=0.8),$D86 &amp; ";","")</f>
        <v/>
      </c>
      <c r="DE86" s="58">
        <f>IF(AND($H86="opportunity",$BW86=0.7,$BV86=0.4),$D86 &amp; ";","")</f>
        <v/>
      </c>
      <c r="DF86" s="58">
        <f>IF(AND($H86="opportunity",$BW86=0.7,$BV86=0.2),$D86 &amp; ";","")</f>
        <v/>
      </c>
      <c r="DG86" s="58">
        <f>IF(AND($H86="opportunity",$BW86=0.7,$BV86=0.1),$D86 &amp; ";","")</f>
        <v/>
      </c>
      <c r="DH86" s="58">
        <f>IF(AND($H86="opportunity",$BW86=0.7,$BV86=0.05),$D86 &amp; ";","")</f>
        <v/>
      </c>
      <c r="DI86" s="58">
        <f>IF(AND($H86="opportunity",$BW86=0.5,$BV86=0.8),$D86 &amp; ";","")</f>
        <v/>
      </c>
      <c r="DJ86" s="58">
        <f>IF(AND($H86="opportunity",$BW86=0.5,$BV86=0.4),$D86 &amp; ";","")</f>
        <v/>
      </c>
      <c r="DK86" s="58">
        <f>IF(AND($H86="opportunity",$BW86=0.5,$BV86=0.2),$D86 &amp; ";","")</f>
        <v/>
      </c>
      <c r="DL86" s="58">
        <f>IF(AND($H86="opportunity",$BW86=0.5,$BV86=0.1),$D86 &amp; ";","")</f>
        <v/>
      </c>
      <c r="DM86" s="58">
        <f>IF(AND($H86="opportunity",$BW86=0.5,$BV86=0.05),$D86 &amp; ";","")</f>
        <v/>
      </c>
      <c r="DN86" s="58">
        <f>IF(AND($H86="opportunity",$BW86=0.3,$BV86=0.8),$D86 &amp; ";","")</f>
        <v/>
      </c>
      <c r="DO86" s="58">
        <f>IF(AND($H86="opportunity",$BW86=0.3,$BV86=0.4),$D86 &amp; ";","")</f>
        <v/>
      </c>
      <c r="DP86" s="58">
        <f>IF(AND($H86="opportunity",$BW86=0.3,$BV86=0.2),$D86 &amp; ";","")</f>
        <v/>
      </c>
      <c r="DQ86" s="58">
        <f>IF(AND($H86="opportunity",$BW86=0.3,$BV86=0.1),$D86 &amp; ";","")</f>
        <v/>
      </c>
      <c r="DR86" s="58">
        <f>IF(AND($H86="opportunity",$BW86=0.3,$BV86=0.05),$D86 &amp; ";","")</f>
        <v/>
      </c>
      <c r="DS86" s="58">
        <f>IF(AND($H86="opportunity",$BW86=0.1,$BV86=0.8),$D86 &amp; ";","")</f>
        <v/>
      </c>
      <c r="DT86" s="58">
        <f>IF(AND($H86="opportunity",$BW86=0.1,$BV86=0.4),$D86 &amp; ";","")</f>
        <v/>
      </c>
      <c r="DU86" s="58">
        <f>IF(AND($H86="opportunity",$BW86=0.1,$BV86=0.2),$D86 &amp; ";","")</f>
        <v/>
      </c>
      <c r="DV86" s="58">
        <f>IF(AND($H86="opportunity",$BW86=0.1,$BV86=0.1),$D86 &amp; ";","")</f>
        <v/>
      </c>
      <c r="DW86" s="58">
        <f>IF(AND($H86="opportunity",$BW86=0.1,$BV86=0.05),$D86 &amp; ";","")</f>
        <v/>
      </c>
    </row>
    <row r="87">
      <c r="D87" s="60">
        <f>INDIRECT(ADDRESS(ROW()-22,COLUMN()-2,1,1,"Risk Register"))</f>
        <v/>
      </c>
      <c r="E87" s="143">
        <f>INDIRECT(ADDRESS(ROW()-22,COLUMN()-1,1,1,"Risk Register"))</f>
        <v/>
      </c>
      <c r="G87" s="56">
        <f>INDIRECT(ADDRESS(ROW()-22,COLUMN()+10,1,1,"Risk Register"))</f>
        <v/>
      </c>
      <c r="H87" s="60">
        <f>INDIRECT(ADDRESS(ROW()-22,COLUMN()+8,1,1,"Risk Register"))</f>
        <v/>
      </c>
      <c r="I87" s="54">
        <f>INDIRECT(ADDRESS(ROW()-22,COLUMN()+3,1,1,"Risk Register"))</f>
        <v/>
      </c>
      <c r="J87" s="143">
        <f>INDIRECT(ADDRESS(ROW()-22,COLUMN()+12,1,1,"Risk Register"))</f>
        <v/>
      </c>
      <c r="K87" s="143">
        <f>INDIRECT(ADDRESS(ROW()-22,COLUMN()-2,1,1,"Risk Register"))</f>
        <v/>
      </c>
      <c r="L87" s="176">
        <f>INDIRECT(ADDRESS(ROW()-22,COLUMN()+15,1,1,"Risk Register"))</f>
        <v/>
      </c>
      <c r="M87" s="54">
        <f>INDIRECT(ADDRESS(ROW()-22,COLUMN()+13,1,1,"Risk Register"))</f>
        <v/>
      </c>
      <c r="N87" s="143">
        <f>INDIRECT(ADDRESS(ROW()-22,COLUMN()-9,1,1,"Risk Register"))</f>
        <v/>
      </c>
      <c r="O87" s="143">
        <f>INDIRECT(ADDRESS(ROW()-22,COLUMN()-8,1,1,"Risk Register"))</f>
        <v/>
      </c>
      <c r="P87" s="56">
        <f>INDIRECT(ADDRESS(ROW()-22,COLUMN()+18,1,1,"Risk Register"))</f>
        <v/>
      </c>
      <c r="R87" s="57">
        <f>INDIRECT(ADDRESS(ROW()-22,COLUMN()-5,1,1,"Risk Register"))</f>
        <v/>
      </c>
      <c r="S87" s="58">
        <f>INDIRECT(ADDRESS(ROW()-22,COLUMN()-4,1,1,"Risk Register"))</f>
        <v/>
      </c>
      <c r="T87" s="59">
        <f>IF(AND($H87="threat",$G87&lt;=0.05),"gn",IF(AND($H87="threat",$G87&lt;=0.14),"y",IF(AND($H87="threat", $G87&gt;=0.15),"r",IF(AND($H87="opportunity",$G87&lt;=0.05),"gn",IF(AND($H87="opportunity",$G87&lt;=0.14),"lb",IF(AND($H87="opportunity",$G87&gt;=0.15),"db","z"))))))</f>
        <v/>
      </c>
      <c r="U87" s="58">
        <f>IF(AND($H87="threat",$S87=0.9,$R87=0.05),$D87 &amp; ";","")</f>
        <v/>
      </c>
      <c r="V87" s="58">
        <f>IF(AND($H87="threat",$S87=0.9,$R87=0.1),$D87 &amp; ";","")</f>
        <v/>
      </c>
      <c r="W87" s="58">
        <f>IF(AND($H87="threat",$S87=0.9,$R87=0.2),$D87 &amp; ";","")</f>
        <v/>
      </c>
      <c r="X87" s="58">
        <f>IF(AND($H87="threat",$S87=0.9,$R87=0.4),$D87 &amp; ";","")</f>
        <v/>
      </c>
      <c r="Y87" s="58">
        <f>IF(AND($H87="threat",$S87=0.9,$R87=0.8),$D87 &amp; ";","")</f>
        <v/>
      </c>
      <c r="Z87" s="58">
        <f>IF(AND($H87="threat",$S87=0.7,$R87=0.05),$D87 &amp; ";","")</f>
        <v/>
      </c>
      <c r="AA87" s="58">
        <f>IF(AND($H87="threat",$S87=0.7,$R87=0.1),$D87 &amp; ";","")</f>
        <v/>
      </c>
      <c r="AB87" s="58">
        <f>IF(AND($H87="threat",$S87=0.7,$R87=0.2),$D87 &amp; ";","")</f>
        <v/>
      </c>
      <c r="AC87" s="58">
        <f>IF(AND($H87="threat",$S87=0.7,$R87=0.4),$D87 &amp; ";","")</f>
        <v/>
      </c>
      <c r="AD87" s="58">
        <f>IF(AND($H87="threat",$S87=0.7,$R87=0.8),$D87 &amp; ";","")</f>
        <v/>
      </c>
      <c r="AE87" s="58">
        <f>IF(AND($H87="threat",$S87=0.5,$R87=0.05),$D87 &amp; ";","")</f>
        <v/>
      </c>
      <c r="AF87" s="58">
        <f>IF(AND($H87="threat",$S87=0.5,$R87=0.1),$D87 &amp; ";","")</f>
        <v/>
      </c>
      <c r="AG87" s="58">
        <f>IF(AND($H87="threat",$S87=0.5,$R87=0.2),$D87 &amp; ";","")</f>
        <v/>
      </c>
      <c r="AH87" s="58">
        <f>IF(AND($H87="threat",$S87=0.5,$R87=0.4),$D87 &amp; ";","")</f>
        <v/>
      </c>
      <c r="AI87" s="58">
        <f>IF(AND($H87="threat",$S87=0.5,$R87=0.8),$D87 &amp; ";","")</f>
        <v/>
      </c>
      <c r="AJ87" s="58">
        <f>IF(AND($H87="threat",$S87=0.3,$R87=0.05),$D87 &amp; ";","")</f>
        <v/>
      </c>
      <c r="AK87" s="58">
        <f>IF(AND($H87="threat",$S87=0.3,$R87=0.1),$D87 &amp; ";","")</f>
        <v/>
      </c>
      <c r="AL87" s="58">
        <f>IF(AND($H87="threat",$S87=0.3,$R87=0.2),$D87 &amp; ";","")</f>
        <v/>
      </c>
      <c r="AM87" s="58">
        <f>IF(AND($H87="threat",$S87=0.3,$R87=0.4),$D87 &amp; ";","")</f>
        <v/>
      </c>
      <c r="AN87" s="58">
        <f>IF(AND($H87="threat",$S87=0.3,$R87=0.8),$D87 &amp; ";","")</f>
        <v/>
      </c>
      <c r="AO87" s="58">
        <f>IF(AND($H87="threat",$S87=0.1,$R87=0.05),$D87 &amp; ";","")</f>
        <v/>
      </c>
      <c r="AP87" s="58">
        <f>IF(AND($H87="threat",$S87=0.1,$R87=0.1),$D87 &amp; ";","")</f>
        <v/>
      </c>
      <c r="AQ87" s="58">
        <f>IF(AND($H87="threat",$S87=0.1,$R87=0.2),$D87 &amp; ";","")</f>
        <v/>
      </c>
      <c r="AR87" s="58">
        <f>IF(AND($H87="threat",$S87=0.1,$R87=0.4),$D87 &amp; ";","")</f>
        <v/>
      </c>
      <c r="AS87" s="58">
        <f>IF(AND($H87="threat",$S87=0.1,$R87=0.8),$D87 &amp; ";","")</f>
        <v/>
      </c>
      <c r="AT87" s="39" t="n"/>
      <c r="AU87" s="58">
        <f>IF(AND($H87="opportunity",$S87=0.9,$R87=0.8),$D87 &amp; ";","")</f>
        <v/>
      </c>
      <c r="AV87" s="58">
        <f>IF(AND($H87="opportunity",$S87=0.9,$R87=0.4),$D87 &amp; ";","")</f>
        <v/>
      </c>
      <c r="AW87" s="58">
        <f>IF(AND($H87="opportunity",$S87=0.9,$R87=0.2),$D87 &amp; ";","")</f>
        <v/>
      </c>
      <c r="AX87" s="58">
        <f>IF(AND($H87="opportunity",$S87=0.9,$R87=0.1),$D87 &amp; ";","")</f>
        <v/>
      </c>
      <c r="AY87" s="58">
        <f>IF(AND($H87="opportunity",$S87=0.9,$R87=0.05),$D87 &amp; ";","")</f>
        <v/>
      </c>
      <c r="AZ87" s="58">
        <f>IF(AND($H87="opportunity",$S87=0.7,$R87=0.8),$D87 &amp; ";","")</f>
        <v/>
      </c>
      <c r="BA87" s="58">
        <f>IF(AND($H87="opportunity",$S87=0.7,$R87=0.4),$D87 &amp; ";","")</f>
        <v/>
      </c>
      <c r="BB87" s="58">
        <f>IF(AND($H87="opportunity",$S87=0.7,$R87=0.2),$D87 &amp; ";","")</f>
        <v/>
      </c>
      <c r="BC87" s="58">
        <f>IF(AND($H87="opportunity",$S87=0.7,$R87=0.1),$D87 &amp; ";","")</f>
        <v/>
      </c>
      <c r="BD87" s="58">
        <f>IF(AND($H87="opportunity",$S87=0.7,$R87=0.05),$D87 &amp; ";","")</f>
        <v/>
      </c>
      <c r="BE87" s="58">
        <f>IF(AND($H87="opportunity",$S87=0.5,$R87=0.8),$D87 &amp; ";","")</f>
        <v/>
      </c>
      <c r="BF87" s="58">
        <f>IF(AND($H87="opportunity",$S87=0.5,$R87=0.4),$D87 &amp; ";","")</f>
        <v/>
      </c>
      <c r="BG87" s="58">
        <f>IF(AND($H87="opportunity",$S87=0.5,$R87=0.2),$D87 &amp; ";","")</f>
        <v/>
      </c>
      <c r="BH87" s="58">
        <f>IF(AND($H87="opportunity",$S87=0.5,$R87=0.1),$D87 &amp; ";","")</f>
        <v/>
      </c>
      <c r="BI87" s="58">
        <f>IF(AND($H87="opportunity",$S87=0.5,$R87=0.05),$D87 &amp; ";","")</f>
        <v/>
      </c>
      <c r="BJ87" s="58">
        <f>IF(AND($H87="opportunity",$S87=0.3,$R87=0.8),$D87 &amp; ";","")</f>
        <v/>
      </c>
      <c r="BK87" s="58">
        <f>IF(AND($H87="opportunity",$S87=0.3,$R87=0.4),$D87 &amp; ";","")</f>
        <v/>
      </c>
      <c r="BL87" s="58">
        <f>IF(AND($H87="opportunity",$S87=0.3,$R87=0.2),$D87 &amp; ";","")</f>
        <v/>
      </c>
      <c r="BM87" s="58">
        <f>IF(AND($H87="opportunity",$S87=0.3,$R87=0.1),$D87 &amp; ";","")</f>
        <v/>
      </c>
      <c r="BN87" s="58">
        <f>IF(AND($H87="opportunity",$S87=0.3,$R87=0.05),$D87 &amp; ";","")</f>
        <v/>
      </c>
      <c r="BO87" s="58">
        <f>IF(AND($H87="opportunity",$S87=0.1,$R87=0.8),$D87 &amp; ";","")</f>
        <v/>
      </c>
      <c r="BP87" s="58">
        <f>IF(AND($H87="opportunity",$S87=0.1,$R87=0.4),$D87 &amp; ";","")</f>
        <v/>
      </c>
      <c r="BQ87" s="58">
        <f>IF(AND($H87="opportunity",$S87=0.1,$R87=0.2),$D87 &amp; ";","")</f>
        <v/>
      </c>
      <c r="BR87" s="58">
        <f>IF(AND($H87="opportunity",$S87=0.1,$R87=0.1),$D87 &amp; ";","")</f>
        <v/>
      </c>
      <c r="BS87" s="58">
        <f>IF(AND($H87="opportunity",$S87=0.1,$R87=0.05),$D87 &amp; ";","")</f>
        <v/>
      </c>
      <c r="BV87" s="57">
        <f>INDIRECT(ADDRESS(ROW()-22,COLUMN()-45,1,1,"Risk Register"))</f>
        <v/>
      </c>
      <c r="BW87" s="58">
        <f>INDIRECT(ADDRESS(ROW()-22,COLUMN()-44,1,1,"Risk Register"))</f>
        <v/>
      </c>
      <c r="BX87" s="59">
        <f>IF(AND($H87="threat",$P87&lt;=0.05),"gn",IF(AND($H87="threat",$P87&lt;=0.14),"y",IF(AND($H87="threat", $P87&gt;=0.15),"r",IF(AND($H87="opportunity",$P87&lt;=0.05),"gn",IF(AND($H87="opportunity",$P87&lt;=0.14),"lb",IF(AND($H87="opportunity",$P87&gt;=0.15),"db","z"))))))</f>
        <v/>
      </c>
      <c r="BY87" s="58">
        <f>IF(AND($H87="threat",$BW87=0.9,$BV87=0.05),$D87 &amp; ";","")</f>
        <v/>
      </c>
      <c r="BZ87" s="58">
        <f>IF(AND($H87="threat",$BW87=0.9,$BV87=0.1),$D87 &amp; ";","")</f>
        <v/>
      </c>
      <c r="CA87" s="58">
        <f>IF(AND($H87="threat",$BW87=0.9,$BV87=0.2),$D87 &amp; ";","")</f>
        <v/>
      </c>
      <c r="CB87" s="58">
        <f>IF(AND($H87="threat",$BW87=0.9,$BV87=0.4),$D87 &amp; ";","")</f>
        <v/>
      </c>
      <c r="CC87" s="58">
        <f>IF(AND($H87="threat",$BW87=0.9,$BV87=0.8),$D87 &amp; ";","")</f>
        <v/>
      </c>
      <c r="CD87" s="58">
        <f>IF(AND($H87="threat",$BW87=0.7,$BV87=0.05),$D87 &amp; ";","")</f>
        <v/>
      </c>
      <c r="CE87" s="58">
        <f>IF(AND($H87="threat",$BW87=0.7,$BV87=0.1),$D87 &amp; ";","")</f>
        <v/>
      </c>
      <c r="CF87" s="58">
        <f>IF(AND($H87="threat",$BW87=0.7,$BV87=0.2),$D87 &amp; ";","")</f>
        <v/>
      </c>
      <c r="CG87" s="58">
        <f>IF(AND($H87="threat",$BW87=0.7,$BV87=0.4),$D87 &amp; ";","")</f>
        <v/>
      </c>
      <c r="CH87" s="58">
        <f>IF(AND($H87="threat",$BW87=0.7,$BV87=0.8),$D87 &amp; ";","")</f>
        <v/>
      </c>
      <c r="CI87" s="58">
        <f>IF(AND($H87="threat",$BW87=0.5,$BV87=0.05),$D87 &amp; ";","")</f>
        <v/>
      </c>
      <c r="CJ87" s="58">
        <f>IF(AND($H87="threat",$BW87=0.5,$BV87=0.1),$D87 &amp; ";","")</f>
        <v/>
      </c>
      <c r="CK87" s="58">
        <f>IF(AND($H87="threat",$BW87=0.5,$BV87=0.2),$D87 &amp; ";","")</f>
        <v/>
      </c>
      <c r="CL87" s="58">
        <f>IF(AND($H87="threat",$BW87=0.5,$BV87=0.4),$D87 &amp; ";","")</f>
        <v/>
      </c>
      <c r="CM87" s="58">
        <f>IF(AND($H87="threat",$BW87=0.5,$BV87=0.8),$D87 &amp; ";","")</f>
        <v/>
      </c>
      <c r="CN87" s="58">
        <f>IF(AND($H87="threat",$BW87=0.3,$BV87=0.05),$D87 &amp; ";","")</f>
        <v/>
      </c>
      <c r="CO87" s="58">
        <f>IF(AND($H87="threat",$BW87=0.3,$BV87=0.1),$D87 &amp; ";","")</f>
        <v/>
      </c>
      <c r="CP87" s="58">
        <f>IF(AND($H87="threat",$BW87=0.3,$BV87=0.2),$D87 &amp; ";","")</f>
        <v/>
      </c>
      <c r="CQ87" s="58">
        <f>IF(AND($H87="threat",$BW87=0.3,$BV87=0.4),$D87 &amp; ";","")</f>
        <v/>
      </c>
      <c r="CR87" s="58">
        <f>IF(AND($H87="threat",$BW87=0.3,$BV87=0.8),$D87 &amp; ";","")</f>
        <v/>
      </c>
      <c r="CS87" s="58">
        <f>IF(AND($H87="threat",$BW87=0.1,$BV87=0.05),$D87 &amp; ";","")</f>
        <v/>
      </c>
      <c r="CT87" s="58">
        <f>IF(AND($H87="threat",$BW87=0.1,$BV87=0.1),$D87 &amp; ";","")</f>
        <v/>
      </c>
      <c r="CU87" s="58">
        <f>IF(AND($H87="threat",$BW87=0.1,$BV87=0.2),$D87 &amp; ";","")</f>
        <v/>
      </c>
      <c r="CV87" s="58">
        <f>IF(AND($H87="threat",$BW87=0.1,$BV87=0.4),$D87 &amp; ";","")</f>
        <v/>
      </c>
      <c r="CW87" s="58">
        <f>IF(AND($H87="threat",$BW87=0.1,$BV87=0.8),$D87 &amp; ";","")</f>
        <v/>
      </c>
      <c r="CX87" s="39" t="n"/>
      <c r="CY87" s="58">
        <f>IF(AND($H87="opportunity",$BW87=0.9,$BV87=0.8),$D87 &amp; ";","")</f>
        <v/>
      </c>
      <c r="CZ87" s="58">
        <f>IF(AND($H87="opportunity",$BW87=0.9,$BV87=0.4),$D87 &amp; ";","")</f>
        <v/>
      </c>
      <c r="DA87" s="58">
        <f>IF(AND($H87="opportunity",$BW87=0.9,$BV87=0.2),$D87 &amp; ";","")</f>
        <v/>
      </c>
      <c r="DB87" s="58">
        <f>IF(AND($H87="opportunity",$BW87=0.9,$BV87=0.1),$D87 &amp; ";","")</f>
        <v/>
      </c>
      <c r="DC87" s="58">
        <f>IF(AND($H87="opportunity",$BW87=0.9,$BV87=0.05),$D87 &amp; ";","")</f>
        <v/>
      </c>
      <c r="DD87" s="58">
        <f>IF(AND($H87="opportunity",$BW87=0.7,$BV87=0.8),$D87 &amp; ";","")</f>
        <v/>
      </c>
      <c r="DE87" s="58">
        <f>IF(AND($H87="opportunity",$BW87=0.7,$BV87=0.4),$D87 &amp; ";","")</f>
        <v/>
      </c>
      <c r="DF87" s="58">
        <f>IF(AND($H87="opportunity",$BW87=0.7,$BV87=0.2),$D87 &amp; ";","")</f>
        <v/>
      </c>
      <c r="DG87" s="58">
        <f>IF(AND($H87="opportunity",$BW87=0.7,$BV87=0.1),$D87 &amp; ";","")</f>
        <v/>
      </c>
      <c r="DH87" s="58">
        <f>IF(AND($H87="opportunity",$BW87=0.7,$BV87=0.05),$D87 &amp; ";","")</f>
        <v/>
      </c>
      <c r="DI87" s="58">
        <f>IF(AND($H87="opportunity",$BW87=0.5,$BV87=0.8),$D87 &amp; ";","")</f>
        <v/>
      </c>
      <c r="DJ87" s="58">
        <f>IF(AND($H87="opportunity",$BW87=0.5,$BV87=0.4),$D87 &amp; ";","")</f>
        <v/>
      </c>
      <c r="DK87" s="58">
        <f>IF(AND($H87="opportunity",$BW87=0.5,$BV87=0.2),$D87 &amp; ";","")</f>
        <v/>
      </c>
      <c r="DL87" s="58">
        <f>IF(AND($H87="opportunity",$BW87=0.5,$BV87=0.1),$D87 &amp; ";","")</f>
        <v/>
      </c>
      <c r="DM87" s="58">
        <f>IF(AND($H87="opportunity",$BW87=0.5,$BV87=0.05),$D87 &amp; ";","")</f>
        <v/>
      </c>
      <c r="DN87" s="58">
        <f>IF(AND($H87="opportunity",$BW87=0.3,$BV87=0.8),$D87 &amp; ";","")</f>
        <v/>
      </c>
      <c r="DO87" s="58">
        <f>IF(AND($H87="opportunity",$BW87=0.3,$BV87=0.4),$D87 &amp; ";","")</f>
        <v/>
      </c>
      <c r="DP87" s="58">
        <f>IF(AND($H87="opportunity",$BW87=0.3,$BV87=0.2),$D87 &amp; ";","")</f>
        <v/>
      </c>
      <c r="DQ87" s="58">
        <f>IF(AND($H87="opportunity",$BW87=0.3,$BV87=0.1),$D87 &amp; ";","")</f>
        <v/>
      </c>
      <c r="DR87" s="58">
        <f>IF(AND($H87="opportunity",$BW87=0.3,$BV87=0.05),$D87 &amp; ";","")</f>
        <v/>
      </c>
      <c r="DS87" s="58">
        <f>IF(AND($H87="opportunity",$BW87=0.1,$BV87=0.8),$D87 &amp; ";","")</f>
        <v/>
      </c>
      <c r="DT87" s="58">
        <f>IF(AND($H87="opportunity",$BW87=0.1,$BV87=0.4),$D87 &amp; ";","")</f>
        <v/>
      </c>
      <c r="DU87" s="58">
        <f>IF(AND($H87="opportunity",$BW87=0.1,$BV87=0.2),$D87 &amp; ";","")</f>
        <v/>
      </c>
      <c r="DV87" s="58">
        <f>IF(AND($H87="opportunity",$BW87=0.1,$BV87=0.1),$D87 &amp; ";","")</f>
        <v/>
      </c>
      <c r="DW87" s="58">
        <f>IF(AND($H87="opportunity",$BW87=0.1,$BV87=0.05),$D87 &amp; ";","")</f>
        <v/>
      </c>
    </row>
    <row r="88">
      <c r="D88" s="60">
        <f>INDIRECT(ADDRESS(ROW()-22,COLUMN()-2,1,1,"Risk Register"))</f>
        <v/>
      </c>
      <c r="E88" s="143">
        <f>INDIRECT(ADDRESS(ROW()-22,COLUMN()-1,1,1,"Risk Register"))</f>
        <v/>
      </c>
      <c r="G88" s="56">
        <f>INDIRECT(ADDRESS(ROW()-22,COLUMN()+10,1,1,"Risk Register"))</f>
        <v/>
      </c>
      <c r="H88" s="60">
        <f>INDIRECT(ADDRESS(ROW()-22,COLUMN()+8,1,1,"Risk Register"))</f>
        <v/>
      </c>
      <c r="I88" s="54">
        <f>INDIRECT(ADDRESS(ROW()-22,COLUMN()+3,1,1,"Risk Register"))</f>
        <v/>
      </c>
      <c r="J88" s="143">
        <f>INDIRECT(ADDRESS(ROW()-22,COLUMN()+12,1,1,"Risk Register"))</f>
        <v/>
      </c>
      <c r="K88" s="143">
        <f>INDIRECT(ADDRESS(ROW()-22,COLUMN()-2,1,1,"Risk Register"))</f>
        <v/>
      </c>
      <c r="L88" s="176">
        <f>INDIRECT(ADDRESS(ROW()-22,COLUMN()+15,1,1,"Risk Register"))</f>
        <v/>
      </c>
      <c r="M88" s="54">
        <f>INDIRECT(ADDRESS(ROW()-22,COLUMN()+13,1,1,"Risk Register"))</f>
        <v/>
      </c>
      <c r="N88" s="143">
        <f>INDIRECT(ADDRESS(ROW()-22,COLUMN()-9,1,1,"Risk Register"))</f>
        <v/>
      </c>
      <c r="O88" s="143">
        <f>INDIRECT(ADDRESS(ROW()-22,COLUMN()-8,1,1,"Risk Register"))</f>
        <v/>
      </c>
      <c r="P88" s="56">
        <f>INDIRECT(ADDRESS(ROW()-22,COLUMN()+18,1,1,"Risk Register"))</f>
        <v/>
      </c>
      <c r="R88" s="57">
        <f>INDIRECT(ADDRESS(ROW()-22,COLUMN()-5,1,1,"Risk Register"))</f>
        <v/>
      </c>
      <c r="S88" s="58">
        <f>INDIRECT(ADDRESS(ROW()-22,COLUMN()-4,1,1,"Risk Register"))</f>
        <v/>
      </c>
      <c r="T88" s="59">
        <f>IF(AND($H88="threat",$G88&lt;=0.05),"gn",IF(AND($H88="threat",$G88&lt;=0.14),"y",IF(AND($H88="threat", $G88&gt;=0.15),"r",IF(AND($H88="opportunity",$G88&lt;=0.05),"gn",IF(AND($H88="opportunity",$G88&lt;=0.14),"lb",IF(AND($H88="opportunity",$G88&gt;=0.15),"db","z"))))))</f>
        <v/>
      </c>
      <c r="U88" s="58">
        <f>IF(AND($H88="threat",$S88=0.9,$R88=0.05),$D88 &amp; ";","")</f>
        <v/>
      </c>
      <c r="V88" s="58">
        <f>IF(AND($H88="threat",$S88=0.9,$R88=0.1),$D88 &amp; ";","")</f>
        <v/>
      </c>
      <c r="W88" s="58">
        <f>IF(AND($H88="threat",$S88=0.9,$R88=0.2),$D88 &amp; ";","")</f>
        <v/>
      </c>
      <c r="X88" s="58">
        <f>IF(AND($H88="threat",$S88=0.9,$R88=0.4),$D88 &amp; ";","")</f>
        <v/>
      </c>
      <c r="Y88" s="58">
        <f>IF(AND($H88="threat",$S88=0.9,$R88=0.8),$D88 &amp; ";","")</f>
        <v/>
      </c>
      <c r="Z88" s="58">
        <f>IF(AND($H88="threat",$S88=0.7,$R88=0.05),$D88 &amp; ";","")</f>
        <v/>
      </c>
      <c r="AA88" s="58">
        <f>IF(AND($H88="threat",$S88=0.7,$R88=0.1),$D88 &amp; ";","")</f>
        <v/>
      </c>
      <c r="AB88" s="58">
        <f>IF(AND($H88="threat",$S88=0.7,$R88=0.2),$D88 &amp; ";","")</f>
        <v/>
      </c>
      <c r="AC88" s="58">
        <f>IF(AND($H88="threat",$S88=0.7,$R88=0.4),$D88 &amp; ";","")</f>
        <v/>
      </c>
      <c r="AD88" s="58">
        <f>IF(AND($H88="threat",$S88=0.7,$R88=0.8),$D88 &amp; ";","")</f>
        <v/>
      </c>
      <c r="AE88" s="58">
        <f>IF(AND($H88="threat",$S88=0.5,$R88=0.05),$D88 &amp; ";","")</f>
        <v/>
      </c>
      <c r="AF88" s="58">
        <f>IF(AND($H88="threat",$S88=0.5,$R88=0.1),$D88 &amp; ";","")</f>
        <v/>
      </c>
      <c r="AG88" s="58">
        <f>IF(AND($H88="threat",$S88=0.5,$R88=0.2),$D88 &amp; ";","")</f>
        <v/>
      </c>
      <c r="AH88" s="58">
        <f>IF(AND($H88="threat",$S88=0.5,$R88=0.4),$D88 &amp; ";","")</f>
        <v/>
      </c>
      <c r="AI88" s="58">
        <f>IF(AND($H88="threat",$S88=0.5,$R88=0.8),$D88 &amp; ";","")</f>
        <v/>
      </c>
      <c r="AJ88" s="58">
        <f>IF(AND($H88="threat",$S88=0.3,$R88=0.05),$D88 &amp; ";","")</f>
        <v/>
      </c>
      <c r="AK88" s="58">
        <f>IF(AND($H88="threat",$S88=0.3,$R88=0.1),$D88 &amp; ";","")</f>
        <v/>
      </c>
      <c r="AL88" s="58">
        <f>IF(AND($H88="threat",$S88=0.3,$R88=0.2),$D88 &amp; ";","")</f>
        <v/>
      </c>
      <c r="AM88" s="58">
        <f>IF(AND($H88="threat",$S88=0.3,$R88=0.4),$D88 &amp; ";","")</f>
        <v/>
      </c>
      <c r="AN88" s="58">
        <f>IF(AND($H88="threat",$S88=0.3,$R88=0.8),$D88 &amp; ";","")</f>
        <v/>
      </c>
      <c r="AO88" s="58">
        <f>IF(AND($H88="threat",$S88=0.1,$R88=0.05),$D88 &amp; ";","")</f>
        <v/>
      </c>
      <c r="AP88" s="58">
        <f>IF(AND($H88="threat",$S88=0.1,$R88=0.1),$D88 &amp; ";","")</f>
        <v/>
      </c>
      <c r="AQ88" s="58">
        <f>IF(AND($H88="threat",$S88=0.1,$R88=0.2),$D88 &amp; ";","")</f>
        <v/>
      </c>
      <c r="AR88" s="58">
        <f>IF(AND($H88="threat",$S88=0.1,$R88=0.4),$D88 &amp; ";","")</f>
        <v/>
      </c>
      <c r="AS88" s="58">
        <f>IF(AND($H88="threat",$S88=0.1,$R88=0.8),$D88 &amp; ";","")</f>
        <v/>
      </c>
      <c r="AT88" s="39" t="n"/>
      <c r="AU88" s="58">
        <f>IF(AND($H88="opportunity",$S88=0.9,$R88=0.8),$D88 &amp; ";","")</f>
        <v/>
      </c>
      <c r="AV88" s="58">
        <f>IF(AND($H88="opportunity",$S88=0.9,$R88=0.4),$D88 &amp; ";","")</f>
        <v/>
      </c>
      <c r="AW88" s="58">
        <f>IF(AND($H88="opportunity",$S88=0.9,$R88=0.2),$D88 &amp; ";","")</f>
        <v/>
      </c>
      <c r="AX88" s="58">
        <f>IF(AND($H88="opportunity",$S88=0.9,$R88=0.1),$D88 &amp; ";","")</f>
        <v/>
      </c>
      <c r="AY88" s="58">
        <f>IF(AND($H88="opportunity",$S88=0.9,$R88=0.05),$D88 &amp; ";","")</f>
        <v/>
      </c>
      <c r="AZ88" s="58">
        <f>IF(AND($H88="opportunity",$S88=0.7,$R88=0.8),$D88 &amp; ";","")</f>
        <v/>
      </c>
      <c r="BA88" s="58">
        <f>IF(AND($H88="opportunity",$S88=0.7,$R88=0.4),$D88 &amp; ";","")</f>
        <v/>
      </c>
      <c r="BB88" s="58">
        <f>IF(AND($H88="opportunity",$S88=0.7,$R88=0.2),$D88 &amp; ";","")</f>
        <v/>
      </c>
      <c r="BC88" s="58">
        <f>IF(AND($H88="opportunity",$S88=0.7,$R88=0.1),$D88 &amp; ";","")</f>
        <v/>
      </c>
      <c r="BD88" s="58">
        <f>IF(AND($H88="opportunity",$S88=0.7,$R88=0.05),$D88 &amp; ";","")</f>
        <v/>
      </c>
      <c r="BE88" s="58">
        <f>IF(AND($H88="opportunity",$S88=0.5,$R88=0.8),$D88 &amp; ";","")</f>
        <v/>
      </c>
      <c r="BF88" s="58">
        <f>IF(AND($H88="opportunity",$S88=0.5,$R88=0.4),$D88 &amp; ";","")</f>
        <v/>
      </c>
      <c r="BG88" s="58">
        <f>IF(AND($H88="opportunity",$S88=0.5,$R88=0.2),$D88 &amp; ";","")</f>
        <v/>
      </c>
      <c r="BH88" s="58">
        <f>IF(AND($H88="opportunity",$S88=0.5,$R88=0.1),$D88 &amp; ";","")</f>
        <v/>
      </c>
      <c r="BI88" s="58">
        <f>IF(AND($H88="opportunity",$S88=0.5,$R88=0.05),$D88 &amp; ";","")</f>
        <v/>
      </c>
      <c r="BJ88" s="58">
        <f>IF(AND($H88="opportunity",$S88=0.3,$R88=0.8),$D88 &amp; ";","")</f>
        <v/>
      </c>
      <c r="BK88" s="58">
        <f>IF(AND($H88="opportunity",$S88=0.3,$R88=0.4),$D88 &amp; ";","")</f>
        <v/>
      </c>
      <c r="BL88" s="58">
        <f>IF(AND($H88="opportunity",$S88=0.3,$R88=0.2),$D88 &amp; ";","")</f>
        <v/>
      </c>
      <c r="BM88" s="58">
        <f>IF(AND($H88="opportunity",$S88=0.3,$R88=0.1),$D88 &amp; ";","")</f>
        <v/>
      </c>
      <c r="BN88" s="58">
        <f>IF(AND($H88="opportunity",$S88=0.3,$R88=0.05),$D88 &amp; ";","")</f>
        <v/>
      </c>
      <c r="BO88" s="58">
        <f>IF(AND($H88="opportunity",$S88=0.1,$R88=0.8),$D88 &amp; ";","")</f>
        <v/>
      </c>
      <c r="BP88" s="58">
        <f>IF(AND($H88="opportunity",$S88=0.1,$R88=0.4),$D88 &amp; ";","")</f>
        <v/>
      </c>
      <c r="BQ88" s="58">
        <f>IF(AND($H88="opportunity",$S88=0.1,$R88=0.2),$D88 &amp; ";","")</f>
        <v/>
      </c>
      <c r="BR88" s="58">
        <f>IF(AND($H88="opportunity",$S88=0.1,$R88=0.1),$D88 &amp; ";","")</f>
        <v/>
      </c>
      <c r="BS88" s="58">
        <f>IF(AND($H88="opportunity",$S88=0.1,$R88=0.05),$D88 &amp; ";","")</f>
        <v/>
      </c>
      <c r="BV88" s="57">
        <f>INDIRECT(ADDRESS(ROW()-22,COLUMN()-45,1,1,"Risk Register"))</f>
        <v/>
      </c>
      <c r="BW88" s="58">
        <f>INDIRECT(ADDRESS(ROW()-22,COLUMN()-44,1,1,"Risk Register"))</f>
        <v/>
      </c>
      <c r="BX88" s="59">
        <f>IF(AND($H88="threat",$P88&lt;=0.05),"gn",IF(AND($H88="threat",$P88&lt;=0.14),"y",IF(AND($H88="threat", $P88&gt;=0.15),"r",IF(AND($H88="opportunity",$P88&lt;=0.05),"gn",IF(AND($H88="opportunity",$P88&lt;=0.14),"lb",IF(AND($H88="opportunity",$P88&gt;=0.15),"db","z"))))))</f>
        <v/>
      </c>
      <c r="BY88" s="58">
        <f>IF(AND($H88="threat",$BW88=0.9,$BV88=0.05),$D88 &amp; ";","")</f>
        <v/>
      </c>
      <c r="BZ88" s="58">
        <f>IF(AND($H88="threat",$BW88=0.9,$BV88=0.1),$D88 &amp; ";","")</f>
        <v/>
      </c>
      <c r="CA88" s="58">
        <f>IF(AND($H88="threat",$BW88=0.9,$BV88=0.2),$D88 &amp; ";","")</f>
        <v/>
      </c>
      <c r="CB88" s="58">
        <f>IF(AND($H88="threat",$BW88=0.9,$BV88=0.4),$D88 &amp; ";","")</f>
        <v/>
      </c>
      <c r="CC88" s="58">
        <f>IF(AND($H88="threat",$BW88=0.9,$BV88=0.8),$D88 &amp; ";","")</f>
        <v/>
      </c>
      <c r="CD88" s="58">
        <f>IF(AND($H88="threat",$BW88=0.7,$BV88=0.05),$D88 &amp; ";","")</f>
        <v/>
      </c>
      <c r="CE88" s="58">
        <f>IF(AND($H88="threat",$BW88=0.7,$BV88=0.1),$D88 &amp; ";","")</f>
        <v/>
      </c>
      <c r="CF88" s="58">
        <f>IF(AND($H88="threat",$BW88=0.7,$BV88=0.2),$D88 &amp; ";","")</f>
        <v/>
      </c>
      <c r="CG88" s="58">
        <f>IF(AND($H88="threat",$BW88=0.7,$BV88=0.4),$D88 &amp; ";","")</f>
        <v/>
      </c>
      <c r="CH88" s="58">
        <f>IF(AND($H88="threat",$BW88=0.7,$BV88=0.8),$D88 &amp; ";","")</f>
        <v/>
      </c>
      <c r="CI88" s="58">
        <f>IF(AND($H88="threat",$BW88=0.5,$BV88=0.05),$D88 &amp; ";","")</f>
        <v/>
      </c>
      <c r="CJ88" s="58">
        <f>IF(AND($H88="threat",$BW88=0.5,$BV88=0.1),$D88 &amp; ";","")</f>
        <v/>
      </c>
      <c r="CK88" s="58">
        <f>IF(AND($H88="threat",$BW88=0.5,$BV88=0.2),$D88 &amp; ";","")</f>
        <v/>
      </c>
      <c r="CL88" s="58">
        <f>IF(AND($H88="threat",$BW88=0.5,$BV88=0.4),$D88 &amp; ";","")</f>
        <v/>
      </c>
      <c r="CM88" s="58">
        <f>IF(AND($H88="threat",$BW88=0.5,$BV88=0.8),$D88 &amp; ";","")</f>
        <v/>
      </c>
      <c r="CN88" s="58">
        <f>IF(AND($H88="threat",$BW88=0.3,$BV88=0.05),$D88 &amp; ";","")</f>
        <v/>
      </c>
      <c r="CO88" s="58">
        <f>IF(AND($H88="threat",$BW88=0.3,$BV88=0.1),$D88 &amp; ";","")</f>
        <v/>
      </c>
      <c r="CP88" s="58">
        <f>IF(AND($H88="threat",$BW88=0.3,$BV88=0.2),$D88 &amp; ";","")</f>
        <v/>
      </c>
      <c r="CQ88" s="58">
        <f>IF(AND($H88="threat",$BW88=0.3,$BV88=0.4),$D88 &amp; ";","")</f>
        <v/>
      </c>
      <c r="CR88" s="58">
        <f>IF(AND($H88="threat",$BW88=0.3,$BV88=0.8),$D88 &amp; ";","")</f>
        <v/>
      </c>
      <c r="CS88" s="58">
        <f>IF(AND($H88="threat",$BW88=0.1,$BV88=0.05),$D88 &amp; ";","")</f>
        <v/>
      </c>
      <c r="CT88" s="58">
        <f>IF(AND($H88="threat",$BW88=0.1,$BV88=0.1),$D88 &amp; ";","")</f>
        <v/>
      </c>
      <c r="CU88" s="58">
        <f>IF(AND($H88="threat",$BW88=0.1,$BV88=0.2),$D88 &amp; ";","")</f>
        <v/>
      </c>
      <c r="CV88" s="58">
        <f>IF(AND($H88="threat",$BW88=0.1,$BV88=0.4),$D88 &amp; ";","")</f>
        <v/>
      </c>
      <c r="CW88" s="58">
        <f>IF(AND($H88="threat",$BW88=0.1,$BV88=0.8),$D88 &amp; ";","")</f>
        <v/>
      </c>
      <c r="CX88" s="39" t="n"/>
      <c r="CY88" s="58">
        <f>IF(AND($H88="opportunity",$BW88=0.9,$BV88=0.8),$D88 &amp; ";","")</f>
        <v/>
      </c>
      <c r="CZ88" s="58">
        <f>IF(AND($H88="opportunity",$BW88=0.9,$BV88=0.4),$D88 &amp; ";","")</f>
        <v/>
      </c>
      <c r="DA88" s="58">
        <f>IF(AND($H88="opportunity",$BW88=0.9,$BV88=0.2),$D88 &amp; ";","")</f>
        <v/>
      </c>
      <c r="DB88" s="58">
        <f>IF(AND($H88="opportunity",$BW88=0.9,$BV88=0.1),$D88 &amp; ";","")</f>
        <v/>
      </c>
      <c r="DC88" s="58">
        <f>IF(AND($H88="opportunity",$BW88=0.9,$BV88=0.05),$D88 &amp; ";","")</f>
        <v/>
      </c>
      <c r="DD88" s="58">
        <f>IF(AND($H88="opportunity",$BW88=0.7,$BV88=0.8),$D88 &amp; ";","")</f>
        <v/>
      </c>
      <c r="DE88" s="58">
        <f>IF(AND($H88="opportunity",$BW88=0.7,$BV88=0.4),$D88 &amp; ";","")</f>
        <v/>
      </c>
      <c r="DF88" s="58">
        <f>IF(AND($H88="opportunity",$BW88=0.7,$BV88=0.2),$D88 &amp; ";","")</f>
        <v/>
      </c>
      <c r="DG88" s="58">
        <f>IF(AND($H88="opportunity",$BW88=0.7,$BV88=0.1),$D88 &amp; ";","")</f>
        <v/>
      </c>
      <c r="DH88" s="58">
        <f>IF(AND($H88="opportunity",$BW88=0.7,$BV88=0.05),$D88 &amp; ";","")</f>
        <v/>
      </c>
      <c r="DI88" s="58">
        <f>IF(AND($H88="opportunity",$BW88=0.5,$BV88=0.8),$D88 &amp; ";","")</f>
        <v/>
      </c>
      <c r="DJ88" s="58">
        <f>IF(AND($H88="opportunity",$BW88=0.5,$BV88=0.4),$D88 &amp; ";","")</f>
        <v/>
      </c>
      <c r="DK88" s="58">
        <f>IF(AND($H88="opportunity",$BW88=0.5,$BV88=0.2),$D88 &amp; ";","")</f>
        <v/>
      </c>
      <c r="DL88" s="58">
        <f>IF(AND($H88="opportunity",$BW88=0.5,$BV88=0.1),$D88 &amp; ";","")</f>
        <v/>
      </c>
      <c r="DM88" s="58">
        <f>IF(AND($H88="opportunity",$BW88=0.5,$BV88=0.05),$D88 &amp; ";","")</f>
        <v/>
      </c>
      <c r="DN88" s="58">
        <f>IF(AND($H88="opportunity",$BW88=0.3,$BV88=0.8),$D88 &amp; ";","")</f>
        <v/>
      </c>
      <c r="DO88" s="58">
        <f>IF(AND($H88="opportunity",$BW88=0.3,$BV88=0.4),$D88 &amp; ";","")</f>
        <v/>
      </c>
      <c r="DP88" s="58">
        <f>IF(AND($H88="opportunity",$BW88=0.3,$BV88=0.2),$D88 &amp; ";","")</f>
        <v/>
      </c>
      <c r="DQ88" s="58">
        <f>IF(AND($H88="opportunity",$BW88=0.3,$BV88=0.1),$D88 &amp; ";","")</f>
        <v/>
      </c>
      <c r="DR88" s="58">
        <f>IF(AND($H88="opportunity",$BW88=0.3,$BV88=0.05),$D88 &amp; ";","")</f>
        <v/>
      </c>
      <c r="DS88" s="58">
        <f>IF(AND($H88="opportunity",$BW88=0.1,$BV88=0.8),$D88 &amp; ";","")</f>
        <v/>
      </c>
      <c r="DT88" s="58">
        <f>IF(AND($H88="opportunity",$BW88=0.1,$BV88=0.4),$D88 &amp; ";","")</f>
        <v/>
      </c>
      <c r="DU88" s="58">
        <f>IF(AND($H88="opportunity",$BW88=0.1,$BV88=0.2),$D88 &amp; ";","")</f>
        <v/>
      </c>
      <c r="DV88" s="58">
        <f>IF(AND($H88="opportunity",$BW88=0.1,$BV88=0.1),$D88 &amp; ";","")</f>
        <v/>
      </c>
      <c r="DW88" s="58">
        <f>IF(AND($H88="opportunity",$BW88=0.1,$BV88=0.05),$D88 &amp; ";","")</f>
        <v/>
      </c>
    </row>
    <row r="89">
      <c r="D89" s="60">
        <f>INDIRECT(ADDRESS(ROW()-22,COLUMN()-2,1,1,"Risk Register"))</f>
        <v/>
      </c>
      <c r="E89" s="143">
        <f>INDIRECT(ADDRESS(ROW()-22,COLUMN()-1,1,1,"Risk Register"))</f>
        <v/>
      </c>
      <c r="G89" s="56">
        <f>INDIRECT(ADDRESS(ROW()-22,COLUMN()+10,1,1,"Risk Register"))</f>
        <v/>
      </c>
      <c r="H89" s="60">
        <f>INDIRECT(ADDRESS(ROW()-22,COLUMN()+8,1,1,"Risk Register"))</f>
        <v/>
      </c>
      <c r="I89" s="54">
        <f>INDIRECT(ADDRESS(ROW()-22,COLUMN()+3,1,1,"Risk Register"))</f>
        <v/>
      </c>
      <c r="J89" s="143">
        <f>INDIRECT(ADDRESS(ROW()-22,COLUMN()+12,1,1,"Risk Register"))</f>
        <v/>
      </c>
      <c r="K89" s="143">
        <f>INDIRECT(ADDRESS(ROW()-22,COLUMN()-2,1,1,"Risk Register"))</f>
        <v/>
      </c>
      <c r="L89" s="176">
        <f>INDIRECT(ADDRESS(ROW()-22,COLUMN()+15,1,1,"Risk Register"))</f>
        <v/>
      </c>
      <c r="M89" s="54">
        <f>INDIRECT(ADDRESS(ROW()-22,COLUMN()+13,1,1,"Risk Register"))</f>
        <v/>
      </c>
      <c r="N89" s="143">
        <f>INDIRECT(ADDRESS(ROW()-22,COLUMN()-9,1,1,"Risk Register"))</f>
        <v/>
      </c>
      <c r="O89" s="143">
        <f>INDIRECT(ADDRESS(ROW()-22,COLUMN()-8,1,1,"Risk Register"))</f>
        <v/>
      </c>
      <c r="P89" s="56">
        <f>INDIRECT(ADDRESS(ROW()-22,COLUMN()+18,1,1,"Risk Register"))</f>
        <v/>
      </c>
      <c r="R89" s="57">
        <f>INDIRECT(ADDRESS(ROW()-22,COLUMN()-5,1,1,"Risk Register"))</f>
        <v/>
      </c>
      <c r="S89" s="58">
        <f>INDIRECT(ADDRESS(ROW()-22,COLUMN()-4,1,1,"Risk Register"))</f>
        <v/>
      </c>
      <c r="T89" s="59">
        <f>IF(AND($H89="threat",$G89&lt;=0.05),"gn",IF(AND($H89="threat",$G89&lt;=0.14),"y",IF(AND($H89="threat", $G89&gt;=0.15),"r",IF(AND($H89="opportunity",$G89&lt;=0.05),"gn",IF(AND($H89="opportunity",$G89&lt;=0.14),"lb",IF(AND($H89="opportunity",$G89&gt;=0.15),"db","z"))))))</f>
        <v/>
      </c>
      <c r="U89" s="58">
        <f>IF(AND($H89="threat",$S89=0.9,$R89=0.05),$D89 &amp; ";","")</f>
        <v/>
      </c>
      <c r="V89" s="58">
        <f>IF(AND($H89="threat",$S89=0.9,$R89=0.1),$D89 &amp; ";","")</f>
        <v/>
      </c>
      <c r="W89" s="58">
        <f>IF(AND($H89="threat",$S89=0.9,$R89=0.2),$D89 &amp; ";","")</f>
        <v/>
      </c>
      <c r="X89" s="58">
        <f>IF(AND($H89="threat",$S89=0.9,$R89=0.4),$D89 &amp; ";","")</f>
        <v/>
      </c>
      <c r="Y89" s="58">
        <f>IF(AND($H89="threat",$S89=0.9,$R89=0.8),$D89 &amp; ";","")</f>
        <v/>
      </c>
      <c r="Z89" s="58">
        <f>IF(AND($H89="threat",$S89=0.7,$R89=0.05),$D89 &amp; ";","")</f>
        <v/>
      </c>
      <c r="AA89" s="58">
        <f>IF(AND($H89="threat",$S89=0.7,$R89=0.1),$D89 &amp; ";","")</f>
        <v/>
      </c>
      <c r="AB89" s="58">
        <f>IF(AND($H89="threat",$S89=0.7,$R89=0.2),$D89 &amp; ";","")</f>
        <v/>
      </c>
      <c r="AC89" s="58">
        <f>IF(AND($H89="threat",$S89=0.7,$R89=0.4),$D89 &amp; ";","")</f>
        <v/>
      </c>
      <c r="AD89" s="58">
        <f>IF(AND($H89="threat",$S89=0.7,$R89=0.8),$D89 &amp; ";","")</f>
        <v/>
      </c>
      <c r="AE89" s="58">
        <f>IF(AND($H89="threat",$S89=0.5,$R89=0.05),$D89 &amp; ";","")</f>
        <v/>
      </c>
      <c r="AF89" s="58">
        <f>IF(AND($H89="threat",$S89=0.5,$R89=0.1),$D89 &amp; ";","")</f>
        <v/>
      </c>
      <c r="AG89" s="58">
        <f>IF(AND($H89="threat",$S89=0.5,$R89=0.2),$D89 &amp; ";","")</f>
        <v/>
      </c>
      <c r="AH89" s="58">
        <f>IF(AND($H89="threat",$S89=0.5,$R89=0.4),$D89 &amp; ";","")</f>
        <v/>
      </c>
      <c r="AI89" s="58">
        <f>IF(AND($H89="threat",$S89=0.5,$R89=0.8),$D89 &amp; ";","")</f>
        <v/>
      </c>
      <c r="AJ89" s="58">
        <f>IF(AND($H89="threat",$S89=0.3,$R89=0.05),$D89 &amp; ";","")</f>
        <v/>
      </c>
      <c r="AK89" s="58">
        <f>IF(AND($H89="threat",$S89=0.3,$R89=0.1),$D89 &amp; ";","")</f>
        <v/>
      </c>
      <c r="AL89" s="58">
        <f>IF(AND($H89="threat",$S89=0.3,$R89=0.2),$D89 &amp; ";","")</f>
        <v/>
      </c>
      <c r="AM89" s="58">
        <f>IF(AND($H89="threat",$S89=0.3,$R89=0.4),$D89 &amp; ";","")</f>
        <v/>
      </c>
      <c r="AN89" s="58">
        <f>IF(AND($H89="threat",$S89=0.3,$R89=0.8),$D89 &amp; ";","")</f>
        <v/>
      </c>
      <c r="AO89" s="58">
        <f>IF(AND($H89="threat",$S89=0.1,$R89=0.05),$D89 &amp; ";","")</f>
        <v/>
      </c>
      <c r="AP89" s="58">
        <f>IF(AND($H89="threat",$S89=0.1,$R89=0.1),$D89 &amp; ";","")</f>
        <v/>
      </c>
      <c r="AQ89" s="58">
        <f>IF(AND($H89="threat",$S89=0.1,$R89=0.2),$D89 &amp; ";","")</f>
        <v/>
      </c>
      <c r="AR89" s="58">
        <f>IF(AND($H89="threat",$S89=0.1,$R89=0.4),$D89 &amp; ";","")</f>
        <v/>
      </c>
      <c r="AS89" s="58">
        <f>IF(AND($H89="threat",$S89=0.1,$R89=0.8),$D89 &amp; ";","")</f>
        <v/>
      </c>
      <c r="AT89" s="39" t="n"/>
      <c r="AU89" s="58">
        <f>IF(AND($H89="opportunity",$S89=0.9,$R89=0.8),$D89 &amp; ";","")</f>
        <v/>
      </c>
      <c r="AV89" s="58">
        <f>IF(AND($H89="opportunity",$S89=0.9,$R89=0.4),$D89 &amp; ";","")</f>
        <v/>
      </c>
      <c r="AW89" s="58">
        <f>IF(AND($H89="opportunity",$S89=0.9,$R89=0.2),$D89 &amp; ";","")</f>
        <v/>
      </c>
      <c r="AX89" s="58">
        <f>IF(AND($H89="opportunity",$S89=0.9,$R89=0.1),$D89 &amp; ";","")</f>
        <v/>
      </c>
      <c r="AY89" s="58">
        <f>IF(AND($H89="opportunity",$S89=0.9,$R89=0.05),$D89 &amp; ";","")</f>
        <v/>
      </c>
      <c r="AZ89" s="58">
        <f>IF(AND($H89="opportunity",$S89=0.7,$R89=0.8),$D89 &amp; ";","")</f>
        <v/>
      </c>
      <c r="BA89" s="58">
        <f>IF(AND($H89="opportunity",$S89=0.7,$R89=0.4),$D89 &amp; ";","")</f>
        <v/>
      </c>
      <c r="BB89" s="58">
        <f>IF(AND($H89="opportunity",$S89=0.7,$R89=0.2),$D89 &amp; ";","")</f>
        <v/>
      </c>
      <c r="BC89" s="58">
        <f>IF(AND($H89="opportunity",$S89=0.7,$R89=0.1),$D89 &amp; ";","")</f>
        <v/>
      </c>
      <c r="BD89" s="58">
        <f>IF(AND($H89="opportunity",$S89=0.7,$R89=0.05),$D89 &amp; ";","")</f>
        <v/>
      </c>
      <c r="BE89" s="58">
        <f>IF(AND($H89="opportunity",$S89=0.5,$R89=0.8),$D89 &amp; ";","")</f>
        <v/>
      </c>
      <c r="BF89" s="58">
        <f>IF(AND($H89="opportunity",$S89=0.5,$R89=0.4),$D89 &amp; ";","")</f>
        <v/>
      </c>
      <c r="BG89" s="58">
        <f>IF(AND($H89="opportunity",$S89=0.5,$R89=0.2),$D89 &amp; ";","")</f>
        <v/>
      </c>
      <c r="BH89" s="58">
        <f>IF(AND($H89="opportunity",$S89=0.5,$R89=0.1),$D89 &amp; ";","")</f>
        <v/>
      </c>
      <c r="BI89" s="58">
        <f>IF(AND($H89="opportunity",$S89=0.5,$R89=0.05),$D89 &amp; ";","")</f>
        <v/>
      </c>
      <c r="BJ89" s="58">
        <f>IF(AND($H89="opportunity",$S89=0.3,$R89=0.8),$D89 &amp; ";","")</f>
        <v/>
      </c>
      <c r="BK89" s="58">
        <f>IF(AND($H89="opportunity",$S89=0.3,$R89=0.4),$D89 &amp; ";","")</f>
        <v/>
      </c>
      <c r="BL89" s="58">
        <f>IF(AND($H89="opportunity",$S89=0.3,$R89=0.2),$D89 &amp; ";","")</f>
        <v/>
      </c>
      <c r="BM89" s="58">
        <f>IF(AND($H89="opportunity",$S89=0.3,$R89=0.1),$D89 &amp; ";","")</f>
        <v/>
      </c>
      <c r="BN89" s="58">
        <f>IF(AND($H89="opportunity",$S89=0.3,$R89=0.05),$D89 &amp; ";","")</f>
        <v/>
      </c>
      <c r="BO89" s="58">
        <f>IF(AND($H89="opportunity",$S89=0.1,$R89=0.8),$D89 &amp; ";","")</f>
        <v/>
      </c>
      <c r="BP89" s="58">
        <f>IF(AND($H89="opportunity",$S89=0.1,$R89=0.4),$D89 &amp; ";","")</f>
        <v/>
      </c>
      <c r="BQ89" s="58">
        <f>IF(AND($H89="opportunity",$S89=0.1,$R89=0.2),$D89 &amp; ";","")</f>
        <v/>
      </c>
      <c r="BR89" s="58">
        <f>IF(AND($H89="opportunity",$S89=0.1,$R89=0.1),$D89 &amp; ";","")</f>
        <v/>
      </c>
      <c r="BS89" s="58">
        <f>IF(AND($H89="opportunity",$S89=0.1,$R89=0.05),$D89 &amp; ";","")</f>
        <v/>
      </c>
      <c r="BV89" s="57">
        <f>INDIRECT(ADDRESS(ROW()-22,COLUMN()-45,1,1,"Risk Register"))</f>
        <v/>
      </c>
      <c r="BW89" s="58">
        <f>INDIRECT(ADDRESS(ROW()-22,COLUMN()-44,1,1,"Risk Register"))</f>
        <v/>
      </c>
      <c r="BX89" s="59">
        <f>IF(AND($H89="threat",$P89&lt;=0.05),"gn",IF(AND($H89="threat",$P89&lt;=0.14),"y",IF(AND($H89="threat", $P89&gt;=0.15),"r",IF(AND($H89="opportunity",$P89&lt;=0.05),"gn",IF(AND($H89="opportunity",$P89&lt;=0.14),"lb",IF(AND($H89="opportunity",$P89&gt;=0.15),"db","z"))))))</f>
        <v/>
      </c>
      <c r="BY89" s="58">
        <f>IF(AND($H89="threat",$BW89=0.9,$BV89=0.05),$D89 &amp; ";","")</f>
        <v/>
      </c>
      <c r="BZ89" s="58">
        <f>IF(AND($H89="threat",$BW89=0.9,$BV89=0.1),$D89 &amp; ";","")</f>
        <v/>
      </c>
      <c r="CA89" s="58">
        <f>IF(AND($H89="threat",$BW89=0.9,$BV89=0.2),$D89 &amp; ";","")</f>
        <v/>
      </c>
      <c r="CB89" s="58">
        <f>IF(AND($H89="threat",$BW89=0.9,$BV89=0.4),$D89 &amp; ";","")</f>
        <v/>
      </c>
      <c r="CC89" s="58">
        <f>IF(AND($H89="threat",$BW89=0.9,$BV89=0.8),$D89 &amp; ";","")</f>
        <v/>
      </c>
      <c r="CD89" s="58">
        <f>IF(AND($H89="threat",$BW89=0.7,$BV89=0.05),$D89 &amp; ";","")</f>
        <v/>
      </c>
      <c r="CE89" s="58">
        <f>IF(AND($H89="threat",$BW89=0.7,$BV89=0.1),$D89 &amp; ";","")</f>
        <v/>
      </c>
      <c r="CF89" s="58">
        <f>IF(AND($H89="threat",$BW89=0.7,$BV89=0.2),$D89 &amp; ";","")</f>
        <v/>
      </c>
      <c r="CG89" s="58">
        <f>IF(AND($H89="threat",$BW89=0.7,$BV89=0.4),$D89 &amp; ";","")</f>
        <v/>
      </c>
      <c r="CH89" s="58">
        <f>IF(AND($H89="threat",$BW89=0.7,$BV89=0.8),$D89 &amp; ";","")</f>
        <v/>
      </c>
      <c r="CI89" s="58">
        <f>IF(AND($H89="threat",$BW89=0.5,$BV89=0.05),$D89 &amp; ";","")</f>
        <v/>
      </c>
      <c r="CJ89" s="58">
        <f>IF(AND($H89="threat",$BW89=0.5,$BV89=0.1),$D89 &amp; ";","")</f>
        <v/>
      </c>
      <c r="CK89" s="58">
        <f>IF(AND($H89="threat",$BW89=0.5,$BV89=0.2),$D89 &amp; ";","")</f>
        <v/>
      </c>
      <c r="CL89" s="58">
        <f>IF(AND($H89="threat",$BW89=0.5,$BV89=0.4),$D89 &amp; ";","")</f>
        <v/>
      </c>
      <c r="CM89" s="58">
        <f>IF(AND($H89="threat",$BW89=0.5,$BV89=0.8),$D89 &amp; ";","")</f>
        <v/>
      </c>
      <c r="CN89" s="58">
        <f>IF(AND($H89="threat",$BW89=0.3,$BV89=0.05),$D89 &amp; ";","")</f>
        <v/>
      </c>
      <c r="CO89" s="58">
        <f>IF(AND($H89="threat",$BW89=0.3,$BV89=0.1),$D89 &amp; ";","")</f>
        <v/>
      </c>
      <c r="CP89" s="58">
        <f>IF(AND($H89="threat",$BW89=0.3,$BV89=0.2),$D89 &amp; ";","")</f>
        <v/>
      </c>
      <c r="CQ89" s="58">
        <f>IF(AND($H89="threat",$BW89=0.3,$BV89=0.4),$D89 &amp; ";","")</f>
        <v/>
      </c>
      <c r="CR89" s="58">
        <f>IF(AND($H89="threat",$BW89=0.3,$BV89=0.8),$D89 &amp; ";","")</f>
        <v/>
      </c>
      <c r="CS89" s="58">
        <f>IF(AND($H89="threat",$BW89=0.1,$BV89=0.05),$D89 &amp; ";","")</f>
        <v/>
      </c>
      <c r="CT89" s="58">
        <f>IF(AND($H89="threat",$BW89=0.1,$BV89=0.1),$D89 &amp; ";","")</f>
        <v/>
      </c>
      <c r="CU89" s="58">
        <f>IF(AND($H89="threat",$BW89=0.1,$BV89=0.2),$D89 &amp; ";","")</f>
        <v/>
      </c>
      <c r="CV89" s="58">
        <f>IF(AND($H89="threat",$BW89=0.1,$BV89=0.4),$D89 &amp; ";","")</f>
        <v/>
      </c>
      <c r="CW89" s="58">
        <f>IF(AND($H89="threat",$BW89=0.1,$BV89=0.8),$D89 &amp; ";","")</f>
        <v/>
      </c>
      <c r="CX89" s="39" t="n"/>
      <c r="CY89" s="58">
        <f>IF(AND($H89="opportunity",$BW89=0.9,$BV89=0.8),$D89 &amp; ";","")</f>
        <v/>
      </c>
      <c r="CZ89" s="58">
        <f>IF(AND($H89="opportunity",$BW89=0.9,$BV89=0.4),$D89 &amp; ";","")</f>
        <v/>
      </c>
      <c r="DA89" s="58">
        <f>IF(AND($H89="opportunity",$BW89=0.9,$BV89=0.2),$D89 &amp; ";","")</f>
        <v/>
      </c>
      <c r="DB89" s="58">
        <f>IF(AND($H89="opportunity",$BW89=0.9,$BV89=0.1),$D89 &amp; ";","")</f>
        <v/>
      </c>
      <c r="DC89" s="58">
        <f>IF(AND($H89="opportunity",$BW89=0.9,$BV89=0.05),$D89 &amp; ";","")</f>
        <v/>
      </c>
      <c r="DD89" s="58">
        <f>IF(AND($H89="opportunity",$BW89=0.7,$BV89=0.8),$D89 &amp; ";","")</f>
        <v/>
      </c>
      <c r="DE89" s="58">
        <f>IF(AND($H89="opportunity",$BW89=0.7,$BV89=0.4),$D89 &amp; ";","")</f>
        <v/>
      </c>
      <c r="DF89" s="58">
        <f>IF(AND($H89="opportunity",$BW89=0.7,$BV89=0.2),$D89 &amp; ";","")</f>
        <v/>
      </c>
      <c r="DG89" s="58">
        <f>IF(AND($H89="opportunity",$BW89=0.7,$BV89=0.1),$D89 &amp; ";","")</f>
        <v/>
      </c>
      <c r="DH89" s="58">
        <f>IF(AND($H89="opportunity",$BW89=0.7,$BV89=0.05),$D89 &amp; ";","")</f>
        <v/>
      </c>
      <c r="DI89" s="58">
        <f>IF(AND($H89="opportunity",$BW89=0.5,$BV89=0.8),$D89 &amp; ";","")</f>
        <v/>
      </c>
      <c r="DJ89" s="58">
        <f>IF(AND($H89="opportunity",$BW89=0.5,$BV89=0.4),$D89 &amp; ";","")</f>
        <v/>
      </c>
      <c r="DK89" s="58">
        <f>IF(AND($H89="opportunity",$BW89=0.5,$BV89=0.2),$D89 &amp; ";","")</f>
        <v/>
      </c>
      <c r="DL89" s="58">
        <f>IF(AND($H89="opportunity",$BW89=0.5,$BV89=0.1),$D89 &amp; ";","")</f>
        <v/>
      </c>
      <c r="DM89" s="58">
        <f>IF(AND($H89="opportunity",$BW89=0.5,$BV89=0.05),$D89 &amp; ";","")</f>
        <v/>
      </c>
      <c r="DN89" s="58">
        <f>IF(AND($H89="opportunity",$BW89=0.3,$BV89=0.8),$D89 &amp; ";","")</f>
        <v/>
      </c>
      <c r="DO89" s="58">
        <f>IF(AND($H89="opportunity",$BW89=0.3,$BV89=0.4),$D89 &amp; ";","")</f>
        <v/>
      </c>
      <c r="DP89" s="58">
        <f>IF(AND($H89="opportunity",$BW89=0.3,$BV89=0.2),$D89 &amp; ";","")</f>
        <v/>
      </c>
      <c r="DQ89" s="58">
        <f>IF(AND($H89="opportunity",$BW89=0.3,$BV89=0.1),$D89 &amp; ";","")</f>
        <v/>
      </c>
      <c r="DR89" s="58">
        <f>IF(AND($H89="opportunity",$BW89=0.3,$BV89=0.05),$D89 &amp; ";","")</f>
        <v/>
      </c>
      <c r="DS89" s="58">
        <f>IF(AND($H89="opportunity",$BW89=0.1,$BV89=0.8),$D89 &amp; ";","")</f>
        <v/>
      </c>
      <c r="DT89" s="58">
        <f>IF(AND($H89="opportunity",$BW89=0.1,$BV89=0.4),$D89 &amp; ";","")</f>
        <v/>
      </c>
      <c r="DU89" s="58">
        <f>IF(AND($H89="opportunity",$BW89=0.1,$BV89=0.2),$D89 &amp; ";","")</f>
        <v/>
      </c>
      <c r="DV89" s="58">
        <f>IF(AND($H89="opportunity",$BW89=0.1,$BV89=0.1),$D89 &amp; ";","")</f>
        <v/>
      </c>
      <c r="DW89" s="58">
        <f>IF(AND($H89="opportunity",$BW89=0.1,$BV89=0.05),$D89 &amp; ";","")</f>
        <v/>
      </c>
    </row>
    <row r="90">
      <c r="D90" s="60">
        <f>INDIRECT(ADDRESS(ROW()-22,COLUMN()-2,1,1,"Risk Register"))</f>
        <v/>
      </c>
      <c r="E90" s="143">
        <f>INDIRECT(ADDRESS(ROW()-22,COLUMN()-1,1,1,"Risk Register"))</f>
        <v/>
      </c>
      <c r="G90" s="56">
        <f>INDIRECT(ADDRESS(ROW()-22,COLUMN()+10,1,1,"Risk Register"))</f>
        <v/>
      </c>
      <c r="H90" s="60">
        <f>INDIRECT(ADDRESS(ROW()-22,COLUMN()+8,1,1,"Risk Register"))</f>
        <v/>
      </c>
      <c r="I90" s="54">
        <f>INDIRECT(ADDRESS(ROW()-22,COLUMN()+3,1,1,"Risk Register"))</f>
        <v/>
      </c>
      <c r="J90" s="143">
        <f>INDIRECT(ADDRESS(ROW()-22,COLUMN()+12,1,1,"Risk Register"))</f>
        <v/>
      </c>
      <c r="K90" s="143">
        <f>INDIRECT(ADDRESS(ROW()-22,COLUMN()-2,1,1,"Risk Register"))</f>
        <v/>
      </c>
      <c r="L90" s="176">
        <f>INDIRECT(ADDRESS(ROW()-22,COLUMN()+15,1,1,"Risk Register"))</f>
        <v/>
      </c>
      <c r="M90" s="54">
        <f>INDIRECT(ADDRESS(ROW()-22,COLUMN()+13,1,1,"Risk Register"))</f>
        <v/>
      </c>
      <c r="N90" s="143">
        <f>INDIRECT(ADDRESS(ROW()-22,COLUMN()-9,1,1,"Risk Register"))</f>
        <v/>
      </c>
      <c r="O90" s="143">
        <f>INDIRECT(ADDRESS(ROW()-22,COLUMN()-8,1,1,"Risk Register"))</f>
        <v/>
      </c>
      <c r="P90" s="56">
        <f>INDIRECT(ADDRESS(ROW()-22,COLUMN()+18,1,1,"Risk Register"))</f>
        <v/>
      </c>
      <c r="R90" s="57">
        <f>INDIRECT(ADDRESS(ROW()-22,COLUMN()-5,1,1,"Risk Register"))</f>
        <v/>
      </c>
      <c r="S90" s="58">
        <f>INDIRECT(ADDRESS(ROW()-22,COLUMN()-4,1,1,"Risk Register"))</f>
        <v/>
      </c>
      <c r="T90" s="59">
        <f>IF(AND($H90="threat",$G90&lt;=0.05),"gn",IF(AND($H90="threat",$G90&lt;=0.14),"y",IF(AND($H90="threat", $G90&gt;=0.15),"r",IF(AND($H90="opportunity",$G90&lt;=0.05),"gn",IF(AND($H90="opportunity",$G90&lt;=0.14),"lb",IF(AND($H90="opportunity",$G90&gt;=0.15),"db","z"))))))</f>
        <v/>
      </c>
      <c r="U90" s="58">
        <f>IF(AND($H90="threat",$S90=0.9,$R90=0.05),$D90 &amp; ";","")</f>
        <v/>
      </c>
      <c r="V90" s="58">
        <f>IF(AND($H90="threat",$S90=0.9,$R90=0.1),$D90 &amp; ";","")</f>
        <v/>
      </c>
      <c r="W90" s="58">
        <f>IF(AND($H90="threat",$S90=0.9,$R90=0.2),$D90 &amp; ";","")</f>
        <v/>
      </c>
      <c r="X90" s="58">
        <f>IF(AND($H90="threat",$S90=0.9,$R90=0.4),$D90 &amp; ";","")</f>
        <v/>
      </c>
      <c r="Y90" s="58">
        <f>IF(AND($H90="threat",$S90=0.9,$R90=0.8),$D90 &amp; ";","")</f>
        <v/>
      </c>
      <c r="Z90" s="58">
        <f>IF(AND($H90="threat",$S90=0.7,$R90=0.05),$D90 &amp; ";","")</f>
        <v/>
      </c>
      <c r="AA90" s="58">
        <f>IF(AND($H90="threat",$S90=0.7,$R90=0.1),$D90 &amp; ";","")</f>
        <v/>
      </c>
      <c r="AB90" s="58">
        <f>IF(AND($H90="threat",$S90=0.7,$R90=0.2),$D90 &amp; ";","")</f>
        <v/>
      </c>
      <c r="AC90" s="58">
        <f>IF(AND($H90="threat",$S90=0.7,$R90=0.4),$D90 &amp; ";","")</f>
        <v/>
      </c>
      <c r="AD90" s="58">
        <f>IF(AND($H90="threat",$S90=0.7,$R90=0.8),$D90 &amp; ";","")</f>
        <v/>
      </c>
      <c r="AE90" s="58">
        <f>IF(AND($H90="threat",$S90=0.5,$R90=0.05),$D90 &amp; ";","")</f>
        <v/>
      </c>
      <c r="AF90" s="58">
        <f>IF(AND($H90="threat",$S90=0.5,$R90=0.1),$D90 &amp; ";","")</f>
        <v/>
      </c>
      <c r="AG90" s="58">
        <f>IF(AND($H90="threat",$S90=0.5,$R90=0.2),$D90 &amp; ";","")</f>
        <v/>
      </c>
      <c r="AH90" s="58">
        <f>IF(AND($H90="threat",$S90=0.5,$R90=0.4),$D90 &amp; ";","")</f>
        <v/>
      </c>
      <c r="AI90" s="58">
        <f>IF(AND($H90="threat",$S90=0.5,$R90=0.8),$D90 &amp; ";","")</f>
        <v/>
      </c>
      <c r="AJ90" s="58">
        <f>IF(AND($H90="threat",$S90=0.3,$R90=0.05),$D90 &amp; ";","")</f>
        <v/>
      </c>
      <c r="AK90" s="58">
        <f>IF(AND($H90="threat",$S90=0.3,$R90=0.1),$D90 &amp; ";","")</f>
        <v/>
      </c>
      <c r="AL90" s="58">
        <f>IF(AND($H90="threat",$S90=0.3,$R90=0.2),$D90 &amp; ";","")</f>
        <v/>
      </c>
      <c r="AM90" s="58">
        <f>IF(AND($H90="threat",$S90=0.3,$R90=0.4),$D90 &amp; ";","")</f>
        <v/>
      </c>
      <c r="AN90" s="58">
        <f>IF(AND($H90="threat",$S90=0.3,$R90=0.8),$D90 &amp; ";","")</f>
        <v/>
      </c>
      <c r="AO90" s="58">
        <f>IF(AND($H90="threat",$S90=0.1,$R90=0.05),$D90 &amp; ";","")</f>
        <v/>
      </c>
      <c r="AP90" s="58">
        <f>IF(AND($H90="threat",$S90=0.1,$R90=0.1),$D90 &amp; ";","")</f>
        <v/>
      </c>
      <c r="AQ90" s="58">
        <f>IF(AND($H90="threat",$S90=0.1,$R90=0.2),$D90 &amp; ";","")</f>
        <v/>
      </c>
      <c r="AR90" s="58">
        <f>IF(AND($H90="threat",$S90=0.1,$R90=0.4),$D90 &amp; ";","")</f>
        <v/>
      </c>
      <c r="AS90" s="58">
        <f>IF(AND($H90="threat",$S90=0.1,$R90=0.8),$D90 &amp; ";","")</f>
        <v/>
      </c>
      <c r="AT90" s="39" t="n"/>
      <c r="AU90" s="58">
        <f>IF(AND($H90="opportunity",$S90=0.9,$R90=0.8),$D90 &amp; ";","")</f>
        <v/>
      </c>
      <c r="AV90" s="58">
        <f>IF(AND($H90="opportunity",$S90=0.9,$R90=0.4),$D90 &amp; ";","")</f>
        <v/>
      </c>
      <c r="AW90" s="58">
        <f>IF(AND($H90="opportunity",$S90=0.9,$R90=0.2),$D90 &amp; ";","")</f>
        <v/>
      </c>
      <c r="AX90" s="58">
        <f>IF(AND($H90="opportunity",$S90=0.9,$R90=0.1),$D90 &amp; ";","")</f>
        <v/>
      </c>
      <c r="AY90" s="58">
        <f>IF(AND($H90="opportunity",$S90=0.9,$R90=0.05),$D90 &amp; ";","")</f>
        <v/>
      </c>
      <c r="AZ90" s="58">
        <f>IF(AND($H90="opportunity",$S90=0.7,$R90=0.8),$D90 &amp; ";","")</f>
        <v/>
      </c>
      <c r="BA90" s="58">
        <f>IF(AND($H90="opportunity",$S90=0.7,$R90=0.4),$D90 &amp; ";","")</f>
        <v/>
      </c>
      <c r="BB90" s="58">
        <f>IF(AND($H90="opportunity",$S90=0.7,$R90=0.2),$D90 &amp; ";","")</f>
        <v/>
      </c>
      <c r="BC90" s="58">
        <f>IF(AND($H90="opportunity",$S90=0.7,$R90=0.1),$D90 &amp; ";","")</f>
        <v/>
      </c>
      <c r="BD90" s="58">
        <f>IF(AND($H90="opportunity",$S90=0.7,$R90=0.05),$D90 &amp; ";","")</f>
        <v/>
      </c>
      <c r="BE90" s="58">
        <f>IF(AND($H90="opportunity",$S90=0.5,$R90=0.8),$D90 &amp; ";","")</f>
        <v/>
      </c>
      <c r="BF90" s="58">
        <f>IF(AND($H90="opportunity",$S90=0.5,$R90=0.4),$D90 &amp; ";","")</f>
        <v/>
      </c>
      <c r="BG90" s="58">
        <f>IF(AND($H90="opportunity",$S90=0.5,$R90=0.2),$D90 &amp; ";","")</f>
        <v/>
      </c>
      <c r="BH90" s="58">
        <f>IF(AND($H90="opportunity",$S90=0.5,$R90=0.1),$D90 &amp; ";","")</f>
        <v/>
      </c>
      <c r="BI90" s="58">
        <f>IF(AND($H90="opportunity",$S90=0.5,$R90=0.05),$D90 &amp; ";","")</f>
        <v/>
      </c>
      <c r="BJ90" s="58">
        <f>IF(AND($H90="opportunity",$S90=0.3,$R90=0.8),$D90 &amp; ";","")</f>
        <v/>
      </c>
      <c r="BK90" s="58">
        <f>IF(AND($H90="opportunity",$S90=0.3,$R90=0.4),$D90 &amp; ";","")</f>
        <v/>
      </c>
      <c r="BL90" s="58">
        <f>IF(AND($H90="opportunity",$S90=0.3,$R90=0.2),$D90 &amp; ";","")</f>
        <v/>
      </c>
      <c r="BM90" s="58">
        <f>IF(AND($H90="opportunity",$S90=0.3,$R90=0.1),$D90 &amp; ";","")</f>
        <v/>
      </c>
      <c r="BN90" s="58">
        <f>IF(AND($H90="opportunity",$S90=0.3,$R90=0.05),$D90 &amp; ";","")</f>
        <v/>
      </c>
      <c r="BO90" s="58">
        <f>IF(AND($H90="opportunity",$S90=0.1,$R90=0.8),$D90 &amp; ";","")</f>
        <v/>
      </c>
      <c r="BP90" s="58">
        <f>IF(AND($H90="opportunity",$S90=0.1,$R90=0.4),$D90 &amp; ";","")</f>
        <v/>
      </c>
      <c r="BQ90" s="58">
        <f>IF(AND($H90="opportunity",$S90=0.1,$R90=0.2),$D90 &amp; ";","")</f>
        <v/>
      </c>
      <c r="BR90" s="58">
        <f>IF(AND($H90="opportunity",$S90=0.1,$R90=0.1),$D90 &amp; ";","")</f>
        <v/>
      </c>
      <c r="BS90" s="58">
        <f>IF(AND($H90="opportunity",$S90=0.1,$R90=0.05),$D90 &amp; ";","")</f>
        <v/>
      </c>
      <c r="BV90" s="57">
        <f>INDIRECT(ADDRESS(ROW()-22,COLUMN()-45,1,1,"Risk Register"))</f>
        <v/>
      </c>
      <c r="BW90" s="58">
        <f>INDIRECT(ADDRESS(ROW()-22,COLUMN()-44,1,1,"Risk Register"))</f>
        <v/>
      </c>
      <c r="BX90" s="59">
        <f>IF(AND($H90="threat",$P90&lt;=0.05),"gn",IF(AND($H90="threat",$P90&lt;=0.14),"y",IF(AND($H90="threat", $P90&gt;=0.15),"r",IF(AND($H90="opportunity",$P90&lt;=0.05),"gn",IF(AND($H90="opportunity",$P90&lt;=0.14),"lb",IF(AND($H90="opportunity",$P90&gt;=0.15),"db","z"))))))</f>
        <v/>
      </c>
      <c r="BY90" s="58">
        <f>IF(AND($H90="threat",$BW90=0.9,$BV90=0.05),$D90 &amp; ";","")</f>
        <v/>
      </c>
      <c r="BZ90" s="58">
        <f>IF(AND($H90="threat",$BW90=0.9,$BV90=0.1),$D90 &amp; ";","")</f>
        <v/>
      </c>
      <c r="CA90" s="58">
        <f>IF(AND($H90="threat",$BW90=0.9,$BV90=0.2),$D90 &amp; ";","")</f>
        <v/>
      </c>
      <c r="CB90" s="58">
        <f>IF(AND($H90="threat",$BW90=0.9,$BV90=0.4),$D90 &amp; ";","")</f>
        <v/>
      </c>
      <c r="CC90" s="58">
        <f>IF(AND($H90="threat",$BW90=0.9,$BV90=0.8),$D90 &amp; ";","")</f>
        <v/>
      </c>
      <c r="CD90" s="58">
        <f>IF(AND($H90="threat",$BW90=0.7,$BV90=0.05),$D90 &amp; ";","")</f>
        <v/>
      </c>
      <c r="CE90" s="58">
        <f>IF(AND($H90="threat",$BW90=0.7,$BV90=0.1),$D90 &amp; ";","")</f>
        <v/>
      </c>
      <c r="CF90" s="58">
        <f>IF(AND($H90="threat",$BW90=0.7,$BV90=0.2),$D90 &amp; ";","")</f>
        <v/>
      </c>
      <c r="CG90" s="58">
        <f>IF(AND($H90="threat",$BW90=0.7,$BV90=0.4),$D90 &amp; ";","")</f>
        <v/>
      </c>
      <c r="CH90" s="58">
        <f>IF(AND($H90="threat",$BW90=0.7,$BV90=0.8),$D90 &amp; ";","")</f>
        <v/>
      </c>
      <c r="CI90" s="58">
        <f>IF(AND($H90="threat",$BW90=0.5,$BV90=0.05),$D90 &amp; ";","")</f>
        <v/>
      </c>
      <c r="CJ90" s="58">
        <f>IF(AND($H90="threat",$BW90=0.5,$BV90=0.1),$D90 &amp; ";","")</f>
        <v/>
      </c>
      <c r="CK90" s="58">
        <f>IF(AND($H90="threat",$BW90=0.5,$BV90=0.2),$D90 &amp; ";","")</f>
        <v/>
      </c>
      <c r="CL90" s="58">
        <f>IF(AND($H90="threat",$BW90=0.5,$BV90=0.4),$D90 &amp; ";","")</f>
        <v/>
      </c>
      <c r="CM90" s="58">
        <f>IF(AND($H90="threat",$BW90=0.5,$BV90=0.8),$D90 &amp; ";","")</f>
        <v/>
      </c>
      <c r="CN90" s="58">
        <f>IF(AND($H90="threat",$BW90=0.3,$BV90=0.05),$D90 &amp; ";","")</f>
        <v/>
      </c>
      <c r="CO90" s="58">
        <f>IF(AND($H90="threat",$BW90=0.3,$BV90=0.1),$D90 &amp; ";","")</f>
        <v/>
      </c>
      <c r="CP90" s="58">
        <f>IF(AND($H90="threat",$BW90=0.3,$BV90=0.2),$D90 &amp; ";","")</f>
        <v/>
      </c>
      <c r="CQ90" s="58">
        <f>IF(AND($H90="threat",$BW90=0.3,$BV90=0.4),$D90 &amp; ";","")</f>
        <v/>
      </c>
      <c r="CR90" s="58">
        <f>IF(AND($H90="threat",$BW90=0.3,$BV90=0.8),$D90 &amp; ";","")</f>
        <v/>
      </c>
      <c r="CS90" s="58">
        <f>IF(AND($H90="threat",$BW90=0.1,$BV90=0.05),$D90 &amp; ";","")</f>
        <v/>
      </c>
      <c r="CT90" s="58">
        <f>IF(AND($H90="threat",$BW90=0.1,$BV90=0.1),$D90 &amp; ";","")</f>
        <v/>
      </c>
      <c r="CU90" s="58">
        <f>IF(AND($H90="threat",$BW90=0.1,$BV90=0.2),$D90 &amp; ";","")</f>
        <v/>
      </c>
      <c r="CV90" s="58">
        <f>IF(AND($H90="threat",$BW90=0.1,$BV90=0.4),$D90 &amp; ";","")</f>
        <v/>
      </c>
      <c r="CW90" s="58">
        <f>IF(AND($H90="threat",$BW90=0.1,$BV90=0.8),$D90 &amp; ";","")</f>
        <v/>
      </c>
      <c r="CX90" s="39" t="n"/>
      <c r="CY90" s="58">
        <f>IF(AND($H90="opportunity",$BW90=0.9,$BV90=0.8),$D90 &amp; ";","")</f>
        <v/>
      </c>
      <c r="CZ90" s="58">
        <f>IF(AND($H90="opportunity",$BW90=0.9,$BV90=0.4),$D90 &amp; ";","")</f>
        <v/>
      </c>
      <c r="DA90" s="58">
        <f>IF(AND($H90="opportunity",$BW90=0.9,$BV90=0.2),$D90 &amp; ";","")</f>
        <v/>
      </c>
      <c r="DB90" s="58">
        <f>IF(AND($H90="opportunity",$BW90=0.9,$BV90=0.1),$D90 &amp; ";","")</f>
        <v/>
      </c>
      <c r="DC90" s="58">
        <f>IF(AND($H90="opportunity",$BW90=0.9,$BV90=0.05),$D90 &amp; ";","")</f>
        <v/>
      </c>
      <c r="DD90" s="58">
        <f>IF(AND($H90="opportunity",$BW90=0.7,$BV90=0.8),$D90 &amp; ";","")</f>
        <v/>
      </c>
      <c r="DE90" s="58">
        <f>IF(AND($H90="opportunity",$BW90=0.7,$BV90=0.4),$D90 &amp; ";","")</f>
        <v/>
      </c>
      <c r="DF90" s="58">
        <f>IF(AND($H90="opportunity",$BW90=0.7,$BV90=0.2),$D90 &amp; ";","")</f>
        <v/>
      </c>
      <c r="DG90" s="58">
        <f>IF(AND($H90="opportunity",$BW90=0.7,$BV90=0.1),$D90 &amp; ";","")</f>
        <v/>
      </c>
      <c r="DH90" s="58">
        <f>IF(AND($H90="opportunity",$BW90=0.7,$BV90=0.05),$D90 &amp; ";","")</f>
        <v/>
      </c>
      <c r="DI90" s="58">
        <f>IF(AND($H90="opportunity",$BW90=0.5,$BV90=0.8),$D90 &amp; ";","")</f>
        <v/>
      </c>
      <c r="DJ90" s="58">
        <f>IF(AND($H90="opportunity",$BW90=0.5,$BV90=0.4),$D90 &amp; ";","")</f>
        <v/>
      </c>
      <c r="DK90" s="58">
        <f>IF(AND($H90="opportunity",$BW90=0.5,$BV90=0.2),$D90 &amp; ";","")</f>
        <v/>
      </c>
      <c r="DL90" s="58">
        <f>IF(AND($H90="opportunity",$BW90=0.5,$BV90=0.1),$D90 &amp; ";","")</f>
        <v/>
      </c>
      <c r="DM90" s="58">
        <f>IF(AND($H90="opportunity",$BW90=0.5,$BV90=0.05),$D90 &amp; ";","")</f>
        <v/>
      </c>
      <c r="DN90" s="58">
        <f>IF(AND($H90="opportunity",$BW90=0.3,$BV90=0.8),$D90 &amp; ";","")</f>
        <v/>
      </c>
      <c r="DO90" s="58">
        <f>IF(AND($H90="opportunity",$BW90=0.3,$BV90=0.4),$D90 &amp; ";","")</f>
        <v/>
      </c>
      <c r="DP90" s="58">
        <f>IF(AND($H90="opportunity",$BW90=0.3,$BV90=0.2),$D90 &amp; ";","")</f>
        <v/>
      </c>
      <c r="DQ90" s="58">
        <f>IF(AND($H90="opportunity",$BW90=0.3,$BV90=0.1),$D90 &amp; ";","")</f>
        <v/>
      </c>
      <c r="DR90" s="58">
        <f>IF(AND($H90="opportunity",$BW90=0.3,$BV90=0.05),$D90 &amp; ";","")</f>
        <v/>
      </c>
      <c r="DS90" s="58">
        <f>IF(AND($H90="opportunity",$BW90=0.1,$BV90=0.8),$D90 &amp; ";","")</f>
        <v/>
      </c>
      <c r="DT90" s="58">
        <f>IF(AND($H90="opportunity",$BW90=0.1,$BV90=0.4),$D90 &amp; ";","")</f>
        <v/>
      </c>
      <c r="DU90" s="58">
        <f>IF(AND($H90="opportunity",$BW90=0.1,$BV90=0.2),$D90 &amp; ";","")</f>
        <v/>
      </c>
      <c r="DV90" s="58">
        <f>IF(AND($H90="opportunity",$BW90=0.1,$BV90=0.1),$D90 &amp; ";","")</f>
        <v/>
      </c>
      <c r="DW90" s="58">
        <f>IF(AND($H90="opportunity",$BW90=0.1,$BV90=0.05),$D90 &amp; ";","")</f>
        <v/>
      </c>
    </row>
    <row r="91">
      <c r="D91" s="60">
        <f>INDIRECT(ADDRESS(ROW()-22,COLUMN()-2,1,1,"Risk Register"))</f>
        <v/>
      </c>
      <c r="E91" s="143">
        <f>INDIRECT(ADDRESS(ROW()-22,COLUMN()-1,1,1,"Risk Register"))</f>
        <v/>
      </c>
      <c r="G91" s="56">
        <f>INDIRECT(ADDRESS(ROW()-22,COLUMN()+10,1,1,"Risk Register"))</f>
        <v/>
      </c>
      <c r="H91" s="60">
        <f>INDIRECT(ADDRESS(ROW()-22,COLUMN()+8,1,1,"Risk Register"))</f>
        <v/>
      </c>
      <c r="I91" s="54">
        <f>INDIRECT(ADDRESS(ROW()-22,COLUMN()+3,1,1,"Risk Register"))</f>
        <v/>
      </c>
      <c r="J91" s="143">
        <f>INDIRECT(ADDRESS(ROW()-22,COLUMN()+12,1,1,"Risk Register"))</f>
        <v/>
      </c>
      <c r="K91" s="143">
        <f>INDIRECT(ADDRESS(ROW()-22,COLUMN()-2,1,1,"Risk Register"))</f>
        <v/>
      </c>
      <c r="L91" s="176">
        <f>INDIRECT(ADDRESS(ROW()-22,COLUMN()+15,1,1,"Risk Register"))</f>
        <v/>
      </c>
      <c r="M91" s="54">
        <f>INDIRECT(ADDRESS(ROW()-22,COLUMN()+13,1,1,"Risk Register"))</f>
        <v/>
      </c>
      <c r="N91" s="143">
        <f>INDIRECT(ADDRESS(ROW()-22,COLUMN()-9,1,1,"Risk Register"))</f>
        <v/>
      </c>
      <c r="O91" s="143">
        <f>INDIRECT(ADDRESS(ROW()-22,COLUMN()-8,1,1,"Risk Register"))</f>
        <v/>
      </c>
      <c r="P91" s="56">
        <f>INDIRECT(ADDRESS(ROW()-22,COLUMN()+18,1,1,"Risk Register"))</f>
        <v/>
      </c>
      <c r="R91" s="57">
        <f>INDIRECT(ADDRESS(ROW()-22,COLUMN()-5,1,1,"Risk Register"))</f>
        <v/>
      </c>
      <c r="S91" s="58">
        <f>INDIRECT(ADDRESS(ROW()-22,COLUMN()-4,1,1,"Risk Register"))</f>
        <v/>
      </c>
      <c r="T91" s="59">
        <f>IF(AND($H91="threat",$G91&lt;=0.05),"gn",IF(AND($H91="threat",$G91&lt;=0.14),"y",IF(AND($H91="threat", $G91&gt;=0.15),"r",IF(AND($H91="opportunity",$G91&lt;=0.05),"gn",IF(AND($H91="opportunity",$G91&lt;=0.14),"lb",IF(AND($H91="opportunity",$G91&gt;=0.15),"db","z"))))))</f>
        <v/>
      </c>
      <c r="U91" s="58">
        <f>IF(AND($H91="threat",$S91=0.9,$R91=0.05),$D91 &amp; ";","")</f>
        <v/>
      </c>
      <c r="V91" s="58">
        <f>IF(AND($H91="threat",$S91=0.9,$R91=0.1),$D91 &amp; ";","")</f>
        <v/>
      </c>
      <c r="W91" s="58">
        <f>IF(AND($H91="threat",$S91=0.9,$R91=0.2),$D91 &amp; ";","")</f>
        <v/>
      </c>
      <c r="X91" s="58">
        <f>IF(AND($H91="threat",$S91=0.9,$R91=0.4),$D91 &amp; ";","")</f>
        <v/>
      </c>
      <c r="Y91" s="58">
        <f>IF(AND($H91="threat",$S91=0.9,$R91=0.8),$D91 &amp; ";","")</f>
        <v/>
      </c>
      <c r="Z91" s="58">
        <f>IF(AND($H91="threat",$S91=0.7,$R91=0.05),$D91 &amp; ";","")</f>
        <v/>
      </c>
      <c r="AA91" s="58">
        <f>IF(AND($H91="threat",$S91=0.7,$R91=0.1),$D91 &amp; ";","")</f>
        <v/>
      </c>
      <c r="AB91" s="58">
        <f>IF(AND($H91="threat",$S91=0.7,$R91=0.2),$D91 &amp; ";","")</f>
        <v/>
      </c>
      <c r="AC91" s="58">
        <f>IF(AND($H91="threat",$S91=0.7,$R91=0.4),$D91 &amp; ";","")</f>
        <v/>
      </c>
      <c r="AD91" s="58">
        <f>IF(AND($H91="threat",$S91=0.7,$R91=0.8),$D91 &amp; ";","")</f>
        <v/>
      </c>
      <c r="AE91" s="58">
        <f>IF(AND($H91="threat",$S91=0.5,$R91=0.05),$D91 &amp; ";","")</f>
        <v/>
      </c>
      <c r="AF91" s="58">
        <f>IF(AND($H91="threat",$S91=0.5,$R91=0.1),$D91 &amp; ";","")</f>
        <v/>
      </c>
      <c r="AG91" s="58">
        <f>IF(AND($H91="threat",$S91=0.5,$R91=0.2),$D91 &amp; ";","")</f>
        <v/>
      </c>
      <c r="AH91" s="58">
        <f>IF(AND($H91="threat",$S91=0.5,$R91=0.4),$D91 &amp; ";","")</f>
        <v/>
      </c>
      <c r="AI91" s="58">
        <f>IF(AND($H91="threat",$S91=0.5,$R91=0.8),$D91 &amp; ";","")</f>
        <v/>
      </c>
      <c r="AJ91" s="58">
        <f>IF(AND($H91="threat",$S91=0.3,$R91=0.05),$D91 &amp; ";","")</f>
        <v/>
      </c>
      <c r="AK91" s="58">
        <f>IF(AND($H91="threat",$S91=0.3,$R91=0.1),$D91 &amp; ";","")</f>
        <v/>
      </c>
      <c r="AL91" s="58">
        <f>IF(AND($H91="threat",$S91=0.3,$R91=0.2),$D91 &amp; ";","")</f>
        <v/>
      </c>
      <c r="AM91" s="58">
        <f>IF(AND($H91="threat",$S91=0.3,$R91=0.4),$D91 &amp; ";","")</f>
        <v/>
      </c>
      <c r="AN91" s="58">
        <f>IF(AND($H91="threat",$S91=0.3,$R91=0.8),$D91 &amp; ";","")</f>
        <v/>
      </c>
      <c r="AO91" s="58">
        <f>IF(AND($H91="threat",$S91=0.1,$R91=0.05),$D91 &amp; ";","")</f>
        <v/>
      </c>
      <c r="AP91" s="58">
        <f>IF(AND($H91="threat",$S91=0.1,$R91=0.1),$D91 &amp; ";","")</f>
        <v/>
      </c>
      <c r="AQ91" s="58">
        <f>IF(AND($H91="threat",$S91=0.1,$R91=0.2),$D91 &amp; ";","")</f>
        <v/>
      </c>
      <c r="AR91" s="58">
        <f>IF(AND($H91="threat",$S91=0.1,$R91=0.4),$D91 &amp; ";","")</f>
        <v/>
      </c>
      <c r="AS91" s="58">
        <f>IF(AND($H91="threat",$S91=0.1,$R91=0.8),$D91 &amp; ";","")</f>
        <v/>
      </c>
      <c r="AT91" s="39" t="n"/>
      <c r="AU91" s="58">
        <f>IF(AND($H91="opportunity",$S91=0.9,$R91=0.8),$D91 &amp; ";","")</f>
        <v/>
      </c>
      <c r="AV91" s="58">
        <f>IF(AND($H91="opportunity",$S91=0.9,$R91=0.4),$D91 &amp; ";","")</f>
        <v/>
      </c>
      <c r="AW91" s="58">
        <f>IF(AND($H91="opportunity",$S91=0.9,$R91=0.2),$D91 &amp; ";","")</f>
        <v/>
      </c>
      <c r="AX91" s="58">
        <f>IF(AND($H91="opportunity",$S91=0.9,$R91=0.1),$D91 &amp; ";","")</f>
        <v/>
      </c>
      <c r="AY91" s="58">
        <f>IF(AND($H91="opportunity",$S91=0.9,$R91=0.05),$D91 &amp; ";","")</f>
        <v/>
      </c>
      <c r="AZ91" s="58">
        <f>IF(AND($H91="opportunity",$S91=0.7,$R91=0.8),$D91 &amp; ";","")</f>
        <v/>
      </c>
      <c r="BA91" s="58">
        <f>IF(AND($H91="opportunity",$S91=0.7,$R91=0.4),$D91 &amp; ";","")</f>
        <v/>
      </c>
      <c r="BB91" s="58">
        <f>IF(AND($H91="opportunity",$S91=0.7,$R91=0.2),$D91 &amp; ";","")</f>
        <v/>
      </c>
      <c r="BC91" s="58">
        <f>IF(AND($H91="opportunity",$S91=0.7,$R91=0.1),$D91 &amp; ";","")</f>
        <v/>
      </c>
      <c r="BD91" s="58">
        <f>IF(AND($H91="opportunity",$S91=0.7,$R91=0.05),$D91 &amp; ";","")</f>
        <v/>
      </c>
      <c r="BE91" s="58">
        <f>IF(AND($H91="opportunity",$S91=0.5,$R91=0.8),$D91 &amp; ";","")</f>
        <v/>
      </c>
      <c r="BF91" s="58">
        <f>IF(AND($H91="opportunity",$S91=0.5,$R91=0.4),$D91 &amp; ";","")</f>
        <v/>
      </c>
      <c r="BG91" s="58">
        <f>IF(AND($H91="opportunity",$S91=0.5,$R91=0.2),$D91 &amp; ";","")</f>
        <v/>
      </c>
      <c r="BH91" s="58">
        <f>IF(AND($H91="opportunity",$S91=0.5,$R91=0.1),$D91 &amp; ";","")</f>
        <v/>
      </c>
      <c r="BI91" s="58">
        <f>IF(AND($H91="opportunity",$S91=0.5,$R91=0.05),$D91 &amp; ";","")</f>
        <v/>
      </c>
      <c r="BJ91" s="58">
        <f>IF(AND($H91="opportunity",$S91=0.3,$R91=0.8),$D91 &amp; ";","")</f>
        <v/>
      </c>
      <c r="BK91" s="58">
        <f>IF(AND($H91="opportunity",$S91=0.3,$R91=0.4),$D91 &amp; ";","")</f>
        <v/>
      </c>
      <c r="BL91" s="58">
        <f>IF(AND($H91="opportunity",$S91=0.3,$R91=0.2),$D91 &amp; ";","")</f>
        <v/>
      </c>
      <c r="BM91" s="58">
        <f>IF(AND($H91="opportunity",$S91=0.3,$R91=0.1),$D91 &amp; ";","")</f>
        <v/>
      </c>
      <c r="BN91" s="58">
        <f>IF(AND($H91="opportunity",$S91=0.3,$R91=0.05),$D91 &amp; ";","")</f>
        <v/>
      </c>
      <c r="BO91" s="58">
        <f>IF(AND($H91="opportunity",$S91=0.1,$R91=0.8),$D91 &amp; ";","")</f>
        <v/>
      </c>
      <c r="BP91" s="58">
        <f>IF(AND($H91="opportunity",$S91=0.1,$R91=0.4),$D91 &amp; ";","")</f>
        <v/>
      </c>
      <c r="BQ91" s="58">
        <f>IF(AND($H91="opportunity",$S91=0.1,$R91=0.2),$D91 &amp; ";","")</f>
        <v/>
      </c>
      <c r="BR91" s="58">
        <f>IF(AND($H91="opportunity",$S91=0.1,$R91=0.1),$D91 &amp; ";","")</f>
        <v/>
      </c>
      <c r="BS91" s="58">
        <f>IF(AND($H91="opportunity",$S91=0.1,$R91=0.05),$D91 &amp; ";","")</f>
        <v/>
      </c>
      <c r="BV91" s="57">
        <f>INDIRECT(ADDRESS(ROW()-22,COLUMN()-45,1,1,"Risk Register"))</f>
        <v/>
      </c>
      <c r="BW91" s="58">
        <f>INDIRECT(ADDRESS(ROW()-22,COLUMN()-44,1,1,"Risk Register"))</f>
        <v/>
      </c>
      <c r="BX91" s="59">
        <f>IF(AND($H91="threat",$P91&lt;=0.05),"gn",IF(AND($H91="threat",$P91&lt;=0.14),"y",IF(AND($H91="threat", $P91&gt;=0.15),"r",IF(AND($H91="opportunity",$P91&lt;=0.05),"gn",IF(AND($H91="opportunity",$P91&lt;=0.14),"lb",IF(AND($H91="opportunity",$P91&gt;=0.15),"db","z"))))))</f>
        <v/>
      </c>
      <c r="BY91" s="58">
        <f>IF(AND($H91="threat",$BW91=0.9,$BV91=0.05),$D91 &amp; ";","")</f>
        <v/>
      </c>
      <c r="BZ91" s="58">
        <f>IF(AND($H91="threat",$BW91=0.9,$BV91=0.1),$D91 &amp; ";","")</f>
        <v/>
      </c>
      <c r="CA91" s="58">
        <f>IF(AND($H91="threat",$BW91=0.9,$BV91=0.2),$D91 &amp; ";","")</f>
        <v/>
      </c>
      <c r="CB91" s="58">
        <f>IF(AND($H91="threat",$BW91=0.9,$BV91=0.4),$D91 &amp; ";","")</f>
        <v/>
      </c>
      <c r="CC91" s="58">
        <f>IF(AND($H91="threat",$BW91=0.9,$BV91=0.8),$D91 &amp; ";","")</f>
        <v/>
      </c>
      <c r="CD91" s="58">
        <f>IF(AND($H91="threat",$BW91=0.7,$BV91=0.05),$D91 &amp; ";","")</f>
        <v/>
      </c>
      <c r="CE91" s="58">
        <f>IF(AND($H91="threat",$BW91=0.7,$BV91=0.1),$D91 &amp; ";","")</f>
        <v/>
      </c>
      <c r="CF91" s="58">
        <f>IF(AND($H91="threat",$BW91=0.7,$BV91=0.2),$D91 &amp; ";","")</f>
        <v/>
      </c>
      <c r="CG91" s="58">
        <f>IF(AND($H91="threat",$BW91=0.7,$BV91=0.4),$D91 &amp; ";","")</f>
        <v/>
      </c>
      <c r="CH91" s="58">
        <f>IF(AND($H91="threat",$BW91=0.7,$BV91=0.8),$D91 &amp; ";","")</f>
        <v/>
      </c>
      <c r="CI91" s="58">
        <f>IF(AND($H91="threat",$BW91=0.5,$BV91=0.05),$D91 &amp; ";","")</f>
        <v/>
      </c>
      <c r="CJ91" s="58">
        <f>IF(AND($H91="threat",$BW91=0.5,$BV91=0.1),$D91 &amp; ";","")</f>
        <v/>
      </c>
      <c r="CK91" s="58">
        <f>IF(AND($H91="threat",$BW91=0.5,$BV91=0.2),$D91 &amp; ";","")</f>
        <v/>
      </c>
      <c r="CL91" s="58">
        <f>IF(AND($H91="threat",$BW91=0.5,$BV91=0.4),$D91 &amp; ";","")</f>
        <v/>
      </c>
      <c r="CM91" s="58">
        <f>IF(AND($H91="threat",$BW91=0.5,$BV91=0.8),$D91 &amp; ";","")</f>
        <v/>
      </c>
      <c r="CN91" s="58">
        <f>IF(AND($H91="threat",$BW91=0.3,$BV91=0.05),$D91 &amp; ";","")</f>
        <v/>
      </c>
      <c r="CO91" s="58">
        <f>IF(AND($H91="threat",$BW91=0.3,$BV91=0.1),$D91 &amp; ";","")</f>
        <v/>
      </c>
      <c r="CP91" s="58">
        <f>IF(AND($H91="threat",$BW91=0.3,$BV91=0.2),$D91 &amp; ";","")</f>
        <v/>
      </c>
      <c r="CQ91" s="58">
        <f>IF(AND($H91="threat",$BW91=0.3,$BV91=0.4),$D91 &amp; ";","")</f>
        <v/>
      </c>
      <c r="CR91" s="58">
        <f>IF(AND($H91="threat",$BW91=0.3,$BV91=0.8),$D91 &amp; ";","")</f>
        <v/>
      </c>
      <c r="CS91" s="58">
        <f>IF(AND($H91="threat",$BW91=0.1,$BV91=0.05),$D91 &amp; ";","")</f>
        <v/>
      </c>
      <c r="CT91" s="58">
        <f>IF(AND($H91="threat",$BW91=0.1,$BV91=0.1),$D91 &amp; ";","")</f>
        <v/>
      </c>
      <c r="CU91" s="58">
        <f>IF(AND($H91="threat",$BW91=0.1,$BV91=0.2),$D91 &amp; ";","")</f>
        <v/>
      </c>
      <c r="CV91" s="58">
        <f>IF(AND($H91="threat",$BW91=0.1,$BV91=0.4),$D91 &amp; ";","")</f>
        <v/>
      </c>
      <c r="CW91" s="58">
        <f>IF(AND($H91="threat",$BW91=0.1,$BV91=0.8),$D91 &amp; ";","")</f>
        <v/>
      </c>
      <c r="CX91" s="39" t="n"/>
      <c r="CY91" s="58">
        <f>IF(AND($H91="opportunity",$BW91=0.9,$BV91=0.8),$D91 &amp; ";","")</f>
        <v/>
      </c>
      <c r="CZ91" s="58">
        <f>IF(AND($H91="opportunity",$BW91=0.9,$BV91=0.4),$D91 &amp; ";","")</f>
        <v/>
      </c>
      <c r="DA91" s="58">
        <f>IF(AND($H91="opportunity",$BW91=0.9,$BV91=0.2),$D91 &amp; ";","")</f>
        <v/>
      </c>
      <c r="DB91" s="58">
        <f>IF(AND($H91="opportunity",$BW91=0.9,$BV91=0.1),$D91 &amp; ";","")</f>
        <v/>
      </c>
      <c r="DC91" s="58">
        <f>IF(AND($H91="opportunity",$BW91=0.9,$BV91=0.05),$D91 &amp; ";","")</f>
        <v/>
      </c>
      <c r="DD91" s="58">
        <f>IF(AND($H91="opportunity",$BW91=0.7,$BV91=0.8),$D91 &amp; ";","")</f>
        <v/>
      </c>
      <c r="DE91" s="58">
        <f>IF(AND($H91="opportunity",$BW91=0.7,$BV91=0.4),$D91 &amp; ";","")</f>
        <v/>
      </c>
      <c r="DF91" s="58">
        <f>IF(AND($H91="opportunity",$BW91=0.7,$BV91=0.2),$D91 &amp; ";","")</f>
        <v/>
      </c>
      <c r="DG91" s="58">
        <f>IF(AND($H91="opportunity",$BW91=0.7,$BV91=0.1),$D91 &amp; ";","")</f>
        <v/>
      </c>
      <c r="DH91" s="58">
        <f>IF(AND($H91="opportunity",$BW91=0.7,$BV91=0.05),$D91 &amp; ";","")</f>
        <v/>
      </c>
      <c r="DI91" s="58">
        <f>IF(AND($H91="opportunity",$BW91=0.5,$BV91=0.8),$D91 &amp; ";","")</f>
        <v/>
      </c>
      <c r="DJ91" s="58">
        <f>IF(AND($H91="opportunity",$BW91=0.5,$BV91=0.4),$D91 &amp; ";","")</f>
        <v/>
      </c>
      <c r="DK91" s="58">
        <f>IF(AND($H91="opportunity",$BW91=0.5,$BV91=0.2),$D91 &amp; ";","")</f>
        <v/>
      </c>
      <c r="DL91" s="58">
        <f>IF(AND($H91="opportunity",$BW91=0.5,$BV91=0.1),$D91 &amp; ";","")</f>
        <v/>
      </c>
      <c r="DM91" s="58">
        <f>IF(AND($H91="opportunity",$BW91=0.5,$BV91=0.05),$D91 &amp; ";","")</f>
        <v/>
      </c>
      <c r="DN91" s="58">
        <f>IF(AND($H91="opportunity",$BW91=0.3,$BV91=0.8),$D91 &amp; ";","")</f>
        <v/>
      </c>
      <c r="DO91" s="58">
        <f>IF(AND($H91="opportunity",$BW91=0.3,$BV91=0.4),$D91 &amp; ";","")</f>
        <v/>
      </c>
      <c r="DP91" s="58">
        <f>IF(AND($H91="opportunity",$BW91=0.3,$BV91=0.2),$D91 &amp; ";","")</f>
        <v/>
      </c>
      <c r="DQ91" s="58">
        <f>IF(AND($H91="opportunity",$BW91=0.3,$BV91=0.1),$D91 &amp; ";","")</f>
        <v/>
      </c>
      <c r="DR91" s="58">
        <f>IF(AND($H91="opportunity",$BW91=0.3,$BV91=0.05),$D91 &amp; ";","")</f>
        <v/>
      </c>
      <c r="DS91" s="58">
        <f>IF(AND($H91="opportunity",$BW91=0.1,$BV91=0.8),$D91 &amp; ";","")</f>
        <v/>
      </c>
      <c r="DT91" s="58">
        <f>IF(AND($H91="opportunity",$BW91=0.1,$BV91=0.4),$D91 &amp; ";","")</f>
        <v/>
      </c>
      <c r="DU91" s="58">
        <f>IF(AND($H91="opportunity",$BW91=0.1,$BV91=0.2),$D91 &amp; ";","")</f>
        <v/>
      </c>
      <c r="DV91" s="58">
        <f>IF(AND($H91="opportunity",$BW91=0.1,$BV91=0.1),$D91 &amp; ";","")</f>
        <v/>
      </c>
      <c r="DW91" s="58">
        <f>IF(AND($H91="opportunity",$BW91=0.1,$BV91=0.05),$D91 &amp; ";","")</f>
        <v/>
      </c>
    </row>
    <row r="92">
      <c r="D92" s="60">
        <f>INDIRECT(ADDRESS(ROW()-22,COLUMN()-2,1,1,"Risk Register"))</f>
        <v/>
      </c>
      <c r="E92" s="143">
        <f>INDIRECT(ADDRESS(ROW()-22,COLUMN()-1,1,1,"Risk Register"))</f>
        <v/>
      </c>
      <c r="G92" s="56">
        <f>INDIRECT(ADDRESS(ROW()-22,COLUMN()+10,1,1,"Risk Register"))</f>
        <v/>
      </c>
      <c r="H92" s="60">
        <f>INDIRECT(ADDRESS(ROW()-22,COLUMN()+8,1,1,"Risk Register"))</f>
        <v/>
      </c>
      <c r="I92" s="54">
        <f>INDIRECT(ADDRESS(ROW()-22,COLUMN()+3,1,1,"Risk Register"))</f>
        <v/>
      </c>
      <c r="J92" s="143">
        <f>INDIRECT(ADDRESS(ROW()-22,COLUMN()+12,1,1,"Risk Register"))</f>
        <v/>
      </c>
      <c r="K92" s="143">
        <f>INDIRECT(ADDRESS(ROW()-22,COLUMN()-2,1,1,"Risk Register"))</f>
        <v/>
      </c>
      <c r="L92" s="176">
        <f>INDIRECT(ADDRESS(ROW()-22,COLUMN()+15,1,1,"Risk Register"))</f>
        <v/>
      </c>
      <c r="M92" s="54">
        <f>INDIRECT(ADDRESS(ROW()-22,COLUMN()+13,1,1,"Risk Register"))</f>
        <v/>
      </c>
      <c r="N92" s="143">
        <f>INDIRECT(ADDRESS(ROW()-22,COLUMN()-9,1,1,"Risk Register"))</f>
        <v/>
      </c>
      <c r="O92" s="143">
        <f>INDIRECT(ADDRESS(ROW()-22,COLUMN()-8,1,1,"Risk Register"))</f>
        <v/>
      </c>
      <c r="P92" s="56">
        <f>INDIRECT(ADDRESS(ROW()-22,COLUMN()+18,1,1,"Risk Register"))</f>
        <v/>
      </c>
      <c r="R92" s="57">
        <f>INDIRECT(ADDRESS(ROW()-22,COLUMN()-5,1,1,"Risk Register"))</f>
        <v/>
      </c>
      <c r="S92" s="58">
        <f>INDIRECT(ADDRESS(ROW()-22,COLUMN()-4,1,1,"Risk Register"))</f>
        <v/>
      </c>
      <c r="T92" s="59">
        <f>IF(AND($H92="threat",$G92&lt;=0.05),"gn",IF(AND($H92="threat",$G92&lt;=0.14),"y",IF(AND($H92="threat", $G92&gt;=0.15),"r",IF(AND($H92="opportunity",$G92&lt;=0.05),"gn",IF(AND($H92="opportunity",$G92&lt;=0.14),"lb",IF(AND($H92="opportunity",$G92&gt;=0.15),"db","z"))))))</f>
        <v/>
      </c>
      <c r="U92" s="58">
        <f>IF(AND($H92="threat",$S92=0.9,$R92=0.05),$D92 &amp; ";","")</f>
        <v/>
      </c>
      <c r="V92" s="58">
        <f>IF(AND($H92="threat",$S92=0.9,$R92=0.1),$D92 &amp; ";","")</f>
        <v/>
      </c>
      <c r="W92" s="58">
        <f>IF(AND($H92="threat",$S92=0.9,$R92=0.2),$D92 &amp; ";","")</f>
        <v/>
      </c>
      <c r="X92" s="58">
        <f>IF(AND($H92="threat",$S92=0.9,$R92=0.4),$D92 &amp; ";","")</f>
        <v/>
      </c>
      <c r="Y92" s="58">
        <f>IF(AND($H92="threat",$S92=0.9,$R92=0.8),$D92 &amp; ";","")</f>
        <v/>
      </c>
      <c r="Z92" s="58">
        <f>IF(AND($H92="threat",$S92=0.7,$R92=0.05),$D92 &amp; ";","")</f>
        <v/>
      </c>
      <c r="AA92" s="58">
        <f>IF(AND($H92="threat",$S92=0.7,$R92=0.1),$D92 &amp; ";","")</f>
        <v/>
      </c>
      <c r="AB92" s="58">
        <f>IF(AND($H92="threat",$S92=0.7,$R92=0.2),$D92 &amp; ";","")</f>
        <v/>
      </c>
      <c r="AC92" s="58">
        <f>IF(AND($H92="threat",$S92=0.7,$R92=0.4),$D92 &amp; ";","")</f>
        <v/>
      </c>
      <c r="AD92" s="58">
        <f>IF(AND($H92="threat",$S92=0.7,$R92=0.8),$D92 &amp; ";","")</f>
        <v/>
      </c>
      <c r="AE92" s="58">
        <f>IF(AND($H92="threat",$S92=0.5,$R92=0.05),$D92 &amp; ";","")</f>
        <v/>
      </c>
      <c r="AF92" s="58">
        <f>IF(AND($H92="threat",$S92=0.5,$R92=0.1),$D92 &amp; ";","")</f>
        <v/>
      </c>
      <c r="AG92" s="58">
        <f>IF(AND($H92="threat",$S92=0.5,$R92=0.2),$D92 &amp; ";","")</f>
        <v/>
      </c>
      <c r="AH92" s="58">
        <f>IF(AND($H92="threat",$S92=0.5,$R92=0.4),$D92 &amp; ";","")</f>
        <v/>
      </c>
      <c r="AI92" s="58">
        <f>IF(AND($H92="threat",$S92=0.5,$R92=0.8),$D92 &amp; ";","")</f>
        <v/>
      </c>
      <c r="AJ92" s="58">
        <f>IF(AND($H92="threat",$S92=0.3,$R92=0.05),$D92 &amp; ";","")</f>
        <v/>
      </c>
      <c r="AK92" s="58">
        <f>IF(AND($H92="threat",$S92=0.3,$R92=0.1),$D92 &amp; ";","")</f>
        <v/>
      </c>
      <c r="AL92" s="58">
        <f>IF(AND($H92="threat",$S92=0.3,$R92=0.2),$D92 &amp; ";","")</f>
        <v/>
      </c>
      <c r="AM92" s="58">
        <f>IF(AND($H92="threat",$S92=0.3,$R92=0.4),$D92 &amp; ";","")</f>
        <v/>
      </c>
      <c r="AN92" s="58">
        <f>IF(AND($H92="threat",$S92=0.3,$R92=0.8),$D92 &amp; ";","")</f>
        <v/>
      </c>
      <c r="AO92" s="58">
        <f>IF(AND($H92="threat",$S92=0.1,$R92=0.05),$D92 &amp; ";","")</f>
        <v/>
      </c>
      <c r="AP92" s="58">
        <f>IF(AND($H92="threat",$S92=0.1,$R92=0.1),$D92 &amp; ";","")</f>
        <v/>
      </c>
      <c r="AQ92" s="58">
        <f>IF(AND($H92="threat",$S92=0.1,$R92=0.2),$D92 &amp; ";","")</f>
        <v/>
      </c>
      <c r="AR92" s="58">
        <f>IF(AND($H92="threat",$S92=0.1,$R92=0.4),$D92 &amp; ";","")</f>
        <v/>
      </c>
      <c r="AS92" s="58">
        <f>IF(AND($H92="threat",$S92=0.1,$R92=0.8),$D92 &amp; ";","")</f>
        <v/>
      </c>
      <c r="AT92" s="39" t="n"/>
      <c r="AU92" s="58">
        <f>IF(AND($H92="opportunity",$S92=0.9,$R92=0.8),$D92 &amp; ";","")</f>
        <v/>
      </c>
      <c r="AV92" s="58">
        <f>IF(AND($H92="opportunity",$S92=0.9,$R92=0.4),$D92 &amp; ";","")</f>
        <v/>
      </c>
      <c r="AW92" s="58">
        <f>IF(AND($H92="opportunity",$S92=0.9,$R92=0.2),$D92 &amp; ";","")</f>
        <v/>
      </c>
      <c r="AX92" s="58">
        <f>IF(AND($H92="opportunity",$S92=0.9,$R92=0.1),$D92 &amp; ";","")</f>
        <v/>
      </c>
      <c r="AY92" s="58">
        <f>IF(AND($H92="opportunity",$S92=0.9,$R92=0.05),$D92 &amp; ";","")</f>
        <v/>
      </c>
      <c r="AZ92" s="58">
        <f>IF(AND($H92="opportunity",$S92=0.7,$R92=0.8),$D92 &amp; ";","")</f>
        <v/>
      </c>
      <c r="BA92" s="58">
        <f>IF(AND($H92="opportunity",$S92=0.7,$R92=0.4),$D92 &amp; ";","")</f>
        <v/>
      </c>
      <c r="BB92" s="58">
        <f>IF(AND($H92="opportunity",$S92=0.7,$R92=0.2),$D92 &amp; ";","")</f>
        <v/>
      </c>
      <c r="BC92" s="58">
        <f>IF(AND($H92="opportunity",$S92=0.7,$R92=0.1),$D92 &amp; ";","")</f>
        <v/>
      </c>
      <c r="BD92" s="58">
        <f>IF(AND($H92="opportunity",$S92=0.7,$R92=0.05),$D92 &amp; ";","")</f>
        <v/>
      </c>
      <c r="BE92" s="58">
        <f>IF(AND($H92="opportunity",$S92=0.5,$R92=0.8),$D92 &amp; ";","")</f>
        <v/>
      </c>
      <c r="BF92" s="58">
        <f>IF(AND($H92="opportunity",$S92=0.5,$R92=0.4),$D92 &amp; ";","")</f>
        <v/>
      </c>
      <c r="BG92" s="58">
        <f>IF(AND($H92="opportunity",$S92=0.5,$R92=0.2),$D92 &amp; ";","")</f>
        <v/>
      </c>
      <c r="BH92" s="58">
        <f>IF(AND($H92="opportunity",$S92=0.5,$R92=0.1),$D92 &amp; ";","")</f>
        <v/>
      </c>
      <c r="BI92" s="58">
        <f>IF(AND($H92="opportunity",$S92=0.5,$R92=0.05),$D92 &amp; ";","")</f>
        <v/>
      </c>
      <c r="BJ92" s="58">
        <f>IF(AND($H92="opportunity",$S92=0.3,$R92=0.8),$D92 &amp; ";","")</f>
        <v/>
      </c>
      <c r="BK92" s="58">
        <f>IF(AND($H92="opportunity",$S92=0.3,$R92=0.4),$D92 &amp; ";","")</f>
        <v/>
      </c>
      <c r="BL92" s="58">
        <f>IF(AND($H92="opportunity",$S92=0.3,$R92=0.2),$D92 &amp; ";","")</f>
        <v/>
      </c>
      <c r="BM92" s="58">
        <f>IF(AND($H92="opportunity",$S92=0.3,$R92=0.1),$D92 &amp; ";","")</f>
        <v/>
      </c>
      <c r="BN92" s="58">
        <f>IF(AND($H92="opportunity",$S92=0.3,$R92=0.05),$D92 &amp; ";","")</f>
        <v/>
      </c>
      <c r="BO92" s="58">
        <f>IF(AND($H92="opportunity",$S92=0.1,$R92=0.8),$D92 &amp; ";","")</f>
        <v/>
      </c>
      <c r="BP92" s="58">
        <f>IF(AND($H92="opportunity",$S92=0.1,$R92=0.4),$D92 &amp; ";","")</f>
        <v/>
      </c>
      <c r="BQ92" s="58">
        <f>IF(AND($H92="opportunity",$S92=0.1,$R92=0.2),$D92 &amp; ";","")</f>
        <v/>
      </c>
      <c r="BR92" s="58">
        <f>IF(AND($H92="opportunity",$S92=0.1,$R92=0.1),$D92 &amp; ";","")</f>
        <v/>
      </c>
      <c r="BS92" s="58">
        <f>IF(AND($H92="opportunity",$S92=0.1,$R92=0.05),$D92 &amp; ";","")</f>
        <v/>
      </c>
      <c r="BV92" s="57">
        <f>INDIRECT(ADDRESS(ROW()-22,COLUMN()-45,1,1,"Risk Register"))</f>
        <v/>
      </c>
      <c r="BW92" s="58">
        <f>INDIRECT(ADDRESS(ROW()-22,COLUMN()-44,1,1,"Risk Register"))</f>
        <v/>
      </c>
      <c r="BX92" s="59">
        <f>IF(AND($H92="threat",$P92&lt;=0.05),"gn",IF(AND($H92="threat",$P92&lt;=0.14),"y",IF(AND($H92="threat", $P92&gt;=0.15),"r",IF(AND($H92="opportunity",$P92&lt;=0.05),"gn",IF(AND($H92="opportunity",$P92&lt;=0.14),"lb",IF(AND($H92="opportunity",$P92&gt;=0.15),"db","z"))))))</f>
        <v/>
      </c>
      <c r="BY92" s="58">
        <f>IF(AND($H92="threat",$BW92=0.9,$BV92=0.05),$D92 &amp; ";","")</f>
        <v/>
      </c>
      <c r="BZ92" s="58">
        <f>IF(AND($H92="threat",$BW92=0.9,$BV92=0.1),$D92 &amp; ";","")</f>
        <v/>
      </c>
      <c r="CA92" s="58">
        <f>IF(AND($H92="threat",$BW92=0.9,$BV92=0.2),$D92 &amp; ";","")</f>
        <v/>
      </c>
      <c r="CB92" s="58">
        <f>IF(AND($H92="threat",$BW92=0.9,$BV92=0.4),$D92 &amp; ";","")</f>
        <v/>
      </c>
      <c r="CC92" s="58">
        <f>IF(AND($H92="threat",$BW92=0.9,$BV92=0.8),$D92 &amp; ";","")</f>
        <v/>
      </c>
      <c r="CD92" s="58">
        <f>IF(AND($H92="threat",$BW92=0.7,$BV92=0.05),$D92 &amp; ";","")</f>
        <v/>
      </c>
      <c r="CE92" s="58">
        <f>IF(AND($H92="threat",$BW92=0.7,$BV92=0.1),$D92 &amp; ";","")</f>
        <v/>
      </c>
      <c r="CF92" s="58">
        <f>IF(AND($H92="threat",$BW92=0.7,$BV92=0.2),$D92 &amp; ";","")</f>
        <v/>
      </c>
      <c r="CG92" s="58">
        <f>IF(AND($H92="threat",$BW92=0.7,$BV92=0.4),$D92 &amp; ";","")</f>
        <v/>
      </c>
      <c r="CH92" s="58">
        <f>IF(AND($H92="threat",$BW92=0.7,$BV92=0.8),$D92 &amp; ";","")</f>
        <v/>
      </c>
      <c r="CI92" s="58">
        <f>IF(AND($H92="threat",$BW92=0.5,$BV92=0.05),$D92 &amp; ";","")</f>
        <v/>
      </c>
      <c r="CJ92" s="58">
        <f>IF(AND($H92="threat",$BW92=0.5,$BV92=0.1),$D92 &amp; ";","")</f>
        <v/>
      </c>
      <c r="CK92" s="58">
        <f>IF(AND($H92="threat",$BW92=0.5,$BV92=0.2),$D92 &amp; ";","")</f>
        <v/>
      </c>
      <c r="CL92" s="58">
        <f>IF(AND($H92="threat",$BW92=0.5,$BV92=0.4),$D92 &amp; ";","")</f>
        <v/>
      </c>
      <c r="CM92" s="58">
        <f>IF(AND($H92="threat",$BW92=0.5,$BV92=0.8),$D92 &amp; ";","")</f>
        <v/>
      </c>
      <c r="CN92" s="58">
        <f>IF(AND($H92="threat",$BW92=0.3,$BV92=0.05),$D92 &amp; ";","")</f>
        <v/>
      </c>
      <c r="CO92" s="58">
        <f>IF(AND($H92="threat",$BW92=0.3,$BV92=0.1),$D92 &amp; ";","")</f>
        <v/>
      </c>
      <c r="CP92" s="58">
        <f>IF(AND($H92="threat",$BW92=0.3,$BV92=0.2),$D92 &amp; ";","")</f>
        <v/>
      </c>
      <c r="CQ92" s="58">
        <f>IF(AND($H92="threat",$BW92=0.3,$BV92=0.4),$D92 &amp; ";","")</f>
        <v/>
      </c>
      <c r="CR92" s="58">
        <f>IF(AND($H92="threat",$BW92=0.3,$BV92=0.8),$D92 &amp; ";","")</f>
        <v/>
      </c>
      <c r="CS92" s="58">
        <f>IF(AND($H92="threat",$BW92=0.1,$BV92=0.05),$D92 &amp; ";","")</f>
        <v/>
      </c>
      <c r="CT92" s="58">
        <f>IF(AND($H92="threat",$BW92=0.1,$BV92=0.1),$D92 &amp; ";","")</f>
        <v/>
      </c>
      <c r="CU92" s="58">
        <f>IF(AND($H92="threat",$BW92=0.1,$BV92=0.2),$D92 &amp; ";","")</f>
        <v/>
      </c>
      <c r="CV92" s="58">
        <f>IF(AND($H92="threat",$BW92=0.1,$BV92=0.4),$D92 &amp; ";","")</f>
        <v/>
      </c>
      <c r="CW92" s="58">
        <f>IF(AND($H92="threat",$BW92=0.1,$BV92=0.8),$D92 &amp; ";","")</f>
        <v/>
      </c>
      <c r="CX92" s="39" t="n"/>
      <c r="CY92" s="58">
        <f>IF(AND($H92="opportunity",$BW92=0.9,$BV92=0.8),$D92 &amp; ";","")</f>
        <v/>
      </c>
      <c r="CZ92" s="58">
        <f>IF(AND($H92="opportunity",$BW92=0.9,$BV92=0.4),$D92 &amp; ";","")</f>
        <v/>
      </c>
      <c r="DA92" s="58">
        <f>IF(AND($H92="opportunity",$BW92=0.9,$BV92=0.2),$D92 &amp; ";","")</f>
        <v/>
      </c>
      <c r="DB92" s="58">
        <f>IF(AND($H92="opportunity",$BW92=0.9,$BV92=0.1),$D92 &amp; ";","")</f>
        <v/>
      </c>
      <c r="DC92" s="58">
        <f>IF(AND($H92="opportunity",$BW92=0.9,$BV92=0.05),$D92 &amp; ";","")</f>
        <v/>
      </c>
      <c r="DD92" s="58">
        <f>IF(AND($H92="opportunity",$BW92=0.7,$BV92=0.8),$D92 &amp; ";","")</f>
        <v/>
      </c>
      <c r="DE92" s="58">
        <f>IF(AND($H92="opportunity",$BW92=0.7,$BV92=0.4),$D92 &amp; ";","")</f>
        <v/>
      </c>
      <c r="DF92" s="58">
        <f>IF(AND($H92="opportunity",$BW92=0.7,$BV92=0.2),$D92 &amp; ";","")</f>
        <v/>
      </c>
      <c r="DG92" s="58">
        <f>IF(AND($H92="opportunity",$BW92=0.7,$BV92=0.1),$D92 &amp; ";","")</f>
        <v/>
      </c>
      <c r="DH92" s="58">
        <f>IF(AND($H92="opportunity",$BW92=0.7,$BV92=0.05),$D92 &amp; ";","")</f>
        <v/>
      </c>
      <c r="DI92" s="58">
        <f>IF(AND($H92="opportunity",$BW92=0.5,$BV92=0.8),$D92 &amp; ";","")</f>
        <v/>
      </c>
      <c r="DJ92" s="58">
        <f>IF(AND($H92="opportunity",$BW92=0.5,$BV92=0.4),$D92 &amp; ";","")</f>
        <v/>
      </c>
      <c r="DK92" s="58">
        <f>IF(AND($H92="opportunity",$BW92=0.5,$BV92=0.2),$D92 &amp; ";","")</f>
        <v/>
      </c>
      <c r="DL92" s="58">
        <f>IF(AND($H92="opportunity",$BW92=0.5,$BV92=0.1),$D92 &amp; ";","")</f>
        <v/>
      </c>
      <c r="DM92" s="58">
        <f>IF(AND($H92="opportunity",$BW92=0.5,$BV92=0.05),$D92 &amp; ";","")</f>
        <v/>
      </c>
      <c r="DN92" s="58">
        <f>IF(AND($H92="opportunity",$BW92=0.3,$BV92=0.8),$D92 &amp; ";","")</f>
        <v/>
      </c>
      <c r="DO92" s="58">
        <f>IF(AND($H92="opportunity",$BW92=0.3,$BV92=0.4),$D92 &amp; ";","")</f>
        <v/>
      </c>
      <c r="DP92" s="58">
        <f>IF(AND($H92="opportunity",$BW92=0.3,$BV92=0.2),$D92 &amp; ";","")</f>
        <v/>
      </c>
      <c r="DQ92" s="58">
        <f>IF(AND($H92="opportunity",$BW92=0.3,$BV92=0.1),$D92 &amp; ";","")</f>
        <v/>
      </c>
      <c r="DR92" s="58">
        <f>IF(AND($H92="opportunity",$BW92=0.3,$BV92=0.05),$D92 &amp; ";","")</f>
        <v/>
      </c>
      <c r="DS92" s="58">
        <f>IF(AND($H92="opportunity",$BW92=0.1,$BV92=0.8),$D92 &amp; ";","")</f>
        <v/>
      </c>
      <c r="DT92" s="58">
        <f>IF(AND($H92="opportunity",$BW92=0.1,$BV92=0.4),$D92 &amp; ";","")</f>
        <v/>
      </c>
      <c r="DU92" s="58">
        <f>IF(AND($H92="opportunity",$BW92=0.1,$BV92=0.2),$D92 &amp; ";","")</f>
        <v/>
      </c>
      <c r="DV92" s="58">
        <f>IF(AND($H92="opportunity",$BW92=0.1,$BV92=0.1),$D92 &amp; ";","")</f>
        <v/>
      </c>
      <c r="DW92" s="58">
        <f>IF(AND($H92="opportunity",$BW92=0.1,$BV92=0.05),$D92 &amp; ";","")</f>
        <v/>
      </c>
    </row>
    <row r="93">
      <c r="D93" s="60">
        <f>INDIRECT(ADDRESS(ROW()-22,COLUMN()-2,1,1,"Risk Register"))</f>
        <v/>
      </c>
      <c r="E93" s="143">
        <f>INDIRECT(ADDRESS(ROW()-22,COLUMN()-1,1,1,"Risk Register"))</f>
        <v/>
      </c>
      <c r="G93" s="56">
        <f>INDIRECT(ADDRESS(ROW()-22,COLUMN()+10,1,1,"Risk Register"))</f>
        <v/>
      </c>
      <c r="H93" s="60">
        <f>INDIRECT(ADDRESS(ROW()-22,COLUMN()+8,1,1,"Risk Register"))</f>
        <v/>
      </c>
      <c r="I93" s="54">
        <f>INDIRECT(ADDRESS(ROW()-22,COLUMN()+3,1,1,"Risk Register"))</f>
        <v/>
      </c>
      <c r="J93" s="143">
        <f>INDIRECT(ADDRESS(ROW()-22,COLUMN()+12,1,1,"Risk Register"))</f>
        <v/>
      </c>
      <c r="K93" s="143">
        <f>INDIRECT(ADDRESS(ROW()-22,COLUMN()-2,1,1,"Risk Register"))</f>
        <v/>
      </c>
      <c r="L93" s="176">
        <f>INDIRECT(ADDRESS(ROW()-22,COLUMN()+15,1,1,"Risk Register"))</f>
        <v/>
      </c>
      <c r="M93" s="54">
        <f>INDIRECT(ADDRESS(ROW()-22,COLUMN()+13,1,1,"Risk Register"))</f>
        <v/>
      </c>
      <c r="N93" s="143">
        <f>INDIRECT(ADDRESS(ROW()-22,COLUMN()-9,1,1,"Risk Register"))</f>
        <v/>
      </c>
      <c r="O93" s="143">
        <f>INDIRECT(ADDRESS(ROW()-22,COLUMN()-8,1,1,"Risk Register"))</f>
        <v/>
      </c>
      <c r="P93" s="56">
        <f>INDIRECT(ADDRESS(ROW()-22,COLUMN()+18,1,1,"Risk Register"))</f>
        <v/>
      </c>
      <c r="R93" s="57">
        <f>INDIRECT(ADDRESS(ROW()-22,COLUMN()-5,1,1,"Risk Register"))</f>
        <v/>
      </c>
      <c r="S93" s="58">
        <f>INDIRECT(ADDRESS(ROW()-22,COLUMN()-4,1,1,"Risk Register"))</f>
        <v/>
      </c>
      <c r="T93" s="59">
        <f>IF(AND($H93="threat",$G93&lt;=0.05),"gn",IF(AND($H93="threat",$G93&lt;=0.14),"y",IF(AND($H93="threat", $G93&gt;=0.15),"r",IF(AND($H93="opportunity",$G93&lt;=0.05),"gn",IF(AND($H93="opportunity",$G93&lt;=0.14),"lb",IF(AND($H93="opportunity",$G93&gt;=0.15),"db","z"))))))</f>
        <v/>
      </c>
      <c r="U93" s="58">
        <f>IF(AND($H93="threat",$S93=0.9,$R93=0.05),$D93 &amp; ";","")</f>
        <v/>
      </c>
      <c r="V93" s="58">
        <f>IF(AND($H93="threat",$S93=0.9,$R93=0.1),$D93 &amp; ";","")</f>
        <v/>
      </c>
      <c r="W93" s="58">
        <f>IF(AND($H93="threat",$S93=0.9,$R93=0.2),$D93 &amp; ";","")</f>
        <v/>
      </c>
      <c r="X93" s="58">
        <f>IF(AND($H93="threat",$S93=0.9,$R93=0.4),$D93 &amp; ";","")</f>
        <v/>
      </c>
      <c r="Y93" s="58">
        <f>IF(AND($H93="threat",$S93=0.9,$R93=0.8),$D93 &amp; ";","")</f>
        <v/>
      </c>
      <c r="Z93" s="58">
        <f>IF(AND($H93="threat",$S93=0.7,$R93=0.05),$D93 &amp; ";","")</f>
        <v/>
      </c>
      <c r="AA93" s="58">
        <f>IF(AND($H93="threat",$S93=0.7,$R93=0.1),$D93 &amp; ";","")</f>
        <v/>
      </c>
      <c r="AB93" s="58">
        <f>IF(AND($H93="threat",$S93=0.7,$R93=0.2),$D93 &amp; ";","")</f>
        <v/>
      </c>
      <c r="AC93" s="58">
        <f>IF(AND($H93="threat",$S93=0.7,$R93=0.4),$D93 &amp; ";","")</f>
        <v/>
      </c>
      <c r="AD93" s="58">
        <f>IF(AND($H93="threat",$S93=0.7,$R93=0.8),$D93 &amp; ";","")</f>
        <v/>
      </c>
      <c r="AE93" s="58">
        <f>IF(AND($H93="threat",$S93=0.5,$R93=0.05),$D93 &amp; ";","")</f>
        <v/>
      </c>
      <c r="AF93" s="58">
        <f>IF(AND($H93="threat",$S93=0.5,$R93=0.1),$D93 &amp; ";","")</f>
        <v/>
      </c>
      <c r="AG93" s="58">
        <f>IF(AND($H93="threat",$S93=0.5,$R93=0.2),$D93 &amp; ";","")</f>
        <v/>
      </c>
      <c r="AH93" s="58">
        <f>IF(AND($H93="threat",$S93=0.5,$R93=0.4),$D93 &amp; ";","")</f>
        <v/>
      </c>
      <c r="AI93" s="58">
        <f>IF(AND($H93="threat",$S93=0.5,$R93=0.8),$D93 &amp; ";","")</f>
        <v/>
      </c>
      <c r="AJ93" s="58">
        <f>IF(AND($H93="threat",$S93=0.3,$R93=0.05),$D93 &amp; ";","")</f>
        <v/>
      </c>
      <c r="AK93" s="58">
        <f>IF(AND($H93="threat",$S93=0.3,$R93=0.1),$D93 &amp; ";","")</f>
        <v/>
      </c>
      <c r="AL93" s="58">
        <f>IF(AND($H93="threat",$S93=0.3,$R93=0.2),$D93 &amp; ";","")</f>
        <v/>
      </c>
      <c r="AM93" s="58">
        <f>IF(AND($H93="threat",$S93=0.3,$R93=0.4),$D93 &amp; ";","")</f>
        <v/>
      </c>
      <c r="AN93" s="58">
        <f>IF(AND($H93="threat",$S93=0.3,$R93=0.8),$D93 &amp; ";","")</f>
        <v/>
      </c>
      <c r="AO93" s="58">
        <f>IF(AND($H93="threat",$S93=0.1,$R93=0.05),$D93 &amp; ";","")</f>
        <v/>
      </c>
      <c r="AP93" s="58">
        <f>IF(AND($H93="threat",$S93=0.1,$R93=0.1),$D93 &amp; ";","")</f>
        <v/>
      </c>
      <c r="AQ93" s="58">
        <f>IF(AND($H93="threat",$S93=0.1,$R93=0.2),$D93 &amp; ";","")</f>
        <v/>
      </c>
      <c r="AR93" s="58">
        <f>IF(AND($H93="threat",$S93=0.1,$R93=0.4),$D93 &amp; ";","")</f>
        <v/>
      </c>
      <c r="AS93" s="58">
        <f>IF(AND($H93="threat",$S93=0.1,$R93=0.8),$D93 &amp; ";","")</f>
        <v/>
      </c>
      <c r="AT93" s="39" t="n"/>
      <c r="AU93" s="58">
        <f>IF(AND($H93="opportunity",$S93=0.9,$R93=0.8),$D93 &amp; ";","")</f>
        <v/>
      </c>
      <c r="AV93" s="58">
        <f>IF(AND($H93="opportunity",$S93=0.9,$R93=0.4),$D93 &amp; ";","")</f>
        <v/>
      </c>
      <c r="AW93" s="58">
        <f>IF(AND($H93="opportunity",$S93=0.9,$R93=0.2),$D93 &amp; ";","")</f>
        <v/>
      </c>
      <c r="AX93" s="58">
        <f>IF(AND($H93="opportunity",$S93=0.9,$R93=0.1),$D93 &amp; ";","")</f>
        <v/>
      </c>
      <c r="AY93" s="58">
        <f>IF(AND($H93="opportunity",$S93=0.9,$R93=0.05),$D93 &amp; ";","")</f>
        <v/>
      </c>
      <c r="AZ93" s="58">
        <f>IF(AND($H93="opportunity",$S93=0.7,$R93=0.8),$D93 &amp; ";","")</f>
        <v/>
      </c>
      <c r="BA93" s="58">
        <f>IF(AND($H93="opportunity",$S93=0.7,$R93=0.4),$D93 &amp; ";","")</f>
        <v/>
      </c>
      <c r="BB93" s="58">
        <f>IF(AND($H93="opportunity",$S93=0.7,$R93=0.2),$D93 &amp; ";","")</f>
        <v/>
      </c>
      <c r="BC93" s="58">
        <f>IF(AND($H93="opportunity",$S93=0.7,$R93=0.1),$D93 &amp; ";","")</f>
        <v/>
      </c>
      <c r="BD93" s="58">
        <f>IF(AND($H93="opportunity",$S93=0.7,$R93=0.05),$D93 &amp; ";","")</f>
        <v/>
      </c>
      <c r="BE93" s="58">
        <f>IF(AND($H93="opportunity",$S93=0.5,$R93=0.8),$D93 &amp; ";","")</f>
        <v/>
      </c>
      <c r="BF93" s="58">
        <f>IF(AND($H93="opportunity",$S93=0.5,$R93=0.4),$D93 &amp; ";","")</f>
        <v/>
      </c>
      <c r="BG93" s="58">
        <f>IF(AND($H93="opportunity",$S93=0.5,$R93=0.2),$D93 &amp; ";","")</f>
        <v/>
      </c>
      <c r="BH93" s="58">
        <f>IF(AND($H93="opportunity",$S93=0.5,$R93=0.1),$D93 &amp; ";","")</f>
        <v/>
      </c>
      <c r="BI93" s="58">
        <f>IF(AND($H93="opportunity",$S93=0.5,$R93=0.05),$D93 &amp; ";","")</f>
        <v/>
      </c>
      <c r="BJ93" s="58">
        <f>IF(AND($H93="opportunity",$S93=0.3,$R93=0.8),$D93 &amp; ";","")</f>
        <v/>
      </c>
      <c r="BK93" s="58">
        <f>IF(AND($H93="opportunity",$S93=0.3,$R93=0.4),$D93 &amp; ";","")</f>
        <v/>
      </c>
      <c r="BL93" s="58">
        <f>IF(AND($H93="opportunity",$S93=0.3,$R93=0.2),$D93 &amp; ";","")</f>
        <v/>
      </c>
      <c r="BM93" s="58">
        <f>IF(AND($H93="opportunity",$S93=0.3,$R93=0.1),$D93 &amp; ";","")</f>
        <v/>
      </c>
      <c r="BN93" s="58">
        <f>IF(AND($H93="opportunity",$S93=0.3,$R93=0.05),$D93 &amp; ";","")</f>
        <v/>
      </c>
      <c r="BO93" s="58">
        <f>IF(AND($H93="opportunity",$S93=0.1,$R93=0.8),$D93 &amp; ";","")</f>
        <v/>
      </c>
      <c r="BP93" s="58">
        <f>IF(AND($H93="opportunity",$S93=0.1,$R93=0.4),$D93 &amp; ";","")</f>
        <v/>
      </c>
      <c r="BQ93" s="58">
        <f>IF(AND($H93="opportunity",$S93=0.1,$R93=0.2),$D93 &amp; ";","")</f>
        <v/>
      </c>
      <c r="BR93" s="58">
        <f>IF(AND($H93="opportunity",$S93=0.1,$R93=0.1),$D93 &amp; ";","")</f>
        <v/>
      </c>
      <c r="BS93" s="58">
        <f>IF(AND($H93="opportunity",$S93=0.1,$R93=0.05),$D93 &amp; ";","")</f>
        <v/>
      </c>
      <c r="BV93" s="57">
        <f>INDIRECT(ADDRESS(ROW()-22,COLUMN()-45,1,1,"Risk Register"))</f>
        <v/>
      </c>
      <c r="BW93" s="58">
        <f>INDIRECT(ADDRESS(ROW()-22,COLUMN()-44,1,1,"Risk Register"))</f>
        <v/>
      </c>
      <c r="BX93" s="59">
        <f>IF(AND($H93="threat",$P93&lt;=0.05),"gn",IF(AND($H93="threat",$P93&lt;=0.14),"y",IF(AND($H93="threat", $P93&gt;=0.15),"r",IF(AND($H93="opportunity",$P93&lt;=0.05),"gn",IF(AND($H93="opportunity",$P93&lt;=0.14),"lb",IF(AND($H93="opportunity",$P93&gt;=0.15),"db","z"))))))</f>
        <v/>
      </c>
      <c r="BY93" s="58">
        <f>IF(AND($H93="threat",$BW93=0.9,$BV93=0.05),$D93 &amp; ";","")</f>
        <v/>
      </c>
      <c r="BZ93" s="58">
        <f>IF(AND($H93="threat",$BW93=0.9,$BV93=0.1),$D93 &amp; ";","")</f>
        <v/>
      </c>
      <c r="CA93" s="58">
        <f>IF(AND($H93="threat",$BW93=0.9,$BV93=0.2),$D93 &amp; ";","")</f>
        <v/>
      </c>
      <c r="CB93" s="58">
        <f>IF(AND($H93="threat",$BW93=0.9,$BV93=0.4),$D93 &amp; ";","")</f>
        <v/>
      </c>
      <c r="CC93" s="58">
        <f>IF(AND($H93="threat",$BW93=0.9,$BV93=0.8),$D93 &amp; ";","")</f>
        <v/>
      </c>
      <c r="CD93" s="58">
        <f>IF(AND($H93="threat",$BW93=0.7,$BV93=0.05),$D93 &amp; ";","")</f>
        <v/>
      </c>
      <c r="CE93" s="58">
        <f>IF(AND($H93="threat",$BW93=0.7,$BV93=0.1),$D93 &amp; ";","")</f>
        <v/>
      </c>
      <c r="CF93" s="58">
        <f>IF(AND($H93="threat",$BW93=0.7,$BV93=0.2),$D93 &amp; ";","")</f>
        <v/>
      </c>
      <c r="CG93" s="58">
        <f>IF(AND($H93="threat",$BW93=0.7,$BV93=0.4),$D93 &amp; ";","")</f>
        <v/>
      </c>
      <c r="CH93" s="58">
        <f>IF(AND($H93="threat",$BW93=0.7,$BV93=0.8),$D93 &amp; ";","")</f>
        <v/>
      </c>
      <c r="CI93" s="58">
        <f>IF(AND($H93="threat",$BW93=0.5,$BV93=0.05),$D93 &amp; ";","")</f>
        <v/>
      </c>
      <c r="CJ93" s="58">
        <f>IF(AND($H93="threat",$BW93=0.5,$BV93=0.1),$D93 &amp; ";","")</f>
        <v/>
      </c>
      <c r="CK93" s="58">
        <f>IF(AND($H93="threat",$BW93=0.5,$BV93=0.2),$D93 &amp; ";","")</f>
        <v/>
      </c>
      <c r="CL93" s="58">
        <f>IF(AND($H93="threat",$BW93=0.5,$BV93=0.4),$D93 &amp; ";","")</f>
        <v/>
      </c>
      <c r="CM93" s="58">
        <f>IF(AND($H93="threat",$BW93=0.5,$BV93=0.8),$D93 &amp; ";","")</f>
        <v/>
      </c>
      <c r="CN93" s="58">
        <f>IF(AND($H93="threat",$BW93=0.3,$BV93=0.05),$D93 &amp; ";","")</f>
        <v/>
      </c>
      <c r="CO93" s="58">
        <f>IF(AND($H93="threat",$BW93=0.3,$BV93=0.1),$D93 &amp; ";","")</f>
        <v/>
      </c>
      <c r="CP93" s="58">
        <f>IF(AND($H93="threat",$BW93=0.3,$BV93=0.2),$D93 &amp; ";","")</f>
        <v/>
      </c>
      <c r="CQ93" s="58">
        <f>IF(AND($H93="threat",$BW93=0.3,$BV93=0.4),$D93 &amp; ";","")</f>
        <v/>
      </c>
      <c r="CR93" s="58">
        <f>IF(AND($H93="threat",$BW93=0.3,$BV93=0.8),$D93 &amp; ";","")</f>
        <v/>
      </c>
      <c r="CS93" s="58">
        <f>IF(AND($H93="threat",$BW93=0.1,$BV93=0.05),$D93 &amp; ";","")</f>
        <v/>
      </c>
      <c r="CT93" s="58">
        <f>IF(AND($H93="threat",$BW93=0.1,$BV93=0.1),$D93 &amp; ";","")</f>
        <v/>
      </c>
      <c r="CU93" s="58">
        <f>IF(AND($H93="threat",$BW93=0.1,$BV93=0.2),$D93 &amp; ";","")</f>
        <v/>
      </c>
      <c r="CV93" s="58">
        <f>IF(AND($H93="threat",$BW93=0.1,$BV93=0.4),$D93 &amp; ";","")</f>
        <v/>
      </c>
      <c r="CW93" s="58">
        <f>IF(AND($H93="threat",$BW93=0.1,$BV93=0.8),$D93 &amp; ";","")</f>
        <v/>
      </c>
      <c r="CX93" s="39" t="n"/>
      <c r="CY93" s="58">
        <f>IF(AND($H93="opportunity",$BW93=0.9,$BV93=0.8),$D93 &amp; ";","")</f>
        <v/>
      </c>
      <c r="CZ93" s="58">
        <f>IF(AND($H93="opportunity",$BW93=0.9,$BV93=0.4),$D93 &amp; ";","")</f>
        <v/>
      </c>
      <c r="DA93" s="58">
        <f>IF(AND($H93="opportunity",$BW93=0.9,$BV93=0.2),$D93 &amp; ";","")</f>
        <v/>
      </c>
      <c r="DB93" s="58">
        <f>IF(AND($H93="opportunity",$BW93=0.9,$BV93=0.1),$D93 &amp; ";","")</f>
        <v/>
      </c>
      <c r="DC93" s="58">
        <f>IF(AND($H93="opportunity",$BW93=0.9,$BV93=0.05),$D93 &amp; ";","")</f>
        <v/>
      </c>
      <c r="DD93" s="58">
        <f>IF(AND($H93="opportunity",$BW93=0.7,$BV93=0.8),$D93 &amp; ";","")</f>
        <v/>
      </c>
      <c r="DE93" s="58">
        <f>IF(AND($H93="opportunity",$BW93=0.7,$BV93=0.4),$D93 &amp; ";","")</f>
        <v/>
      </c>
      <c r="DF93" s="58">
        <f>IF(AND($H93="opportunity",$BW93=0.7,$BV93=0.2),$D93 &amp; ";","")</f>
        <v/>
      </c>
      <c r="DG93" s="58">
        <f>IF(AND($H93="opportunity",$BW93=0.7,$BV93=0.1),$D93 &amp; ";","")</f>
        <v/>
      </c>
      <c r="DH93" s="58">
        <f>IF(AND($H93="opportunity",$BW93=0.7,$BV93=0.05),$D93 &amp; ";","")</f>
        <v/>
      </c>
      <c r="DI93" s="58">
        <f>IF(AND($H93="opportunity",$BW93=0.5,$BV93=0.8),$D93 &amp; ";","")</f>
        <v/>
      </c>
      <c r="DJ93" s="58">
        <f>IF(AND($H93="opportunity",$BW93=0.5,$BV93=0.4),$D93 &amp; ";","")</f>
        <v/>
      </c>
      <c r="DK93" s="58">
        <f>IF(AND($H93="opportunity",$BW93=0.5,$BV93=0.2),$D93 &amp; ";","")</f>
        <v/>
      </c>
      <c r="DL93" s="58">
        <f>IF(AND($H93="opportunity",$BW93=0.5,$BV93=0.1),$D93 &amp; ";","")</f>
        <v/>
      </c>
      <c r="DM93" s="58">
        <f>IF(AND($H93="opportunity",$BW93=0.5,$BV93=0.05),$D93 &amp; ";","")</f>
        <v/>
      </c>
      <c r="DN93" s="58">
        <f>IF(AND($H93="opportunity",$BW93=0.3,$BV93=0.8),$D93 &amp; ";","")</f>
        <v/>
      </c>
      <c r="DO93" s="58">
        <f>IF(AND($H93="opportunity",$BW93=0.3,$BV93=0.4),$D93 &amp; ";","")</f>
        <v/>
      </c>
      <c r="DP93" s="58">
        <f>IF(AND($H93="opportunity",$BW93=0.3,$BV93=0.2),$D93 &amp; ";","")</f>
        <v/>
      </c>
      <c r="DQ93" s="58">
        <f>IF(AND($H93="opportunity",$BW93=0.3,$BV93=0.1),$D93 &amp; ";","")</f>
        <v/>
      </c>
      <c r="DR93" s="58">
        <f>IF(AND($H93="opportunity",$BW93=0.3,$BV93=0.05),$D93 &amp; ";","")</f>
        <v/>
      </c>
      <c r="DS93" s="58">
        <f>IF(AND($H93="opportunity",$BW93=0.1,$BV93=0.8),$D93 &amp; ";","")</f>
        <v/>
      </c>
      <c r="DT93" s="58">
        <f>IF(AND($H93="opportunity",$BW93=0.1,$BV93=0.4),$D93 &amp; ";","")</f>
        <v/>
      </c>
      <c r="DU93" s="58">
        <f>IF(AND($H93="opportunity",$BW93=0.1,$BV93=0.2),$D93 &amp; ";","")</f>
        <v/>
      </c>
      <c r="DV93" s="58">
        <f>IF(AND($H93="opportunity",$BW93=0.1,$BV93=0.1),$D93 &amp; ";","")</f>
        <v/>
      </c>
      <c r="DW93" s="58">
        <f>IF(AND($H93="opportunity",$BW93=0.1,$BV93=0.05),$D93 &amp; ";","")</f>
        <v/>
      </c>
    </row>
    <row r="94">
      <c r="D94" s="60">
        <f>INDIRECT(ADDRESS(ROW()-22,COLUMN()-2,1,1,"Risk Register"))</f>
        <v/>
      </c>
      <c r="E94" s="143">
        <f>INDIRECT(ADDRESS(ROW()-22,COLUMN()-1,1,1,"Risk Register"))</f>
        <v/>
      </c>
      <c r="G94" s="56">
        <f>INDIRECT(ADDRESS(ROW()-22,COLUMN()+10,1,1,"Risk Register"))</f>
        <v/>
      </c>
      <c r="H94" s="60">
        <f>INDIRECT(ADDRESS(ROW()-22,COLUMN()+8,1,1,"Risk Register"))</f>
        <v/>
      </c>
      <c r="I94" s="54">
        <f>INDIRECT(ADDRESS(ROW()-22,COLUMN()+3,1,1,"Risk Register"))</f>
        <v/>
      </c>
      <c r="J94" s="143">
        <f>INDIRECT(ADDRESS(ROW()-22,COLUMN()+12,1,1,"Risk Register"))</f>
        <v/>
      </c>
      <c r="K94" s="143">
        <f>INDIRECT(ADDRESS(ROW()-22,COLUMN()-2,1,1,"Risk Register"))</f>
        <v/>
      </c>
      <c r="L94" s="176">
        <f>INDIRECT(ADDRESS(ROW()-22,COLUMN()+15,1,1,"Risk Register"))</f>
        <v/>
      </c>
      <c r="M94" s="54">
        <f>INDIRECT(ADDRESS(ROW()-22,COLUMN()+13,1,1,"Risk Register"))</f>
        <v/>
      </c>
      <c r="N94" s="143">
        <f>INDIRECT(ADDRESS(ROW()-22,COLUMN()-9,1,1,"Risk Register"))</f>
        <v/>
      </c>
      <c r="O94" s="143">
        <f>INDIRECT(ADDRESS(ROW()-22,COLUMN()-8,1,1,"Risk Register"))</f>
        <v/>
      </c>
      <c r="P94" s="56">
        <f>INDIRECT(ADDRESS(ROW()-22,COLUMN()+18,1,1,"Risk Register"))</f>
        <v/>
      </c>
      <c r="R94" s="57">
        <f>INDIRECT(ADDRESS(ROW()-22,COLUMN()-5,1,1,"Risk Register"))</f>
        <v/>
      </c>
      <c r="S94" s="58">
        <f>INDIRECT(ADDRESS(ROW()-22,COLUMN()-4,1,1,"Risk Register"))</f>
        <v/>
      </c>
      <c r="T94" s="59">
        <f>IF(AND($H94="threat",$G94&lt;=0.05),"gn",IF(AND($H94="threat",$G94&lt;=0.14),"y",IF(AND($H94="threat", $G94&gt;=0.15),"r",IF(AND($H94="opportunity",$G94&lt;=0.05),"gn",IF(AND($H94="opportunity",$G94&lt;=0.14),"lb",IF(AND($H94="opportunity",$G94&gt;=0.15),"db","z"))))))</f>
        <v/>
      </c>
      <c r="U94" s="58">
        <f>IF(AND($H94="threat",$S94=0.9,$R94=0.05),$D94 &amp; ";","")</f>
        <v/>
      </c>
      <c r="V94" s="58">
        <f>IF(AND($H94="threat",$S94=0.9,$R94=0.1),$D94 &amp; ";","")</f>
        <v/>
      </c>
      <c r="W94" s="58">
        <f>IF(AND($H94="threat",$S94=0.9,$R94=0.2),$D94 &amp; ";","")</f>
        <v/>
      </c>
      <c r="X94" s="58">
        <f>IF(AND($H94="threat",$S94=0.9,$R94=0.4),$D94 &amp; ";","")</f>
        <v/>
      </c>
      <c r="Y94" s="58">
        <f>IF(AND($H94="threat",$S94=0.9,$R94=0.8),$D94 &amp; ";","")</f>
        <v/>
      </c>
      <c r="Z94" s="58">
        <f>IF(AND($H94="threat",$S94=0.7,$R94=0.05),$D94 &amp; ";","")</f>
        <v/>
      </c>
      <c r="AA94" s="58">
        <f>IF(AND($H94="threat",$S94=0.7,$R94=0.1),$D94 &amp; ";","")</f>
        <v/>
      </c>
      <c r="AB94" s="58">
        <f>IF(AND($H94="threat",$S94=0.7,$R94=0.2),$D94 &amp; ";","")</f>
        <v/>
      </c>
      <c r="AC94" s="58">
        <f>IF(AND($H94="threat",$S94=0.7,$R94=0.4),$D94 &amp; ";","")</f>
        <v/>
      </c>
      <c r="AD94" s="58">
        <f>IF(AND($H94="threat",$S94=0.7,$R94=0.8),$D94 &amp; ";","")</f>
        <v/>
      </c>
      <c r="AE94" s="58">
        <f>IF(AND($H94="threat",$S94=0.5,$R94=0.05),$D94 &amp; ";","")</f>
        <v/>
      </c>
      <c r="AF94" s="58">
        <f>IF(AND($H94="threat",$S94=0.5,$R94=0.1),$D94 &amp; ";","")</f>
        <v/>
      </c>
      <c r="AG94" s="58">
        <f>IF(AND($H94="threat",$S94=0.5,$R94=0.2),$D94 &amp; ";","")</f>
        <v/>
      </c>
      <c r="AH94" s="58">
        <f>IF(AND($H94="threat",$S94=0.5,$R94=0.4),$D94 &amp; ";","")</f>
        <v/>
      </c>
      <c r="AI94" s="58">
        <f>IF(AND($H94="threat",$S94=0.5,$R94=0.8),$D94 &amp; ";","")</f>
        <v/>
      </c>
      <c r="AJ94" s="58">
        <f>IF(AND($H94="threat",$S94=0.3,$R94=0.05),$D94 &amp; ";","")</f>
        <v/>
      </c>
      <c r="AK94" s="58">
        <f>IF(AND($H94="threat",$S94=0.3,$R94=0.1),$D94 &amp; ";","")</f>
        <v/>
      </c>
      <c r="AL94" s="58">
        <f>IF(AND($H94="threat",$S94=0.3,$R94=0.2),$D94 &amp; ";","")</f>
        <v/>
      </c>
      <c r="AM94" s="58">
        <f>IF(AND($H94="threat",$S94=0.3,$R94=0.4),$D94 &amp; ";","")</f>
        <v/>
      </c>
      <c r="AN94" s="58">
        <f>IF(AND($H94="threat",$S94=0.3,$R94=0.8),$D94 &amp; ";","")</f>
        <v/>
      </c>
      <c r="AO94" s="58">
        <f>IF(AND($H94="threat",$S94=0.1,$R94=0.05),$D94 &amp; ";","")</f>
        <v/>
      </c>
      <c r="AP94" s="58">
        <f>IF(AND($H94="threat",$S94=0.1,$R94=0.1),$D94 &amp; ";","")</f>
        <v/>
      </c>
      <c r="AQ94" s="58">
        <f>IF(AND($H94="threat",$S94=0.1,$R94=0.2),$D94 &amp; ";","")</f>
        <v/>
      </c>
      <c r="AR94" s="58">
        <f>IF(AND($H94="threat",$S94=0.1,$R94=0.4),$D94 &amp; ";","")</f>
        <v/>
      </c>
      <c r="AS94" s="58">
        <f>IF(AND($H94="threat",$S94=0.1,$R94=0.8),$D94 &amp; ";","")</f>
        <v/>
      </c>
      <c r="AT94" s="39" t="n"/>
      <c r="AU94" s="58">
        <f>IF(AND($H94="opportunity",$S94=0.9,$R94=0.8),$D94 &amp; ";","")</f>
        <v/>
      </c>
      <c r="AV94" s="58">
        <f>IF(AND($H94="opportunity",$S94=0.9,$R94=0.4),$D94 &amp; ";","")</f>
        <v/>
      </c>
      <c r="AW94" s="58">
        <f>IF(AND($H94="opportunity",$S94=0.9,$R94=0.2),$D94 &amp; ";","")</f>
        <v/>
      </c>
      <c r="AX94" s="58">
        <f>IF(AND($H94="opportunity",$S94=0.9,$R94=0.1),$D94 &amp; ";","")</f>
        <v/>
      </c>
      <c r="AY94" s="58">
        <f>IF(AND($H94="opportunity",$S94=0.9,$R94=0.05),$D94 &amp; ";","")</f>
        <v/>
      </c>
      <c r="AZ94" s="58">
        <f>IF(AND($H94="opportunity",$S94=0.7,$R94=0.8),$D94 &amp; ";","")</f>
        <v/>
      </c>
      <c r="BA94" s="58">
        <f>IF(AND($H94="opportunity",$S94=0.7,$R94=0.4),$D94 &amp; ";","")</f>
        <v/>
      </c>
      <c r="BB94" s="58">
        <f>IF(AND($H94="opportunity",$S94=0.7,$R94=0.2),$D94 &amp; ";","")</f>
        <v/>
      </c>
      <c r="BC94" s="58">
        <f>IF(AND($H94="opportunity",$S94=0.7,$R94=0.1),$D94 &amp; ";","")</f>
        <v/>
      </c>
      <c r="BD94" s="58">
        <f>IF(AND($H94="opportunity",$S94=0.7,$R94=0.05),$D94 &amp; ";","")</f>
        <v/>
      </c>
      <c r="BE94" s="58">
        <f>IF(AND($H94="opportunity",$S94=0.5,$R94=0.8),$D94 &amp; ";","")</f>
        <v/>
      </c>
      <c r="BF94" s="58">
        <f>IF(AND($H94="opportunity",$S94=0.5,$R94=0.4),$D94 &amp; ";","")</f>
        <v/>
      </c>
      <c r="BG94" s="58">
        <f>IF(AND($H94="opportunity",$S94=0.5,$R94=0.2),$D94 &amp; ";","")</f>
        <v/>
      </c>
      <c r="BH94" s="58">
        <f>IF(AND($H94="opportunity",$S94=0.5,$R94=0.1),$D94 &amp; ";","")</f>
        <v/>
      </c>
      <c r="BI94" s="58">
        <f>IF(AND($H94="opportunity",$S94=0.5,$R94=0.05),$D94 &amp; ";","")</f>
        <v/>
      </c>
      <c r="BJ94" s="58">
        <f>IF(AND($H94="opportunity",$S94=0.3,$R94=0.8),$D94 &amp; ";","")</f>
        <v/>
      </c>
      <c r="BK94" s="58">
        <f>IF(AND($H94="opportunity",$S94=0.3,$R94=0.4),$D94 &amp; ";","")</f>
        <v/>
      </c>
      <c r="BL94" s="58">
        <f>IF(AND($H94="opportunity",$S94=0.3,$R94=0.2),$D94 &amp; ";","")</f>
        <v/>
      </c>
      <c r="BM94" s="58">
        <f>IF(AND($H94="opportunity",$S94=0.3,$R94=0.1),$D94 &amp; ";","")</f>
        <v/>
      </c>
      <c r="BN94" s="58">
        <f>IF(AND($H94="opportunity",$S94=0.3,$R94=0.05),$D94 &amp; ";","")</f>
        <v/>
      </c>
      <c r="BO94" s="58">
        <f>IF(AND($H94="opportunity",$S94=0.1,$R94=0.8),$D94 &amp; ";","")</f>
        <v/>
      </c>
      <c r="BP94" s="58">
        <f>IF(AND($H94="opportunity",$S94=0.1,$R94=0.4),$D94 &amp; ";","")</f>
        <v/>
      </c>
      <c r="BQ94" s="58">
        <f>IF(AND($H94="opportunity",$S94=0.1,$R94=0.2),$D94 &amp; ";","")</f>
        <v/>
      </c>
      <c r="BR94" s="58">
        <f>IF(AND($H94="opportunity",$S94=0.1,$R94=0.1),$D94 &amp; ";","")</f>
        <v/>
      </c>
      <c r="BS94" s="58">
        <f>IF(AND($H94="opportunity",$S94=0.1,$R94=0.05),$D94 &amp; ";","")</f>
        <v/>
      </c>
      <c r="BV94" s="57">
        <f>INDIRECT(ADDRESS(ROW()-22,COLUMN()-45,1,1,"Risk Register"))</f>
        <v/>
      </c>
      <c r="BW94" s="58">
        <f>INDIRECT(ADDRESS(ROW()-22,COLUMN()-44,1,1,"Risk Register"))</f>
        <v/>
      </c>
      <c r="BX94" s="59">
        <f>IF(AND($H94="threat",$P94&lt;=0.05),"gn",IF(AND($H94="threat",$P94&lt;=0.14),"y",IF(AND($H94="threat", $P94&gt;=0.15),"r",IF(AND($H94="opportunity",$P94&lt;=0.05),"gn",IF(AND($H94="opportunity",$P94&lt;=0.14),"lb",IF(AND($H94="opportunity",$P94&gt;=0.15),"db","z"))))))</f>
        <v/>
      </c>
      <c r="BY94" s="58">
        <f>IF(AND($H94="threat",$BW94=0.9,$BV94=0.05),$D94 &amp; ";","")</f>
        <v/>
      </c>
      <c r="BZ94" s="58">
        <f>IF(AND($H94="threat",$BW94=0.9,$BV94=0.1),$D94 &amp; ";","")</f>
        <v/>
      </c>
      <c r="CA94" s="58">
        <f>IF(AND($H94="threat",$BW94=0.9,$BV94=0.2),$D94 &amp; ";","")</f>
        <v/>
      </c>
      <c r="CB94" s="58">
        <f>IF(AND($H94="threat",$BW94=0.9,$BV94=0.4),$D94 &amp; ";","")</f>
        <v/>
      </c>
      <c r="CC94" s="58">
        <f>IF(AND($H94="threat",$BW94=0.9,$BV94=0.8),$D94 &amp; ";","")</f>
        <v/>
      </c>
      <c r="CD94" s="58">
        <f>IF(AND($H94="threat",$BW94=0.7,$BV94=0.05),$D94 &amp; ";","")</f>
        <v/>
      </c>
      <c r="CE94" s="58">
        <f>IF(AND($H94="threat",$BW94=0.7,$BV94=0.1),$D94 &amp; ";","")</f>
        <v/>
      </c>
      <c r="CF94" s="58">
        <f>IF(AND($H94="threat",$BW94=0.7,$BV94=0.2),$D94 &amp; ";","")</f>
        <v/>
      </c>
      <c r="CG94" s="58">
        <f>IF(AND($H94="threat",$BW94=0.7,$BV94=0.4),$D94 &amp; ";","")</f>
        <v/>
      </c>
      <c r="CH94" s="58">
        <f>IF(AND($H94="threat",$BW94=0.7,$BV94=0.8),$D94 &amp; ";","")</f>
        <v/>
      </c>
      <c r="CI94" s="58">
        <f>IF(AND($H94="threat",$BW94=0.5,$BV94=0.05),$D94 &amp; ";","")</f>
        <v/>
      </c>
      <c r="CJ94" s="58">
        <f>IF(AND($H94="threat",$BW94=0.5,$BV94=0.1),$D94 &amp; ";","")</f>
        <v/>
      </c>
      <c r="CK94" s="58">
        <f>IF(AND($H94="threat",$BW94=0.5,$BV94=0.2),$D94 &amp; ";","")</f>
        <v/>
      </c>
      <c r="CL94" s="58">
        <f>IF(AND($H94="threat",$BW94=0.5,$BV94=0.4),$D94 &amp; ";","")</f>
        <v/>
      </c>
      <c r="CM94" s="58">
        <f>IF(AND($H94="threat",$BW94=0.5,$BV94=0.8),$D94 &amp; ";","")</f>
        <v/>
      </c>
      <c r="CN94" s="58">
        <f>IF(AND($H94="threat",$BW94=0.3,$BV94=0.05),$D94 &amp; ";","")</f>
        <v/>
      </c>
      <c r="CO94" s="58">
        <f>IF(AND($H94="threat",$BW94=0.3,$BV94=0.1),$D94 &amp; ";","")</f>
        <v/>
      </c>
      <c r="CP94" s="58">
        <f>IF(AND($H94="threat",$BW94=0.3,$BV94=0.2),$D94 &amp; ";","")</f>
        <v/>
      </c>
      <c r="CQ94" s="58">
        <f>IF(AND($H94="threat",$BW94=0.3,$BV94=0.4),$D94 &amp; ";","")</f>
        <v/>
      </c>
      <c r="CR94" s="58">
        <f>IF(AND($H94="threat",$BW94=0.3,$BV94=0.8),$D94 &amp; ";","")</f>
        <v/>
      </c>
      <c r="CS94" s="58">
        <f>IF(AND($H94="threat",$BW94=0.1,$BV94=0.05),$D94 &amp; ";","")</f>
        <v/>
      </c>
      <c r="CT94" s="58">
        <f>IF(AND($H94="threat",$BW94=0.1,$BV94=0.1),$D94 &amp; ";","")</f>
        <v/>
      </c>
      <c r="CU94" s="58">
        <f>IF(AND($H94="threat",$BW94=0.1,$BV94=0.2),$D94 &amp; ";","")</f>
        <v/>
      </c>
      <c r="CV94" s="58">
        <f>IF(AND($H94="threat",$BW94=0.1,$BV94=0.4),$D94 &amp; ";","")</f>
        <v/>
      </c>
      <c r="CW94" s="58">
        <f>IF(AND($H94="threat",$BW94=0.1,$BV94=0.8),$D94 &amp; ";","")</f>
        <v/>
      </c>
      <c r="CX94" s="39" t="n"/>
      <c r="CY94" s="58">
        <f>IF(AND($H94="opportunity",$BW94=0.9,$BV94=0.8),$D94 &amp; ";","")</f>
        <v/>
      </c>
      <c r="CZ94" s="58">
        <f>IF(AND($H94="opportunity",$BW94=0.9,$BV94=0.4),$D94 &amp; ";","")</f>
        <v/>
      </c>
      <c r="DA94" s="58">
        <f>IF(AND($H94="opportunity",$BW94=0.9,$BV94=0.2),$D94 &amp; ";","")</f>
        <v/>
      </c>
      <c r="DB94" s="58">
        <f>IF(AND($H94="opportunity",$BW94=0.9,$BV94=0.1),$D94 &amp; ";","")</f>
        <v/>
      </c>
      <c r="DC94" s="58">
        <f>IF(AND($H94="opportunity",$BW94=0.9,$BV94=0.05),$D94 &amp; ";","")</f>
        <v/>
      </c>
      <c r="DD94" s="58">
        <f>IF(AND($H94="opportunity",$BW94=0.7,$BV94=0.8),$D94 &amp; ";","")</f>
        <v/>
      </c>
      <c r="DE94" s="58">
        <f>IF(AND($H94="opportunity",$BW94=0.7,$BV94=0.4),$D94 &amp; ";","")</f>
        <v/>
      </c>
      <c r="DF94" s="58">
        <f>IF(AND($H94="opportunity",$BW94=0.7,$BV94=0.2),$D94 &amp; ";","")</f>
        <v/>
      </c>
      <c r="DG94" s="58">
        <f>IF(AND($H94="opportunity",$BW94=0.7,$BV94=0.1),$D94 &amp; ";","")</f>
        <v/>
      </c>
      <c r="DH94" s="58">
        <f>IF(AND($H94="opportunity",$BW94=0.7,$BV94=0.05),$D94 &amp; ";","")</f>
        <v/>
      </c>
      <c r="DI94" s="58">
        <f>IF(AND($H94="opportunity",$BW94=0.5,$BV94=0.8),$D94 &amp; ";","")</f>
        <v/>
      </c>
      <c r="DJ94" s="58">
        <f>IF(AND($H94="opportunity",$BW94=0.5,$BV94=0.4),$D94 &amp; ";","")</f>
        <v/>
      </c>
      <c r="DK94" s="58">
        <f>IF(AND($H94="opportunity",$BW94=0.5,$BV94=0.2),$D94 &amp; ";","")</f>
        <v/>
      </c>
      <c r="DL94" s="58">
        <f>IF(AND($H94="opportunity",$BW94=0.5,$BV94=0.1),$D94 &amp; ";","")</f>
        <v/>
      </c>
      <c r="DM94" s="58">
        <f>IF(AND($H94="opportunity",$BW94=0.5,$BV94=0.05),$D94 &amp; ";","")</f>
        <v/>
      </c>
      <c r="DN94" s="58">
        <f>IF(AND($H94="opportunity",$BW94=0.3,$BV94=0.8),$D94 &amp; ";","")</f>
        <v/>
      </c>
      <c r="DO94" s="58">
        <f>IF(AND($H94="opportunity",$BW94=0.3,$BV94=0.4),$D94 &amp; ";","")</f>
        <v/>
      </c>
      <c r="DP94" s="58">
        <f>IF(AND($H94="opportunity",$BW94=0.3,$BV94=0.2),$D94 &amp; ";","")</f>
        <v/>
      </c>
      <c r="DQ94" s="58">
        <f>IF(AND($H94="opportunity",$BW94=0.3,$BV94=0.1),$D94 &amp; ";","")</f>
        <v/>
      </c>
      <c r="DR94" s="58">
        <f>IF(AND($H94="opportunity",$BW94=0.3,$BV94=0.05),$D94 &amp; ";","")</f>
        <v/>
      </c>
      <c r="DS94" s="58">
        <f>IF(AND($H94="opportunity",$BW94=0.1,$BV94=0.8),$D94 &amp; ";","")</f>
        <v/>
      </c>
      <c r="DT94" s="58">
        <f>IF(AND($H94="opportunity",$BW94=0.1,$BV94=0.4),$D94 &amp; ";","")</f>
        <v/>
      </c>
      <c r="DU94" s="58">
        <f>IF(AND($H94="opportunity",$BW94=0.1,$BV94=0.2),$D94 &amp; ";","")</f>
        <v/>
      </c>
      <c r="DV94" s="58">
        <f>IF(AND($H94="opportunity",$BW94=0.1,$BV94=0.1),$D94 &amp; ";","")</f>
        <v/>
      </c>
      <c r="DW94" s="58">
        <f>IF(AND($H94="opportunity",$BW94=0.1,$BV94=0.05),$D94 &amp; ";","")</f>
        <v/>
      </c>
    </row>
    <row r="95">
      <c r="D95" s="60">
        <f>INDIRECT(ADDRESS(ROW()-22,COLUMN()-2,1,1,"Risk Register"))</f>
        <v/>
      </c>
      <c r="E95" s="143">
        <f>INDIRECT(ADDRESS(ROW()-22,COLUMN()-1,1,1,"Risk Register"))</f>
        <v/>
      </c>
      <c r="G95" s="56">
        <f>INDIRECT(ADDRESS(ROW()-22,COLUMN()+10,1,1,"Risk Register"))</f>
        <v/>
      </c>
      <c r="H95" s="60">
        <f>INDIRECT(ADDRESS(ROW()-22,COLUMN()+8,1,1,"Risk Register"))</f>
        <v/>
      </c>
      <c r="I95" s="54">
        <f>INDIRECT(ADDRESS(ROW()-22,COLUMN()+3,1,1,"Risk Register"))</f>
        <v/>
      </c>
      <c r="J95" s="143">
        <f>INDIRECT(ADDRESS(ROW()-22,COLUMN()+12,1,1,"Risk Register"))</f>
        <v/>
      </c>
      <c r="K95" s="143">
        <f>INDIRECT(ADDRESS(ROW()-22,COLUMN()-2,1,1,"Risk Register"))</f>
        <v/>
      </c>
      <c r="L95" s="176">
        <f>INDIRECT(ADDRESS(ROW()-22,COLUMN()+15,1,1,"Risk Register"))</f>
        <v/>
      </c>
      <c r="M95" s="54">
        <f>INDIRECT(ADDRESS(ROW()-22,COLUMN()+13,1,1,"Risk Register"))</f>
        <v/>
      </c>
      <c r="N95" s="143">
        <f>INDIRECT(ADDRESS(ROW()-22,COLUMN()-9,1,1,"Risk Register"))</f>
        <v/>
      </c>
      <c r="O95" s="143">
        <f>INDIRECT(ADDRESS(ROW()-22,COLUMN()-8,1,1,"Risk Register"))</f>
        <v/>
      </c>
      <c r="P95" s="56">
        <f>INDIRECT(ADDRESS(ROW()-22,COLUMN()+18,1,1,"Risk Register"))</f>
        <v/>
      </c>
      <c r="R95" s="57">
        <f>INDIRECT(ADDRESS(ROW()-22,COLUMN()-5,1,1,"Risk Register"))</f>
        <v/>
      </c>
      <c r="S95" s="58">
        <f>INDIRECT(ADDRESS(ROW()-22,COLUMN()-4,1,1,"Risk Register"))</f>
        <v/>
      </c>
      <c r="T95" s="59">
        <f>IF(AND($H95="threat",$G95&lt;=0.05),"gn",IF(AND($H95="threat",$G95&lt;=0.14),"y",IF(AND($H95="threat", $G95&gt;=0.15),"r",IF(AND($H95="opportunity",$G95&lt;=0.05),"gn",IF(AND($H95="opportunity",$G95&lt;=0.14),"lb",IF(AND($H95="opportunity",$G95&gt;=0.15),"db","z"))))))</f>
        <v/>
      </c>
      <c r="U95" s="58">
        <f>IF(AND($H95="threat",$S95=0.9,$R95=0.05),$D95 &amp; ";","")</f>
        <v/>
      </c>
      <c r="V95" s="58">
        <f>IF(AND($H95="threat",$S95=0.9,$R95=0.1),$D95 &amp; ";","")</f>
        <v/>
      </c>
      <c r="W95" s="58">
        <f>IF(AND($H95="threat",$S95=0.9,$R95=0.2),$D95 &amp; ";","")</f>
        <v/>
      </c>
      <c r="X95" s="58">
        <f>IF(AND($H95="threat",$S95=0.9,$R95=0.4),$D95 &amp; ";","")</f>
        <v/>
      </c>
      <c r="Y95" s="58">
        <f>IF(AND($H95="threat",$S95=0.9,$R95=0.8),$D95 &amp; ";","")</f>
        <v/>
      </c>
      <c r="Z95" s="58">
        <f>IF(AND($H95="threat",$S95=0.7,$R95=0.05),$D95 &amp; ";","")</f>
        <v/>
      </c>
      <c r="AA95" s="58">
        <f>IF(AND($H95="threat",$S95=0.7,$R95=0.1),$D95 &amp; ";","")</f>
        <v/>
      </c>
      <c r="AB95" s="58">
        <f>IF(AND($H95="threat",$S95=0.7,$R95=0.2),$D95 &amp; ";","")</f>
        <v/>
      </c>
      <c r="AC95" s="58">
        <f>IF(AND($H95="threat",$S95=0.7,$R95=0.4),$D95 &amp; ";","")</f>
        <v/>
      </c>
      <c r="AD95" s="58">
        <f>IF(AND($H95="threat",$S95=0.7,$R95=0.8),$D95 &amp; ";","")</f>
        <v/>
      </c>
      <c r="AE95" s="58">
        <f>IF(AND($H95="threat",$S95=0.5,$R95=0.05),$D95 &amp; ";","")</f>
        <v/>
      </c>
      <c r="AF95" s="58">
        <f>IF(AND($H95="threat",$S95=0.5,$R95=0.1),$D95 &amp; ";","")</f>
        <v/>
      </c>
      <c r="AG95" s="58">
        <f>IF(AND($H95="threat",$S95=0.5,$R95=0.2),$D95 &amp; ";","")</f>
        <v/>
      </c>
      <c r="AH95" s="58">
        <f>IF(AND($H95="threat",$S95=0.5,$R95=0.4),$D95 &amp; ";","")</f>
        <v/>
      </c>
      <c r="AI95" s="58">
        <f>IF(AND($H95="threat",$S95=0.5,$R95=0.8),$D95 &amp; ";","")</f>
        <v/>
      </c>
      <c r="AJ95" s="58">
        <f>IF(AND($H95="threat",$S95=0.3,$R95=0.05),$D95 &amp; ";","")</f>
        <v/>
      </c>
      <c r="AK95" s="58">
        <f>IF(AND($H95="threat",$S95=0.3,$R95=0.1),$D95 &amp; ";","")</f>
        <v/>
      </c>
      <c r="AL95" s="58">
        <f>IF(AND($H95="threat",$S95=0.3,$R95=0.2),$D95 &amp; ";","")</f>
        <v/>
      </c>
      <c r="AM95" s="58">
        <f>IF(AND($H95="threat",$S95=0.3,$R95=0.4),$D95 &amp; ";","")</f>
        <v/>
      </c>
      <c r="AN95" s="58">
        <f>IF(AND($H95="threat",$S95=0.3,$R95=0.8),$D95 &amp; ";","")</f>
        <v/>
      </c>
      <c r="AO95" s="58">
        <f>IF(AND($H95="threat",$S95=0.1,$R95=0.05),$D95 &amp; ";","")</f>
        <v/>
      </c>
      <c r="AP95" s="58">
        <f>IF(AND($H95="threat",$S95=0.1,$R95=0.1),$D95 &amp; ";","")</f>
        <v/>
      </c>
      <c r="AQ95" s="58">
        <f>IF(AND($H95="threat",$S95=0.1,$R95=0.2),$D95 &amp; ";","")</f>
        <v/>
      </c>
      <c r="AR95" s="58">
        <f>IF(AND($H95="threat",$S95=0.1,$R95=0.4),$D95 &amp; ";","")</f>
        <v/>
      </c>
      <c r="AS95" s="58">
        <f>IF(AND($H95="threat",$S95=0.1,$R95=0.8),$D95 &amp; ";","")</f>
        <v/>
      </c>
      <c r="AT95" s="39" t="n"/>
      <c r="AU95" s="58">
        <f>IF(AND($H95="opportunity",$S95=0.9,$R95=0.8),$D95 &amp; ";","")</f>
        <v/>
      </c>
      <c r="AV95" s="58">
        <f>IF(AND($H95="opportunity",$S95=0.9,$R95=0.4),$D95 &amp; ";","")</f>
        <v/>
      </c>
      <c r="AW95" s="58">
        <f>IF(AND($H95="opportunity",$S95=0.9,$R95=0.2),$D95 &amp; ";","")</f>
        <v/>
      </c>
      <c r="AX95" s="58">
        <f>IF(AND($H95="opportunity",$S95=0.9,$R95=0.1),$D95 &amp; ";","")</f>
        <v/>
      </c>
      <c r="AY95" s="58">
        <f>IF(AND($H95="opportunity",$S95=0.9,$R95=0.05),$D95 &amp; ";","")</f>
        <v/>
      </c>
      <c r="AZ95" s="58">
        <f>IF(AND($H95="opportunity",$S95=0.7,$R95=0.8),$D95 &amp; ";","")</f>
        <v/>
      </c>
      <c r="BA95" s="58">
        <f>IF(AND($H95="opportunity",$S95=0.7,$R95=0.4),$D95 &amp; ";","")</f>
        <v/>
      </c>
      <c r="BB95" s="58">
        <f>IF(AND($H95="opportunity",$S95=0.7,$R95=0.2),$D95 &amp; ";","")</f>
        <v/>
      </c>
      <c r="BC95" s="58">
        <f>IF(AND($H95="opportunity",$S95=0.7,$R95=0.1),$D95 &amp; ";","")</f>
        <v/>
      </c>
      <c r="BD95" s="58">
        <f>IF(AND($H95="opportunity",$S95=0.7,$R95=0.05),$D95 &amp; ";","")</f>
        <v/>
      </c>
      <c r="BE95" s="58">
        <f>IF(AND($H95="opportunity",$S95=0.5,$R95=0.8),$D95 &amp; ";","")</f>
        <v/>
      </c>
      <c r="BF95" s="58">
        <f>IF(AND($H95="opportunity",$S95=0.5,$R95=0.4),$D95 &amp; ";","")</f>
        <v/>
      </c>
      <c r="BG95" s="58">
        <f>IF(AND($H95="opportunity",$S95=0.5,$R95=0.2),$D95 &amp; ";","")</f>
        <v/>
      </c>
      <c r="BH95" s="58">
        <f>IF(AND($H95="opportunity",$S95=0.5,$R95=0.1),$D95 &amp; ";","")</f>
        <v/>
      </c>
      <c r="BI95" s="58">
        <f>IF(AND($H95="opportunity",$S95=0.5,$R95=0.05),$D95 &amp; ";","")</f>
        <v/>
      </c>
      <c r="BJ95" s="58">
        <f>IF(AND($H95="opportunity",$S95=0.3,$R95=0.8),$D95 &amp; ";","")</f>
        <v/>
      </c>
      <c r="BK95" s="58">
        <f>IF(AND($H95="opportunity",$S95=0.3,$R95=0.4),$D95 &amp; ";","")</f>
        <v/>
      </c>
      <c r="BL95" s="58">
        <f>IF(AND($H95="opportunity",$S95=0.3,$R95=0.2),$D95 &amp; ";","")</f>
        <v/>
      </c>
      <c r="BM95" s="58">
        <f>IF(AND($H95="opportunity",$S95=0.3,$R95=0.1),$D95 &amp; ";","")</f>
        <v/>
      </c>
      <c r="BN95" s="58">
        <f>IF(AND($H95="opportunity",$S95=0.3,$R95=0.05),$D95 &amp; ";","")</f>
        <v/>
      </c>
      <c r="BO95" s="58">
        <f>IF(AND($H95="opportunity",$S95=0.1,$R95=0.8),$D95 &amp; ";","")</f>
        <v/>
      </c>
      <c r="BP95" s="58">
        <f>IF(AND($H95="opportunity",$S95=0.1,$R95=0.4),$D95 &amp; ";","")</f>
        <v/>
      </c>
      <c r="BQ95" s="58">
        <f>IF(AND($H95="opportunity",$S95=0.1,$R95=0.2),$D95 &amp; ";","")</f>
        <v/>
      </c>
      <c r="BR95" s="58">
        <f>IF(AND($H95="opportunity",$S95=0.1,$R95=0.1),$D95 &amp; ";","")</f>
        <v/>
      </c>
      <c r="BS95" s="58">
        <f>IF(AND($H95="opportunity",$S95=0.1,$R95=0.05),$D95 &amp; ";","")</f>
        <v/>
      </c>
      <c r="BV95" s="57">
        <f>INDIRECT(ADDRESS(ROW()-22,COLUMN()-45,1,1,"Risk Register"))</f>
        <v/>
      </c>
      <c r="BW95" s="58">
        <f>INDIRECT(ADDRESS(ROW()-22,COLUMN()-44,1,1,"Risk Register"))</f>
        <v/>
      </c>
      <c r="BX95" s="59">
        <f>IF(AND($H95="threat",$P95&lt;=0.05),"gn",IF(AND($H95="threat",$P95&lt;=0.14),"y",IF(AND($H95="threat", $P95&gt;=0.15),"r",IF(AND($H95="opportunity",$P95&lt;=0.05),"gn",IF(AND($H95="opportunity",$P95&lt;=0.14),"lb",IF(AND($H95="opportunity",$P95&gt;=0.15),"db","z"))))))</f>
        <v/>
      </c>
      <c r="BY95" s="58">
        <f>IF(AND($H95="threat",$BW95=0.9,$BV95=0.05),$D95 &amp; ";","")</f>
        <v/>
      </c>
      <c r="BZ95" s="58">
        <f>IF(AND($H95="threat",$BW95=0.9,$BV95=0.1),$D95 &amp; ";","")</f>
        <v/>
      </c>
      <c r="CA95" s="58">
        <f>IF(AND($H95="threat",$BW95=0.9,$BV95=0.2),$D95 &amp; ";","")</f>
        <v/>
      </c>
      <c r="CB95" s="58">
        <f>IF(AND($H95="threat",$BW95=0.9,$BV95=0.4),$D95 &amp; ";","")</f>
        <v/>
      </c>
      <c r="CC95" s="58">
        <f>IF(AND($H95="threat",$BW95=0.9,$BV95=0.8),$D95 &amp; ";","")</f>
        <v/>
      </c>
      <c r="CD95" s="58">
        <f>IF(AND($H95="threat",$BW95=0.7,$BV95=0.05),$D95 &amp; ";","")</f>
        <v/>
      </c>
      <c r="CE95" s="58">
        <f>IF(AND($H95="threat",$BW95=0.7,$BV95=0.1),$D95 &amp; ";","")</f>
        <v/>
      </c>
      <c r="CF95" s="58">
        <f>IF(AND($H95="threat",$BW95=0.7,$BV95=0.2),$D95 &amp; ";","")</f>
        <v/>
      </c>
      <c r="CG95" s="58">
        <f>IF(AND($H95="threat",$BW95=0.7,$BV95=0.4),$D95 &amp; ";","")</f>
        <v/>
      </c>
      <c r="CH95" s="58">
        <f>IF(AND($H95="threat",$BW95=0.7,$BV95=0.8),$D95 &amp; ";","")</f>
        <v/>
      </c>
      <c r="CI95" s="58">
        <f>IF(AND($H95="threat",$BW95=0.5,$BV95=0.05),$D95 &amp; ";","")</f>
        <v/>
      </c>
      <c r="CJ95" s="58">
        <f>IF(AND($H95="threat",$BW95=0.5,$BV95=0.1),$D95 &amp; ";","")</f>
        <v/>
      </c>
      <c r="CK95" s="58">
        <f>IF(AND($H95="threat",$BW95=0.5,$BV95=0.2),$D95 &amp; ";","")</f>
        <v/>
      </c>
      <c r="CL95" s="58">
        <f>IF(AND($H95="threat",$BW95=0.5,$BV95=0.4),$D95 &amp; ";","")</f>
        <v/>
      </c>
      <c r="CM95" s="58">
        <f>IF(AND($H95="threat",$BW95=0.5,$BV95=0.8),$D95 &amp; ";","")</f>
        <v/>
      </c>
      <c r="CN95" s="58">
        <f>IF(AND($H95="threat",$BW95=0.3,$BV95=0.05),$D95 &amp; ";","")</f>
        <v/>
      </c>
      <c r="CO95" s="58">
        <f>IF(AND($H95="threat",$BW95=0.3,$BV95=0.1),$D95 &amp; ";","")</f>
        <v/>
      </c>
      <c r="CP95" s="58">
        <f>IF(AND($H95="threat",$BW95=0.3,$BV95=0.2),$D95 &amp; ";","")</f>
        <v/>
      </c>
      <c r="CQ95" s="58">
        <f>IF(AND($H95="threat",$BW95=0.3,$BV95=0.4),$D95 &amp; ";","")</f>
        <v/>
      </c>
      <c r="CR95" s="58">
        <f>IF(AND($H95="threat",$BW95=0.3,$BV95=0.8),$D95 &amp; ";","")</f>
        <v/>
      </c>
      <c r="CS95" s="58">
        <f>IF(AND($H95="threat",$BW95=0.1,$BV95=0.05),$D95 &amp; ";","")</f>
        <v/>
      </c>
      <c r="CT95" s="58">
        <f>IF(AND($H95="threat",$BW95=0.1,$BV95=0.1),$D95 &amp; ";","")</f>
        <v/>
      </c>
      <c r="CU95" s="58">
        <f>IF(AND($H95="threat",$BW95=0.1,$BV95=0.2),$D95 &amp; ";","")</f>
        <v/>
      </c>
      <c r="CV95" s="58">
        <f>IF(AND($H95="threat",$BW95=0.1,$BV95=0.4),$D95 &amp; ";","")</f>
        <v/>
      </c>
      <c r="CW95" s="58">
        <f>IF(AND($H95="threat",$BW95=0.1,$BV95=0.8),$D95 &amp; ";","")</f>
        <v/>
      </c>
      <c r="CX95" s="39" t="n"/>
      <c r="CY95" s="58">
        <f>IF(AND($H95="opportunity",$BW95=0.9,$BV95=0.8),$D95 &amp; ";","")</f>
        <v/>
      </c>
      <c r="CZ95" s="58">
        <f>IF(AND($H95="opportunity",$BW95=0.9,$BV95=0.4),$D95 &amp; ";","")</f>
        <v/>
      </c>
      <c r="DA95" s="58">
        <f>IF(AND($H95="opportunity",$BW95=0.9,$BV95=0.2),$D95 &amp; ";","")</f>
        <v/>
      </c>
      <c r="DB95" s="58">
        <f>IF(AND($H95="opportunity",$BW95=0.9,$BV95=0.1),$D95 &amp; ";","")</f>
        <v/>
      </c>
      <c r="DC95" s="58">
        <f>IF(AND($H95="opportunity",$BW95=0.9,$BV95=0.05),$D95 &amp; ";","")</f>
        <v/>
      </c>
      <c r="DD95" s="58">
        <f>IF(AND($H95="opportunity",$BW95=0.7,$BV95=0.8),$D95 &amp; ";","")</f>
        <v/>
      </c>
      <c r="DE95" s="58">
        <f>IF(AND($H95="opportunity",$BW95=0.7,$BV95=0.4),$D95 &amp; ";","")</f>
        <v/>
      </c>
      <c r="DF95" s="58">
        <f>IF(AND($H95="opportunity",$BW95=0.7,$BV95=0.2),$D95 &amp; ";","")</f>
        <v/>
      </c>
      <c r="DG95" s="58">
        <f>IF(AND($H95="opportunity",$BW95=0.7,$BV95=0.1),$D95 &amp; ";","")</f>
        <v/>
      </c>
      <c r="DH95" s="58">
        <f>IF(AND($H95="opportunity",$BW95=0.7,$BV95=0.05),$D95 &amp; ";","")</f>
        <v/>
      </c>
      <c r="DI95" s="58">
        <f>IF(AND($H95="opportunity",$BW95=0.5,$BV95=0.8),$D95 &amp; ";","")</f>
        <v/>
      </c>
      <c r="DJ95" s="58">
        <f>IF(AND($H95="opportunity",$BW95=0.5,$BV95=0.4),$D95 &amp; ";","")</f>
        <v/>
      </c>
      <c r="DK95" s="58">
        <f>IF(AND($H95="opportunity",$BW95=0.5,$BV95=0.2),$D95 &amp; ";","")</f>
        <v/>
      </c>
      <c r="DL95" s="58">
        <f>IF(AND($H95="opportunity",$BW95=0.5,$BV95=0.1),$D95 &amp; ";","")</f>
        <v/>
      </c>
      <c r="DM95" s="58">
        <f>IF(AND($H95="opportunity",$BW95=0.5,$BV95=0.05),$D95 &amp; ";","")</f>
        <v/>
      </c>
      <c r="DN95" s="58">
        <f>IF(AND($H95="opportunity",$BW95=0.3,$BV95=0.8),$D95 &amp; ";","")</f>
        <v/>
      </c>
      <c r="DO95" s="58">
        <f>IF(AND($H95="opportunity",$BW95=0.3,$BV95=0.4),$D95 &amp; ";","")</f>
        <v/>
      </c>
      <c r="DP95" s="58">
        <f>IF(AND($H95="opportunity",$BW95=0.3,$BV95=0.2),$D95 &amp; ";","")</f>
        <v/>
      </c>
      <c r="DQ95" s="58">
        <f>IF(AND($H95="opportunity",$BW95=0.3,$BV95=0.1),$D95 &amp; ";","")</f>
        <v/>
      </c>
      <c r="DR95" s="58">
        <f>IF(AND($H95="opportunity",$BW95=0.3,$BV95=0.05),$D95 &amp; ";","")</f>
        <v/>
      </c>
      <c r="DS95" s="58">
        <f>IF(AND($H95="opportunity",$BW95=0.1,$BV95=0.8),$D95 &amp; ";","")</f>
        <v/>
      </c>
      <c r="DT95" s="58">
        <f>IF(AND($H95="opportunity",$BW95=0.1,$BV95=0.4),$D95 &amp; ";","")</f>
        <v/>
      </c>
      <c r="DU95" s="58">
        <f>IF(AND($H95="opportunity",$BW95=0.1,$BV95=0.2),$D95 &amp; ";","")</f>
        <v/>
      </c>
      <c r="DV95" s="58">
        <f>IF(AND($H95="opportunity",$BW95=0.1,$BV95=0.1),$D95 &amp; ";","")</f>
        <v/>
      </c>
      <c r="DW95" s="58">
        <f>IF(AND($H95="opportunity",$BW95=0.1,$BV95=0.05),$D95 &amp; ";","")</f>
        <v/>
      </c>
    </row>
    <row r="96">
      <c r="D96" s="60">
        <f>INDIRECT(ADDRESS(ROW()-22,COLUMN()-2,1,1,"Risk Register"))</f>
        <v/>
      </c>
      <c r="E96" s="143">
        <f>INDIRECT(ADDRESS(ROW()-22,COLUMN()-1,1,1,"Risk Register"))</f>
        <v/>
      </c>
      <c r="G96" s="56">
        <f>INDIRECT(ADDRESS(ROW()-22,COLUMN()+10,1,1,"Risk Register"))</f>
        <v/>
      </c>
      <c r="H96" s="60">
        <f>INDIRECT(ADDRESS(ROW()-22,COLUMN()+8,1,1,"Risk Register"))</f>
        <v/>
      </c>
      <c r="I96" s="54">
        <f>INDIRECT(ADDRESS(ROW()-22,COLUMN()+3,1,1,"Risk Register"))</f>
        <v/>
      </c>
      <c r="J96" s="143">
        <f>INDIRECT(ADDRESS(ROW()-22,COLUMN()+12,1,1,"Risk Register"))</f>
        <v/>
      </c>
      <c r="K96" s="143">
        <f>INDIRECT(ADDRESS(ROW()-22,COLUMN()-2,1,1,"Risk Register"))</f>
        <v/>
      </c>
      <c r="L96" s="176">
        <f>INDIRECT(ADDRESS(ROW()-22,COLUMN()+15,1,1,"Risk Register"))</f>
        <v/>
      </c>
      <c r="M96" s="54">
        <f>INDIRECT(ADDRESS(ROW()-22,COLUMN()+13,1,1,"Risk Register"))</f>
        <v/>
      </c>
      <c r="N96" s="143">
        <f>INDIRECT(ADDRESS(ROW()-22,COLUMN()-9,1,1,"Risk Register"))</f>
        <v/>
      </c>
      <c r="O96" s="143">
        <f>INDIRECT(ADDRESS(ROW()-22,COLUMN()-8,1,1,"Risk Register"))</f>
        <v/>
      </c>
      <c r="P96" s="56">
        <f>INDIRECT(ADDRESS(ROW()-22,COLUMN()+18,1,1,"Risk Register"))</f>
        <v/>
      </c>
      <c r="R96" s="57">
        <f>INDIRECT(ADDRESS(ROW()-22,COLUMN()-5,1,1,"Risk Register"))</f>
        <v/>
      </c>
      <c r="S96" s="58">
        <f>INDIRECT(ADDRESS(ROW()-22,COLUMN()-4,1,1,"Risk Register"))</f>
        <v/>
      </c>
      <c r="T96" s="59">
        <f>IF(AND($H96="threat",$G96&lt;=0.05),"gn",IF(AND($H96="threat",$G96&lt;=0.14),"y",IF(AND($H96="threat", $G96&gt;=0.15),"r",IF(AND($H96="opportunity",$G96&lt;=0.05),"gn",IF(AND($H96="opportunity",$G96&lt;=0.14),"lb",IF(AND($H96="opportunity",$G96&gt;=0.15),"db","z"))))))</f>
        <v/>
      </c>
      <c r="U96" s="58">
        <f>IF(AND($H96="threat",$S96=0.9,$R96=0.05),$D96 &amp; ";","")</f>
        <v/>
      </c>
      <c r="V96" s="58">
        <f>IF(AND($H96="threat",$S96=0.9,$R96=0.1),$D96 &amp; ";","")</f>
        <v/>
      </c>
      <c r="W96" s="58">
        <f>IF(AND($H96="threat",$S96=0.9,$R96=0.2),$D96 &amp; ";","")</f>
        <v/>
      </c>
      <c r="X96" s="58">
        <f>IF(AND($H96="threat",$S96=0.9,$R96=0.4),$D96 &amp; ";","")</f>
        <v/>
      </c>
      <c r="Y96" s="58">
        <f>IF(AND($H96="threat",$S96=0.9,$R96=0.8),$D96 &amp; ";","")</f>
        <v/>
      </c>
      <c r="Z96" s="58">
        <f>IF(AND($H96="threat",$S96=0.7,$R96=0.05),$D96 &amp; ";","")</f>
        <v/>
      </c>
      <c r="AA96" s="58">
        <f>IF(AND($H96="threat",$S96=0.7,$R96=0.1),$D96 &amp; ";","")</f>
        <v/>
      </c>
      <c r="AB96" s="58">
        <f>IF(AND($H96="threat",$S96=0.7,$R96=0.2),$D96 &amp; ";","")</f>
        <v/>
      </c>
      <c r="AC96" s="58">
        <f>IF(AND($H96="threat",$S96=0.7,$R96=0.4),$D96 &amp; ";","")</f>
        <v/>
      </c>
      <c r="AD96" s="58">
        <f>IF(AND($H96="threat",$S96=0.7,$R96=0.8),$D96 &amp; ";","")</f>
        <v/>
      </c>
      <c r="AE96" s="58">
        <f>IF(AND($H96="threat",$S96=0.5,$R96=0.05),$D96 &amp; ";","")</f>
        <v/>
      </c>
      <c r="AF96" s="58">
        <f>IF(AND($H96="threat",$S96=0.5,$R96=0.1),$D96 &amp; ";","")</f>
        <v/>
      </c>
      <c r="AG96" s="58">
        <f>IF(AND($H96="threat",$S96=0.5,$R96=0.2),$D96 &amp; ";","")</f>
        <v/>
      </c>
      <c r="AH96" s="58">
        <f>IF(AND($H96="threat",$S96=0.5,$R96=0.4),$D96 &amp; ";","")</f>
        <v/>
      </c>
      <c r="AI96" s="58">
        <f>IF(AND($H96="threat",$S96=0.5,$R96=0.8),$D96 &amp; ";","")</f>
        <v/>
      </c>
      <c r="AJ96" s="58">
        <f>IF(AND($H96="threat",$S96=0.3,$R96=0.05),$D96 &amp; ";","")</f>
        <v/>
      </c>
      <c r="AK96" s="58">
        <f>IF(AND($H96="threat",$S96=0.3,$R96=0.1),$D96 &amp; ";","")</f>
        <v/>
      </c>
      <c r="AL96" s="58">
        <f>IF(AND($H96="threat",$S96=0.3,$R96=0.2),$D96 &amp; ";","")</f>
        <v/>
      </c>
      <c r="AM96" s="58">
        <f>IF(AND($H96="threat",$S96=0.3,$R96=0.4),$D96 &amp; ";","")</f>
        <v/>
      </c>
      <c r="AN96" s="58">
        <f>IF(AND($H96="threat",$S96=0.3,$R96=0.8),$D96 &amp; ";","")</f>
        <v/>
      </c>
      <c r="AO96" s="58">
        <f>IF(AND($H96="threat",$S96=0.1,$R96=0.05),$D96 &amp; ";","")</f>
        <v/>
      </c>
      <c r="AP96" s="58">
        <f>IF(AND($H96="threat",$S96=0.1,$R96=0.1),$D96 &amp; ";","")</f>
        <v/>
      </c>
      <c r="AQ96" s="58">
        <f>IF(AND($H96="threat",$S96=0.1,$R96=0.2),$D96 &amp; ";","")</f>
        <v/>
      </c>
      <c r="AR96" s="58">
        <f>IF(AND($H96="threat",$S96=0.1,$R96=0.4),$D96 &amp; ";","")</f>
        <v/>
      </c>
      <c r="AS96" s="58">
        <f>IF(AND($H96="threat",$S96=0.1,$R96=0.8),$D96 &amp; ";","")</f>
        <v/>
      </c>
      <c r="AT96" s="39" t="n"/>
      <c r="AU96" s="58">
        <f>IF(AND($H96="opportunity",$S96=0.9,$R96=0.8),$D96 &amp; ";","")</f>
        <v/>
      </c>
      <c r="AV96" s="58">
        <f>IF(AND($H96="opportunity",$S96=0.9,$R96=0.4),$D96 &amp; ";","")</f>
        <v/>
      </c>
      <c r="AW96" s="58">
        <f>IF(AND($H96="opportunity",$S96=0.9,$R96=0.2),$D96 &amp; ";","")</f>
        <v/>
      </c>
      <c r="AX96" s="58">
        <f>IF(AND($H96="opportunity",$S96=0.9,$R96=0.1),$D96 &amp; ";","")</f>
        <v/>
      </c>
      <c r="AY96" s="58">
        <f>IF(AND($H96="opportunity",$S96=0.9,$R96=0.05),$D96 &amp; ";","")</f>
        <v/>
      </c>
      <c r="AZ96" s="58">
        <f>IF(AND($H96="opportunity",$S96=0.7,$R96=0.8),$D96 &amp; ";","")</f>
        <v/>
      </c>
      <c r="BA96" s="58">
        <f>IF(AND($H96="opportunity",$S96=0.7,$R96=0.4),$D96 &amp; ";","")</f>
        <v/>
      </c>
      <c r="BB96" s="58">
        <f>IF(AND($H96="opportunity",$S96=0.7,$R96=0.2),$D96 &amp; ";","")</f>
        <v/>
      </c>
      <c r="BC96" s="58">
        <f>IF(AND($H96="opportunity",$S96=0.7,$R96=0.1),$D96 &amp; ";","")</f>
        <v/>
      </c>
      <c r="BD96" s="58">
        <f>IF(AND($H96="opportunity",$S96=0.7,$R96=0.05),$D96 &amp; ";","")</f>
        <v/>
      </c>
      <c r="BE96" s="58">
        <f>IF(AND($H96="opportunity",$S96=0.5,$R96=0.8),$D96 &amp; ";","")</f>
        <v/>
      </c>
      <c r="BF96" s="58">
        <f>IF(AND($H96="opportunity",$S96=0.5,$R96=0.4),$D96 &amp; ";","")</f>
        <v/>
      </c>
      <c r="BG96" s="58">
        <f>IF(AND($H96="opportunity",$S96=0.5,$R96=0.2),$D96 &amp; ";","")</f>
        <v/>
      </c>
      <c r="BH96" s="58">
        <f>IF(AND($H96="opportunity",$S96=0.5,$R96=0.1),$D96 &amp; ";","")</f>
        <v/>
      </c>
      <c r="BI96" s="58">
        <f>IF(AND($H96="opportunity",$S96=0.5,$R96=0.05),$D96 &amp; ";","")</f>
        <v/>
      </c>
      <c r="BJ96" s="58">
        <f>IF(AND($H96="opportunity",$S96=0.3,$R96=0.8),$D96 &amp; ";","")</f>
        <v/>
      </c>
      <c r="BK96" s="58">
        <f>IF(AND($H96="opportunity",$S96=0.3,$R96=0.4),$D96 &amp; ";","")</f>
        <v/>
      </c>
      <c r="BL96" s="58">
        <f>IF(AND($H96="opportunity",$S96=0.3,$R96=0.2),$D96 &amp; ";","")</f>
        <v/>
      </c>
      <c r="BM96" s="58">
        <f>IF(AND($H96="opportunity",$S96=0.3,$R96=0.1),$D96 &amp; ";","")</f>
        <v/>
      </c>
      <c r="BN96" s="58">
        <f>IF(AND($H96="opportunity",$S96=0.3,$R96=0.05),$D96 &amp; ";","")</f>
        <v/>
      </c>
      <c r="BO96" s="58">
        <f>IF(AND($H96="opportunity",$S96=0.1,$R96=0.8),$D96 &amp; ";","")</f>
        <v/>
      </c>
      <c r="BP96" s="58">
        <f>IF(AND($H96="opportunity",$S96=0.1,$R96=0.4),$D96 &amp; ";","")</f>
        <v/>
      </c>
      <c r="BQ96" s="58">
        <f>IF(AND($H96="opportunity",$S96=0.1,$R96=0.2),$D96 &amp; ";","")</f>
        <v/>
      </c>
      <c r="BR96" s="58">
        <f>IF(AND($H96="opportunity",$S96=0.1,$R96=0.1),$D96 &amp; ";","")</f>
        <v/>
      </c>
      <c r="BS96" s="58">
        <f>IF(AND($H96="opportunity",$S96=0.1,$R96=0.05),$D96 &amp; ";","")</f>
        <v/>
      </c>
      <c r="BV96" s="57">
        <f>INDIRECT(ADDRESS(ROW()-22,COLUMN()-45,1,1,"Risk Register"))</f>
        <v/>
      </c>
      <c r="BW96" s="58">
        <f>INDIRECT(ADDRESS(ROW()-22,COLUMN()-44,1,1,"Risk Register"))</f>
        <v/>
      </c>
      <c r="BX96" s="59">
        <f>IF(AND($H96="threat",$P96&lt;=0.05),"gn",IF(AND($H96="threat",$P96&lt;=0.14),"y",IF(AND($H96="threat", $P96&gt;=0.15),"r",IF(AND($H96="opportunity",$P96&lt;=0.05),"gn",IF(AND($H96="opportunity",$P96&lt;=0.14),"lb",IF(AND($H96="opportunity",$P96&gt;=0.15),"db","z"))))))</f>
        <v/>
      </c>
      <c r="BY96" s="58">
        <f>IF(AND($H96="threat",$BW96=0.9,$BV96=0.05),$D96 &amp; ";","")</f>
        <v/>
      </c>
      <c r="BZ96" s="58">
        <f>IF(AND($H96="threat",$BW96=0.9,$BV96=0.1),$D96 &amp; ";","")</f>
        <v/>
      </c>
      <c r="CA96" s="58">
        <f>IF(AND($H96="threat",$BW96=0.9,$BV96=0.2),$D96 &amp; ";","")</f>
        <v/>
      </c>
      <c r="CB96" s="58">
        <f>IF(AND($H96="threat",$BW96=0.9,$BV96=0.4),$D96 &amp; ";","")</f>
        <v/>
      </c>
      <c r="CC96" s="58">
        <f>IF(AND($H96="threat",$BW96=0.9,$BV96=0.8),$D96 &amp; ";","")</f>
        <v/>
      </c>
      <c r="CD96" s="58">
        <f>IF(AND($H96="threat",$BW96=0.7,$BV96=0.05),$D96 &amp; ";","")</f>
        <v/>
      </c>
      <c r="CE96" s="58">
        <f>IF(AND($H96="threat",$BW96=0.7,$BV96=0.1),$D96 &amp; ";","")</f>
        <v/>
      </c>
      <c r="CF96" s="58">
        <f>IF(AND($H96="threat",$BW96=0.7,$BV96=0.2),$D96 &amp; ";","")</f>
        <v/>
      </c>
      <c r="CG96" s="58">
        <f>IF(AND($H96="threat",$BW96=0.7,$BV96=0.4),$D96 &amp; ";","")</f>
        <v/>
      </c>
      <c r="CH96" s="58">
        <f>IF(AND($H96="threat",$BW96=0.7,$BV96=0.8),$D96 &amp; ";","")</f>
        <v/>
      </c>
      <c r="CI96" s="58">
        <f>IF(AND($H96="threat",$BW96=0.5,$BV96=0.05),$D96 &amp; ";","")</f>
        <v/>
      </c>
      <c r="CJ96" s="58">
        <f>IF(AND($H96="threat",$BW96=0.5,$BV96=0.1),$D96 &amp; ";","")</f>
        <v/>
      </c>
      <c r="CK96" s="58">
        <f>IF(AND($H96="threat",$BW96=0.5,$BV96=0.2),$D96 &amp; ";","")</f>
        <v/>
      </c>
      <c r="CL96" s="58">
        <f>IF(AND($H96="threat",$BW96=0.5,$BV96=0.4),$D96 &amp; ";","")</f>
        <v/>
      </c>
      <c r="CM96" s="58">
        <f>IF(AND($H96="threat",$BW96=0.5,$BV96=0.8),$D96 &amp; ";","")</f>
        <v/>
      </c>
      <c r="CN96" s="58">
        <f>IF(AND($H96="threat",$BW96=0.3,$BV96=0.05),$D96 &amp; ";","")</f>
        <v/>
      </c>
      <c r="CO96" s="58">
        <f>IF(AND($H96="threat",$BW96=0.3,$BV96=0.1),$D96 &amp; ";","")</f>
        <v/>
      </c>
      <c r="CP96" s="58">
        <f>IF(AND($H96="threat",$BW96=0.3,$BV96=0.2),$D96 &amp; ";","")</f>
        <v/>
      </c>
      <c r="CQ96" s="58">
        <f>IF(AND($H96="threat",$BW96=0.3,$BV96=0.4),$D96 &amp; ";","")</f>
        <v/>
      </c>
      <c r="CR96" s="58">
        <f>IF(AND($H96="threat",$BW96=0.3,$BV96=0.8),$D96 &amp; ";","")</f>
        <v/>
      </c>
      <c r="CS96" s="58">
        <f>IF(AND($H96="threat",$BW96=0.1,$BV96=0.05),$D96 &amp; ";","")</f>
        <v/>
      </c>
      <c r="CT96" s="58">
        <f>IF(AND($H96="threat",$BW96=0.1,$BV96=0.1),$D96 &amp; ";","")</f>
        <v/>
      </c>
      <c r="CU96" s="58">
        <f>IF(AND($H96="threat",$BW96=0.1,$BV96=0.2),$D96 &amp; ";","")</f>
        <v/>
      </c>
      <c r="CV96" s="58">
        <f>IF(AND($H96="threat",$BW96=0.1,$BV96=0.4),$D96 &amp; ";","")</f>
        <v/>
      </c>
      <c r="CW96" s="58">
        <f>IF(AND($H96="threat",$BW96=0.1,$BV96=0.8),$D96 &amp; ";","")</f>
        <v/>
      </c>
      <c r="CX96" s="39" t="n"/>
      <c r="CY96" s="58">
        <f>IF(AND($H96="opportunity",$BW96=0.9,$BV96=0.8),$D96 &amp; ";","")</f>
        <v/>
      </c>
      <c r="CZ96" s="58">
        <f>IF(AND($H96="opportunity",$BW96=0.9,$BV96=0.4),$D96 &amp; ";","")</f>
        <v/>
      </c>
      <c r="DA96" s="58">
        <f>IF(AND($H96="opportunity",$BW96=0.9,$BV96=0.2),$D96 &amp; ";","")</f>
        <v/>
      </c>
      <c r="DB96" s="58">
        <f>IF(AND($H96="opportunity",$BW96=0.9,$BV96=0.1),$D96 &amp; ";","")</f>
        <v/>
      </c>
      <c r="DC96" s="58">
        <f>IF(AND($H96="opportunity",$BW96=0.9,$BV96=0.05),$D96 &amp; ";","")</f>
        <v/>
      </c>
      <c r="DD96" s="58">
        <f>IF(AND($H96="opportunity",$BW96=0.7,$BV96=0.8),$D96 &amp; ";","")</f>
        <v/>
      </c>
      <c r="DE96" s="58">
        <f>IF(AND($H96="opportunity",$BW96=0.7,$BV96=0.4),$D96 &amp; ";","")</f>
        <v/>
      </c>
      <c r="DF96" s="58">
        <f>IF(AND($H96="opportunity",$BW96=0.7,$BV96=0.2),$D96 &amp; ";","")</f>
        <v/>
      </c>
      <c r="DG96" s="58">
        <f>IF(AND($H96="opportunity",$BW96=0.7,$BV96=0.1),$D96 &amp; ";","")</f>
        <v/>
      </c>
      <c r="DH96" s="58">
        <f>IF(AND($H96="opportunity",$BW96=0.7,$BV96=0.05),$D96 &amp; ";","")</f>
        <v/>
      </c>
      <c r="DI96" s="58">
        <f>IF(AND($H96="opportunity",$BW96=0.5,$BV96=0.8),$D96 &amp; ";","")</f>
        <v/>
      </c>
      <c r="DJ96" s="58">
        <f>IF(AND($H96="opportunity",$BW96=0.5,$BV96=0.4),$D96 &amp; ";","")</f>
        <v/>
      </c>
      <c r="DK96" s="58">
        <f>IF(AND($H96="opportunity",$BW96=0.5,$BV96=0.2),$D96 &amp; ";","")</f>
        <v/>
      </c>
      <c r="DL96" s="58">
        <f>IF(AND($H96="opportunity",$BW96=0.5,$BV96=0.1),$D96 &amp; ";","")</f>
        <v/>
      </c>
      <c r="DM96" s="58">
        <f>IF(AND($H96="opportunity",$BW96=0.5,$BV96=0.05),$D96 &amp; ";","")</f>
        <v/>
      </c>
      <c r="DN96" s="58">
        <f>IF(AND($H96="opportunity",$BW96=0.3,$BV96=0.8),$D96 &amp; ";","")</f>
        <v/>
      </c>
      <c r="DO96" s="58">
        <f>IF(AND($H96="opportunity",$BW96=0.3,$BV96=0.4),$D96 &amp; ";","")</f>
        <v/>
      </c>
      <c r="DP96" s="58">
        <f>IF(AND($H96="opportunity",$BW96=0.3,$BV96=0.2),$D96 &amp; ";","")</f>
        <v/>
      </c>
      <c r="DQ96" s="58">
        <f>IF(AND($H96="opportunity",$BW96=0.3,$BV96=0.1),$D96 &amp; ";","")</f>
        <v/>
      </c>
      <c r="DR96" s="58">
        <f>IF(AND($H96="opportunity",$BW96=0.3,$BV96=0.05),$D96 &amp; ";","")</f>
        <v/>
      </c>
      <c r="DS96" s="58">
        <f>IF(AND($H96="opportunity",$BW96=0.1,$BV96=0.8),$D96 &amp; ";","")</f>
        <v/>
      </c>
      <c r="DT96" s="58">
        <f>IF(AND($H96="opportunity",$BW96=0.1,$BV96=0.4),$D96 &amp; ";","")</f>
        <v/>
      </c>
      <c r="DU96" s="58">
        <f>IF(AND($H96="opportunity",$BW96=0.1,$BV96=0.2),$D96 &amp; ";","")</f>
        <v/>
      </c>
      <c r="DV96" s="58">
        <f>IF(AND($H96="opportunity",$BW96=0.1,$BV96=0.1),$D96 &amp; ";","")</f>
        <v/>
      </c>
      <c r="DW96" s="58">
        <f>IF(AND($H96="opportunity",$BW96=0.1,$BV96=0.05),$D96 &amp; ";","")</f>
        <v/>
      </c>
    </row>
    <row r="97">
      <c r="D97" s="60">
        <f>INDIRECT(ADDRESS(ROW()-22,COLUMN()-2,1,1,"Risk Register"))</f>
        <v/>
      </c>
      <c r="E97" s="143">
        <f>INDIRECT(ADDRESS(ROW()-22,COLUMN()-1,1,1,"Risk Register"))</f>
        <v/>
      </c>
      <c r="G97" s="56">
        <f>INDIRECT(ADDRESS(ROW()-22,COLUMN()+10,1,1,"Risk Register"))</f>
        <v/>
      </c>
      <c r="H97" s="60">
        <f>INDIRECT(ADDRESS(ROW()-22,COLUMN()+8,1,1,"Risk Register"))</f>
        <v/>
      </c>
      <c r="I97" s="54">
        <f>INDIRECT(ADDRESS(ROW()-22,COLUMN()+3,1,1,"Risk Register"))</f>
        <v/>
      </c>
      <c r="J97" s="143">
        <f>INDIRECT(ADDRESS(ROW()-22,COLUMN()+12,1,1,"Risk Register"))</f>
        <v/>
      </c>
      <c r="K97" s="143">
        <f>INDIRECT(ADDRESS(ROW()-22,COLUMN()-2,1,1,"Risk Register"))</f>
        <v/>
      </c>
      <c r="L97" s="176">
        <f>INDIRECT(ADDRESS(ROW()-22,COLUMN()+15,1,1,"Risk Register"))</f>
        <v/>
      </c>
      <c r="M97" s="54">
        <f>INDIRECT(ADDRESS(ROW()-22,COLUMN()+13,1,1,"Risk Register"))</f>
        <v/>
      </c>
      <c r="N97" s="143">
        <f>INDIRECT(ADDRESS(ROW()-22,COLUMN()-9,1,1,"Risk Register"))</f>
        <v/>
      </c>
      <c r="O97" s="143">
        <f>INDIRECT(ADDRESS(ROW()-22,COLUMN()-8,1,1,"Risk Register"))</f>
        <v/>
      </c>
      <c r="P97" s="56">
        <f>INDIRECT(ADDRESS(ROW()-22,COLUMN()+18,1,1,"Risk Register"))</f>
        <v/>
      </c>
      <c r="R97" s="57">
        <f>INDIRECT(ADDRESS(ROW()-22,COLUMN()-5,1,1,"Risk Register"))</f>
        <v/>
      </c>
      <c r="S97" s="58">
        <f>INDIRECT(ADDRESS(ROW()-22,COLUMN()-4,1,1,"Risk Register"))</f>
        <v/>
      </c>
      <c r="T97" s="59">
        <f>IF(AND($H97="threat",$G97&lt;=0.05),"gn",IF(AND($H97="threat",$G97&lt;=0.14),"y",IF(AND($H97="threat", $G97&gt;=0.15),"r",IF(AND($H97="opportunity",$G97&lt;=0.05),"gn",IF(AND($H97="opportunity",$G97&lt;=0.14),"lb",IF(AND($H97="opportunity",$G97&gt;=0.15),"db","z"))))))</f>
        <v/>
      </c>
      <c r="U97" s="58">
        <f>IF(AND($H97="threat",$S97=0.9,$R97=0.05),$D97 &amp; ";","")</f>
        <v/>
      </c>
      <c r="V97" s="58">
        <f>IF(AND($H97="threat",$S97=0.9,$R97=0.1),$D97 &amp; ";","")</f>
        <v/>
      </c>
      <c r="W97" s="58">
        <f>IF(AND($H97="threat",$S97=0.9,$R97=0.2),$D97 &amp; ";","")</f>
        <v/>
      </c>
      <c r="X97" s="58">
        <f>IF(AND($H97="threat",$S97=0.9,$R97=0.4),$D97 &amp; ";","")</f>
        <v/>
      </c>
      <c r="Y97" s="58">
        <f>IF(AND($H97="threat",$S97=0.9,$R97=0.8),$D97 &amp; ";","")</f>
        <v/>
      </c>
      <c r="Z97" s="58">
        <f>IF(AND($H97="threat",$S97=0.7,$R97=0.05),$D97 &amp; ";","")</f>
        <v/>
      </c>
      <c r="AA97" s="58">
        <f>IF(AND($H97="threat",$S97=0.7,$R97=0.1),$D97 &amp; ";","")</f>
        <v/>
      </c>
      <c r="AB97" s="58">
        <f>IF(AND($H97="threat",$S97=0.7,$R97=0.2),$D97 &amp; ";","")</f>
        <v/>
      </c>
      <c r="AC97" s="58">
        <f>IF(AND($H97="threat",$S97=0.7,$R97=0.4),$D97 &amp; ";","")</f>
        <v/>
      </c>
      <c r="AD97" s="58">
        <f>IF(AND($H97="threat",$S97=0.7,$R97=0.8),$D97 &amp; ";","")</f>
        <v/>
      </c>
      <c r="AE97" s="58">
        <f>IF(AND($H97="threat",$S97=0.5,$R97=0.05),$D97 &amp; ";","")</f>
        <v/>
      </c>
      <c r="AF97" s="58">
        <f>IF(AND($H97="threat",$S97=0.5,$R97=0.1),$D97 &amp; ";","")</f>
        <v/>
      </c>
      <c r="AG97" s="58">
        <f>IF(AND($H97="threat",$S97=0.5,$R97=0.2),$D97 &amp; ";","")</f>
        <v/>
      </c>
      <c r="AH97" s="58">
        <f>IF(AND($H97="threat",$S97=0.5,$R97=0.4),$D97 &amp; ";","")</f>
        <v/>
      </c>
      <c r="AI97" s="58">
        <f>IF(AND($H97="threat",$S97=0.5,$R97=0.8),$D97 &amp; ";","")</f>
        <v/>
      </c>
      <c r="AJ97" s="58">
        <f>IF(AND($H97="threat",$S97=0.3,$R97=0.05),$D97 &amp; ";","")</f>
        <v/>
      </c>
      <c r="AK97" s="58">
        <f>IF(AND($H97="threat",$S97=0.3,$R97=0.1),$D97 &amp; ";","")</f>
        <v/>
      </c>
      <c r="AL97" s="58">
        <f>IF(AND($H97="threat",$S97=0.3,$R97=0.2),$D97 &amp; ";","")</f>
        <v/>
      </c>
      <c r="AM97" s="58">
        <f>IF(AND($H97="threat",$S97=0.3,$R97=0.4),$D97 &amp; ";","")</f>
        <v/>
      </c>
      <c r="AN97" s="58">
        <f>IF(AND($H97="threat",$S97=0.3,$R97=0.8),$D97 &amp; ";","")</f>
        <v/>
      </c>
      <c r="AO97" s="58">
        <f>IF(AND($H97="threat",$S97=0.1,$R97=0.05),$D97 &amp; ";","")</f>
        <v/>
      </c>
      <c r="AP97" s="58">
        <f>IF(AND($H97="threat",$S97=0.1,$R97=0.1),$D97 &amp; ";","")</f>
        <v/>
      </c>
      <c r="AQ97" s="58">
        <f>IF(AND($H97="threat",$S97=0.1,$R97=0.2),$D97 &amp; ";","")</f>
        <v/>
      </c>
      <c r="AR97" s="58">
        <f>IF(AND($H97="threat",$S97=0.1,$R97=0.4),$D97 &amp; ";","")</f>
        <v/>
      </c>
      <c r="AS97" s="58">
        <f>IF(AND($H97="threat",$S97=0.1,$R97=0.8),$D97 &amp; ";","")</f>
        <v/>
      </c>
      <c r="AT97" s="39" t="n"/>
      <c r="AU97" s="58">
        <f>IF(AND($H97="opportunity",$S97=0.9,$R97=0.8),$D97 &amp; ";","")</f>
        <v/>
      </c>
      <c r="AV97" s="58">
        <f>IF(AND($H97="opportunity",$S97=0.9,$R97=0.4),$D97 &amp; ";","")</f>
        <v/>
      </c>
      <c r="AW97" s="58">
        <f>IF(AND($H97="opportunity",$S97=0.9,$R97=0.2),$D97 &amp; ";","")</f>
        <v/>
      </c>
      <c r="AX97" s="58">
        <f>IF(AND($H97="opportunity",$S97=0.9,$R97=0.1),$D97 &amp; ";","")</f>
        <v/>
      </c>
      <c r="AY97" s="58">
        <f>IF(AND($H97="opportunity",$S97=0.9,$R97=0.05),$D97 &amp; ";","")</f>
        <v/>
      </c>
      <c r="AZ97" s="58">
        <f>IF(AND($H97="opportunity",$S97=0.7,$R97=0.8),$D97 &amp; ";","")</f>
        <v/>
      </c>
      <c r="BA97" s="58">
        <f>IF(AND($H97="opportunity",$S97=0.7,$R97=0.4),$D97 &amp; ";","")</f>
        <v/>
      </c>
      <c r="BB97" s="58">
        <f>IF(AND($H97="opportunity",$S97=0.7,$R97=0.2),$D97 &amp; ";","")</f>
        <v/>
      </c>
      <c r="BC97" s="58">
        <f>IF(AND($H97="opportunity",$S97=0.7,$R97=0.1),$D97 &amp; ";","")</f>
        <v/>
      </c>
      <c r="BD97" s="58">
        <f>IF(AND($H97="opportunity",$S97=0.7,$R97=0.05),$D97 &amp; ";","")</f>
        <v/>
      </c>
      <c r="BE97" s="58">
        <f>IF(AND($H97="opportunity",$S97=0.5,$R97=0.8),$D97 &amp; ";","")</f>
        <v/>
      </c>
      <c r="BF97" s="58">
        <f>IF(AND($H97="opportunity",$S97=0.5,$R97=0.4),$D97 &amp; ";","")</f>
        <v/>
      </c>
      <c r="BG97" s="58">
        <f>IF(AND($H97="opportunity",$S97=0.5,$R97=0.2),$D97 &amp; ";","")</f>
        <v/>
      </c>
      <c r="BH97" s="58">
        <f>IF(AND($H97="opportunity",$S97=0.5,$R97=0.1),$D97 &amp; ";","")</f>
        <v/>
      </c>
      <c r="BI97" s="58">
        <f>IF(AND($H97="opportunity",$S97=0.5,$R97=0.05),$D97 &amp; ";","")</f>
        <v/>
      </c>
      <c r="BJ97" s="58">
        <f>IF(AND($H97="opportunity",$S97=0.3,$R97=0.8),$D97 &amp; ";","")</f>
        <v/>
      </c>
      <c r="BK97" s="58">
        <f>IF(AND($H97="opportunity",$S97=0.3,$R97=0.4),$D97 &amp; ";","")</f>
        <v/>
      </c>
      <c r="BL97" s="58">
        <f>IF(AND($H97="opportunity",$S97=0.3,$R97=0.2),$D97 &amp; ";","")</f>
        <v/>
      </c>
      <c r="BM97" s="58">
        <f>IF(AND($H97="opportunity",$S97=0.3,$R97=0.1),$D97 &amp; ";","")</f>
        <v/>
      </c>
      <c r="BN97" s="58">
        <f>IF(AND($H97="opportunity",$S97=0.3,$R97=0.05),$D97 &amp; ";","")</f>
        <v/>
      </c>
      <c r="BO97" s="58">
        <f>IF(AND($H97="opportunity",$S97=0.1,$R97=0.8),$D97 &amp; ";","")</f>
        <v/>
      </c>
      <c r="BP97" s="58">
        <f>IF(AND($H97="opportunity",$S97=0.1,$R97=0.4),$D97 &amp; ";","")</f>
        <v/>
      </c>
      <c r="BQ97" s="58">
        <f>IF(AND($H97="opportunity",$S97=0.1,$R97=0.2),$D97 &amp; ";","")</f>
        <v/>
      </c>
      <c r="BR97" s="58">
        <f>IF(AND($H97="opportunity",$S97=0.1,$R97=0.1),$D97 &amp; ";","")</f>
        <v/>
      </c>
      <c r="BS97" s="58">
        <f>IF(AND($H97="opportunity",$S97=0.1,$R97=0.05),$D97 &amp; ";","")</f>
        <v/>
      </c>
      <c r="BV97" s="57">
        <f>INDIRECT(ADDRESS(ROW()-22,COLUMN()-45,1,1,"Risk Register"))</f>
        <v/>
      </c>
      <c r="BW97" s="58">
        <f>INDIRECT(ADDRESS(ROW()-22,COLUMN()-44,1,1,"Risk Register"))</f>
        <v/>
      </c>
      <c r="BX97" s="59">
        <f>IF(AND($H97="threat",$P97&lt;=0.05),"gn",IF(AND($H97="threat",$P97&lt;=0.14),"y",IF(AND($H97="threat", $P97&gt;=0.15),"r",IF(AND($H97="opportunity",$P97&lt;=0.05),"gn",IF(AND($H97="opportunity",$P97&lt;=0.14),"lb",IF(AND($H97="opportunity",$P97&gt;=0.15),"db","z"))))))</f>
        <v/>
      </c>
      <c r="BY97" s="58">
        <f>IF(AND($H97="threat",$BW97=0.9,$BV97=0.05),$D97 &amp; ";","")</f>
        <v/>
      </c>
      <c r="BZ97" s="58">
        <f>IF(AND($H97="threat",$BW97=0.9,$BV97=0.1),$D97 &amp; ";","")</f>
        <v/>
      </c>
      <c r="CA97" s="58">
        <f>IF(AND($H97="threat",$BW97=0.9,$BV97=0.2),$D97 &amp; ";","")</f>
        <v/>
      </c>
      <c r="CB97" s="58">
        <f>IF(AND($H97="threat",$BW97=0.9,$BV97=0.4),$D97 &amp; ";","")</f>
        <v/>
      </c>
      <c r="CC97" s="58">
        <f>IF(AND($H97="threat",$BW97=0.9,$BV97=0.8),$D97 &amp; ";","")</f>
        <v/>
      </c>
      <c r="CD97" s="58">
        <f>IF(AND($H97="threat",$BW97=0.7,$BV97=0.05),$D97 &amp; ";","")</f>
        <v/>
      </c>
      <c r="CE97" s="58">
        <f>IF(AND($H97="threat",$BW97=0.7,$BV97=0.1),$D97 &amp; ";","")</f>
        <v/>
      </c>
      <c r="CF97" s="58">
        <f>IF(AND($H97="threat",$BW97=0.7,$BV97=0.2),$D97 &amp; ";","")</f>
        <v/>
      </c>
      <c r="CG97" s="58">
        <f>IF(AND($H97="threat",$BW97=0.7,$BV97=0.4),$D97 &amp; ";","")</f>
        <v/>
      </c>
      <c r="CH97" s="58">
        <f>IF(AND($H97="threat",$BW97=0.7,$BV97=0.8),$D97 &amp; ";","")</f>
        <v/>
      </c>
      <c r="CI97" s="58">
        <f>IF(AND($H97="threat",$BW97=0.5,$BV97=0.05),$D97 &amp; ";","")</f>
        <v/>
      </c>
      <c r="CJ97" s="58">
        <f>IF(AND($H97="threat",$BW97=0.5,$BV97=0.1),$D97 &amp; ";","")</f>
        <v/>
      </c>
      <c r="CK97" s="58">
        <f>IF(AND($H97="threat",$BW97=0.5,$BV97=0.2),$D97 &amp; ";","")</f>
        <v/>
      </c>
      <c r="CL97" s="58">
        <f>IF(AND($H97="threat",$BW97=0.5,$BV97=0.4),$D97 &amp; ";","")</f>
        <v/>
      </c>
      <c r="CM97" s="58">
        <f>IF(AND($H97="threat",$BW97=0.5,$BV97=0.8),$D97 &amp; ";","")</f>
        <v/>
      </c>
      <c r="CN97" s="58">
        <f>IF(AND($H97="threat",$BW97=0.3,$BV97=0.05),$D97 &amp; ";","")</f>
        <v/>
      </c>
      <c r="CO97" s="58">
        <f>IF(AND($H97="threat",$BW97=0.3,$BV97=0.1),$D97 &amp; ";","")</f>
        <v/>
      </c>
      <c r="CP97" s="58">
        <f>IF(AND($H97="threat",$BW97=0.3,$BV97=0.2),$D97 &amp; ";","")</f>
        <v/>
      </c>
      <c r="CQ97" s="58">
        <f>IF(AND($H97="threat",$BW97=0.3,$BV97=0.4),$D97 &amp; ";","")</f>
        <v/>
      </c>
      <c r="CR97" s="58">
        <f>IF(AND($H97="threat",$BW97=0.3,$BV97=0.8),$D97 &amp; ";","")</f>
        <v/>
      </c>
      <c r="CS97" s="58">
        <f>IF(AND($H97="threat",$BW97=0.1,$BV97=0.05),$D97 &amp; ";","")</f>
        <v/>
      </c>
      <c r="CT97" s="58">
        <f>IF(AND($H97="threat",$BW97=0.1,$BV97=0.1),$D97 &amp; ";","")</f>
        <v/>
      </c>
      <c r="CU97" s="58">
        <f>IF(AND($H97="threat",$BW97=0.1,$BV97=0.2),$D97 &amp; ";","")</f>
        <v/>
      </c>
      <c r="CV97" s="58">
        <f>IF(AND($H97="threat",$BW97=0.1,$BV97=0.4),$D97 &amp; ";","")</f>
        <v/>
      </c>
      <c r="CW97" s="58">
        <f>IF(AND($H97="threat",$BW97=0.1,$BV97=0.8),$D97 &amp; ";","")</f>
        <v/>
      </c>
      <c r="CX97" s="39" t="n"/>
      <c r="CY97" s="58">
        <f>IF(AND($H97="opportunity",$BW97=0.9,$BV97=0.8),$D97 &amp; ";","")</f>
        <v/>
      </c>
      <c r="CZ97" s="58">
        <f>IF(AND($H97="opportunity",$BW97=0.9,$BV97=0.4),$D97 &amp; ";","")</f>
        <v/>
      </c>
      <c r="DA97" s="58">
        <f>IF(AND($H97="opportunity",$BW97=0.9,$BV97=0.2),$D97 &amp; ";","")</f>
        <v/>
      </c>
      <c r="DB97" s="58">
        <f>IF(AND($H97="opportunity",$BW97=0.9,$BV97=0.1),$D97 &amp; ";","")</f>
        <v/>
      </c>
      <c r="DC97" s="58">
        <f>IF(AND($H97="opportunity",$BW97=0.9,$BV97=0.05),$D97 &amp; ";","")</f>
        <v/>
      </c>
      <c r="DD97" s="58">
        <f>IF(AND($H97="opportunity",$BW97=0.7,$BV97=0.8),$D97 &amp; ";","")</f>
        <v/>
      </c>
      <c r="DE97" s="58">
        <f>IF(AND($H97="opportunity",$BW97=0.7,$BV97=0.4),$D97 &amp; ";","")</f>
        <v/>
      </c>
      <c r="DF97" s="58">
        <f>IF(AND($H97="opportunity",$BW97=0.7,$BV97=0.2),$D97 &amp; ";","")</f>
        <v/>
      </c>
      <c r="DG97" s="58">
        <f>IF(AND($H97="opportunity",$BW97=0.7,$BV97=0.1),$D97 &amp; ";","")</f>
        <v/>
      </c>
      <c r="DH97" s="58">
        <f>IF(AND($H97="opportunity",$BW97=0.7,$BV97=0.05),$D97 &amp; ";","")</f>
        <v/>
      </c>
      <c r="DI97" s="58">
        <f>IF(AND($H97="opportunity",$BW97=0.5,$BV97=0.8),$D97 &amp; ";","")</f>
        <v/>
      </c>
      <c r="DJ97" s="58">
        <f>IF(AND($H97="opportunity",$BW97=0.5,$BV97=0.4),$D97 &amp; ";","")</f>
        <v/>
      </c>
      <c r="DK97" s="58">
        <f>IF(AND($H97="opportunity",$BW97=0.5,$BV97=0.2),$D97 &amp; ";","")</f>
        <v/>
      </c>
      <c r="DL97" s="58">
        <f>IF(AND($H97="opportunity",$BW97=0.5,$BV97=0.1),$D97 &amp; ";","")</f>
        <v/>
      </c>
      <c r="DM97" s="58">
        <f>IF(AND($H97="opportunity",$BW97=0.5,$BV97=0.05),$D97 &amp; ";","")</f>
        <v/>
      </c>
      <c r="DN97" s="58">
        <f>IF(AND($H97="opportunity",$BW97=0.3,$BV97=0.8),$D97 &amp; ";","")</f>
        <v/>
      </c>
      <c r="DO97" s="58">
        <f>IF(AND($H97="opportunity",$BW97=0.3,$BV97=0.4),$D97 &amp; ";","")</f>
        <v/>
      </c>
      <c r="DP97" s="58">
        <f>IF(AND($H97="opportunity",$BW97=0.3,$BV97=0.2),$D97 &amp; ";","")</f>
        <v/>
      </c>
      <c r="DQ97" s="58">
        <f>IF(AND($H97="opportunity",$BW97=0.3,$BV97=0.1),$D97 &amp; ";","")</f>
        <v/>
      </c>
      <c r="DR97" s="58">
        <f>IF(AND($H97="opportunity",$BW97=0.3,$BV97=0.05),$D97 &amp; ";","")</f>
        <v/>
      </c>
      <c r="DS97" s="58">
        <f>IF(AND($H97="opportunity",$BW97=0.1,$BV97=0.8),$D97 &amp; ";","")</f>
        <v/>
      </c>
      <c r="DT97" s="58">
        <f>IF(AND($H97="opportunity",$BW97=0.1,$BV97=0.4),$D97 &amp; ";","")</f>
        <v/>
      </c>
      <c r="DU97" s="58">
        <f>IF(AND($H97="opportunity",$BW97=0.1,$BV97=0.2),$D97 &amp; ";","")</f>
        <v/>
      </c>
      <c r="DV97" s="58">
        <f>IF(AND($H97="opportunity",$BW97=0.1,$BV97=0.1),$D97 &amp; ";","")</f>
        <v/>
      </c>
      <c r="DW97" s="58">
        <f>IF(AND($H97="opportunity",$BW97=0.1,$BV97=0.05),$D97 &amp; ";","")</f>
        <v/>
      </c>
    </row>
    <row r="98">
      <c r="D98" s="60">
        <f>INDIRECT(ADDRESS(ROW()-22,COLUMN()-2,1,1,"Risk Register"))</f>
        <v/>
      </c>
      <c r="E98" s="143">
        <f>INDIRECT(ADDRESS(ROW()-22,COLUMN()-1,1,1,"Risk Register"))</f>
        <v/>
      </c>
      <c r="G98" s="56">
        <f>INDIRECT(ADDRESS(ROW()-22,COLUMN()+10,1,1,"Risk Register"))</f>
        <v/>
      </c>
      <c r="H98" s="60">
        <f>INDIRECT(ADDRESS(ROW()-22,COLUMN()+8,1,1,"Risk Register"))</f>
        <v/>
      </c>
      <c r="I98" s="54">
        <f>INDIRECT(ADDRESS(ROW()-22,COLUMN()+3,1,1,"Risk Register"))</f>
        <v/>
      </c>
      <c r="J98" s="143">
        <f>INDIRECT(ADDRESS(ROW()-22,COLUMN()+12,1,1,"Risk Register"))</f>
        <v/>
      </c>
      <c r="K98" s="143">
        <f>INDIRECT(ADDRESS(ROW()-22,COLUMN()-2,1,1,"Risk Register"))</f>
        <v/>
      </c>
      <c r="L98" s="176">
        <f>INDIRECT(ADDRESS(ROW()-22,COLUMN()+15,1,1,"Risk Register"))</f>
        <v/>
      </c>
      <c r="M98" s="54">
        <f>INDIRECT(ADDRESS(ROW()-22,COLUMN()+13,1,1,"Risk Register"))</f>
        <v/>
      </c>
      <c r="N98" s="143">
        <f>INDIRECT(ADDRESS(ROW()-22,COLUMN()-9,1,1,"Risk Register"))</f>
        <v/>
      </c>
      <c r="O98" s="143">
        <f>INDIRECT(ADDRESS(ROW()-22,COLUMN()-8,1,1,"Risk Register"))</f>
        <v/>
      </c>
      <c r="P98" s="56">
        <f>INDIRECT(ADDRESS(ROW()-22,COLUMN()+18,1,1,"Risk Register"))</f>
        <v/>
      </c>
      <c r="R98" s="57">
        <f>INDIRECT(ADDRESS(ROW()-22,COLUMN()-5,1,1,"Risk Register"))</f>
        <v/>
      </c>
      <c r="S98" s="58">
        <f>INDIRECT(ADDRESS(ROW()-22,COLUMN()-4,1,1,"Risk Register"))</f>
        <v/>
      </c>
      <c r="T98" s="59">
        <f>IF(AND($H98="threat",$G98&lt;=0.05),"gn",IF(AND($H98="threat",$G98&lt;=0.14),"y",IF(AND($H98="threat", $G98&gt;=0.15),"r",IF(AND($H98="opportunity",$G98&lt;=0.05),"gn",IF(AND($H98="opportunity",$G98&lt;=0.14),"lb",IF(AND($H98="opportunity",$G98&gt;=0.15),"db","z"))))))</f>
        <v/>
      </c>
      <c r="U98" s="58">
        <f>IF(AND($H98="threat",$S98=0.9,$R98=0.05),$D98 &amp; ";","")</f>
        <v/>
      </c>
      <c r="V98" s="58">
        <f>IF(AND($H98="threat",$S98=0.9,$R98=0.1),$D98 &amp; ";","")</f>
        <v/>
      </c>
      <c r="W98" s="58">
        <f>IF(AND($H98="threat",$S98=0.9,$R98=0.2),$D98 &amp; ";","")</f>
        <v/>
      </c>
      <c r="X98" s="58">
        <f>IF(AND($H98="threat",$S98=0.9,$R98=0.4),$D98 &amp; ";","")</f>
        <v/>
      </c>
      <c r="Y98" s="58">
        <f>IF(AND($H98="threat",$S98=0.9,$R98=0.8),$D98 &amp; ";","")</f>
        <v/>
      </c>
      <c r="Z98" s="58">
        <f>IF(AND($H98="threat",$S98=0.7,$R98=0.05),$D98 &amp; ";","")</f>
        <v/>
      </c>
      <c r="AA98" s="58">
        <f>IF(AND($H98="threat",$S98=0.7,$R98=0.1),$D98 &amp; ";","")</f>
        <v/>
      </c>
      <c r="AB98" s="58">
        <f>IF(AND($H98="threat",$S98=0.7,$R98=0.2),$D98 &amp; ";","")</f>
        <v/>
      </c>
      <c r="AC98" s="58">
        <f>IF(AND($H98="threat",$S98=0.7,$R98=0.4),$D98 &amp; ";","")</f>
        <v/>
      </c>
      <c r="AD98" s="58">
        <f>IF(AND($H98="threat",$S98=0.7,$R98=0.8),$D98 &amp; ";","")</f>
        <v/>
      </c>
      <c r="AE98" s="58">
        <f>IF(AND($H98="threat",$S98=0.5,$R98=0.05),$D98 &amp; ";","")</f>
        <v/>
      </c>
      <c r="AF98" s="58">
        <f>IF(AND($H98="threat",$S98=0.5,$R98=0.1),$D98 &amp; ";","")</f>
        <v/>
      </c>
      <c r="AG98" s="58">
        <f>IF(AND($H98="threat",$S98=0.5,$R98=0.2),$D98 &amp; ";","")</f>
        <v/>
      </c>
      <c r="AH98" s="58">
        <f>IF(AND($H98="threat",$S98=0.5,$R98=0.4),$D98 &amp; ";","")</f>
        <v/>
      </c>
      <c r="AI98" s="58">
        <f>IF(AND($H98="threat",$S98=0.5,$R98=0.8),$D98 &amp; ";","")</f>
        <v/>
      </c>
      <c r="AJ98" s="58">
        <f>IF(AND($H98="threat",$S98=0.3,$R98=0.05),$D98 &amp; ";","")</f>
        <v/>
      </c>
      <c r="AK98" s="58">
        <f>IF(AND($H98="threat",$S98=0.3,$R98=0.1),$D98 &amp; ";","")</f>
        <v/>
      </c>
      <c r="AL98" s="58">
        <f>IF(AND($H98="threat",$S98=0.3,$R98=0.2),$D98 &amp; ";","")</f>
        <v/>
      </c>
      <c r="AM98" s="58">
        <f>IF(AND($H98="threat",$S98=0.3,$R98=0.4),$D98 &amp; ";","")</f>
        <v/>
      </c>
      <c r="AN98" s="58">
        <f>IF(AND($H98="threat",$S98=0.3,$R98=0.8),$D98 &amp; ";","")</f>
        <v/>
      </c>
      <c r="AO98" s="58">
        <f>IF(AND($H98="threat",$S98=0.1,$R98=0.05),$D98 &amp; ";","")</f>
        <v/>
      </c>
      <c r="AP98" s="58">
        <f>IF(AND($H98="threat",$S98=0.1,$R98=0.1),$D98 &amp; ";","")</f>
        <v/>
      </c>
      <c r="AQ98" s="58">
        <f>IF(AND($H98="threat",$S98=0.1,$R98=0.2),$D98 &amp; ";","")</f>
        <v/>
      </c>
      <c r="AR98" s="58">
        <f>IF(AND($H98="threat",$S98=0.1,$R98=0.4),$D98 &amp; ";","")</f>
        <v/>
      </c>
      <c r="AS98" s="58">
        <f>IF(AND($H98="threat",$S98=0.1,$R98=0.8),$D98 &amp; ";","")</f>
        <v/>
      </c>
      <c r="AT98" s="39" t="n"/>
      <c r="AU98" s="58">
        <f>IF(AND($H98="opportunity",$S98=0.9,$R98=0.8),$D98 &amp; ";","")</f>
        <v/>
      </c>
      <c r="AV98" s="58">
        <f>IF(AND($H98="opportunity",$S98=0.9,$R98=0.4),$D98 &amp; ";","")</f>
        <v/>
      </c>
      <c r="AW98" s="58">
        <f>IF(AND($H98="opportunity",$S98=0.9,$R98=0.2),$D98 &amp; ";","")</f>
        <v/>
      </c>
      <c r="AX98" s="58">
        <f>IF(AND($H98="opportunity",$S98=0.9,$R98=0.1),$D98 &amp; ";","")</f>
        <v/>
      </c>
      <c r="AY98" s="58">
        <f>IF(AND($H98="opportunity",$S98=0.9,$R98=0.05),$D98 &amp; ";","")</f>
        <v/>
      </c>
      <c r="AZ98" s="58">
        <f>IF(AND($H98="opportunity",$S98=0.7,$R98=0.8),$D98 &amp; ";","")</f>
        <v/>
      </c>
      <c r="BA98" s="58">
        <f>IF(AND($H98="opportunity",$S98=0.7,$R98=0.4),$D98 &amp; ";","")</f>
        <v/>
      </c>
      <c r="BB98" s="58">
        <f>IF(AND($H98="opportunity",$S98=0.7,$R98=0.2),$D98 &amp; ";","")</f>
        <v/>
      </c>
      <c r="BC98" s="58">
        <f>IF(AND($H98="opportunity",$S98=0.7,$R98=0.1),$D98 &amp; ";","")</f>
        <v/>
      </c>
      <c r="BD98" s="58">
        <f>IF(AND($H98="opportunity",$S98=0.7,$R98=0.05),$D98 &amp; ";","")</f>
        <v/>
      </c>
      <c r="BE98" s="58">
        <f>IF(AND($H98="opportunity",$S98=0.5,$R98=0.8),$D98 &amp; ";","")</f>
        <v/>
      </c>
      <c r="BF98" s="58">
        <f>IF(AND($H98="opportunity",$S98=0.5,$R98=0.4),$D98 &amp; ";","")</f>
        <v/>
      </c>
      <c r="BG98" s="58">
        <f>IF(AND($H98="opportunity",$S98=0.5,$R98=0.2),$D98 &amp; ";","")</f>
        <v/>
      </c>
      <c r="BH98" s="58">
        <f>IF(AND($H98="opportunity",$S98=0.5,$R98=0.1),$D98 &amp; ";","")</f>
        <v/>
      </c>
      <c r="BI98" s="58">
        <f>IF(AND($H98="opportunity",$S98=0.5,$R98=0.05),$D98 &amp; ";","")</f>
        <v/>
      </c>
      <c r="BJ98" s="58">
        <f>IF(AND($H98="opportunity",$S98=0.3,$R98=0.8),$D98 &amp; ";","")</f>
        <v/>
      </c>
      <c r="BK98" s="58">
        <f>IF(AND($H98="opportunity",$S98=0.3,$R98=0.4),$D98 &amp; ";","")</f>
        <v/>
      </c>
      <c r="BL98" s="58">
        <f>IF(AND($H98="opportunity",$S98=0.3,$R98=0.2),$D98 &amp; ";","")</f>
        <v/>
      </c>
      <c r="BM98" s="58">
        <f>IF(AND($H98="opportunity",$S98=0.3,$R98=0.1),$D98 &amp; ";","")</f>
        <v/>
      </c>
      <c r="BN98" s="58">
        <f>IF(AND($H98="opportunity",$S98=0.3,$R98=0.05),$D98 &amp; ";","")</f>
        <v/>
      </c>
      <c r="BO98" s="58">
        <f>IF(AND($H98="opportunity",$S98=0.1,$R98=0.8),$D98 &amp; ";","")</f>
        <v/>
      </c>
      <c r="BP98" s="58">
        <f>IF(AND($H98="opportunity",$S98=0.1,$R98=0.4),$D98 &amp; ";","")</f>
        <v/>
      </c>
      <c r="BQ98" s="58">
        <f>IF(AND($H98="opportunity",$S98=0.1,$R98=0.2),$D98 &amp; ";","")</f>
        <v/>
      </c>
      <c r="BR98" s="58">
        <f>IF(AND($H98="opportunity",$S98=0.1,$R98=0.1),$D98 &amp; ";","")</f>
        <v/>
      </c>
      <c r="BS98" s="58">
        <f>IF(AND($H98="opportunity",$S98=0.1,$R98=0.05),$D98 &amp; ";","")</f>
        <v/>
      </c>
      <c r="BV98" s="57">
        <f>INDIRECT(ADDRESS(ROW()-22,COLUMN()-45,1,1,"Risk Register"))</f>
        <v/>
      </c>
      <c r="BW98" s="58">
        <f>INDIRECT(ADDRESS(ROW()-22,COLUMN()-44,1,1,"Risk Register"))</f>
        <v/>
      </c>
      <c r="BX98" s="59">
        <f>IF(AND($H98="threat",$P98&lt;=0.05),"gn",IF(AND($H98="threat",$P98&lt;=0.14),"y",IF(AND($H98="threat", $P98&gt;=0.15),"r",IF(AND($H98="opportunity",$P98&lt;=0.05),"gn",IF(AND($H98="opportunity",$P98&lt;=0.14),"lb",IF(AND($H98="opportunity",$P98&gt;=0.15),"db","z"))))))</f>
        <v/>
      </c>
      <c r="BY98" s="58">
        <f>IF(AND($H98="threat",$BW98=0.9,$BV98=0.05),$D98 &amp; ";","")</f>
        <v/>
      </c>
      <c r="BZ98" s="58">
        <f>IF(AND($H98="threat",$BW98=0.9,$BV98=0.1),$D98 &amp; ";","")</f>
        <v/>
      </c>
      <c r="CA98" s="58">
        <f>IF(AND($H98="threat",$BW98=0.9,$BV98=0.2),$D98 &amp; ";","")</f>
        <v/>
      </c>
      <c r="CB98" s="58">
        <f>IF(AND($H98="threat",$BW98=0.9,$BV98=0.4),$D98 &amp; ";","")</f>
        <v/>
      </c>
      <c r="CC98" s="58">
        <f>IF(AND($H98="threat",$BW98=0.9,$BV98=0.8),$D98 &amp; ";","")</f>
        <v/>
      </c>
      <c r="CD98" s="58">
        <f>IF(AND($H98="threat",$BW98=0.7,$BV98=0.05),$D98 &amp; ";","")</f>
        <v/>
      </c>
      <c r="CE98" s="58">
        <f>IF(AND($H98="threat",$BW98=0.7,$BV98=0.1),$D98 &amp; ";","")</f>
        <v/>
      </c>
      <c r="CF98" s="58">
        <f>IF(AND($H98="threat",$BW98=0.7,$BV98=0.2),$D98 &amp; ";","")</f>
        <v/>
      </c>
      <c r="CG98" s="58">
        <f>IF(AND($H98="threat",$BW98=0.7,$BV98=0.4),$D98 &amp; ";","")</f>
        <v/>
      </c>
      <c r="CH98" s="58">
        <f>IF(AND($H98="threat",$BW98=0.7,$BV98=0.8),$D98 &amp; ";","")</f>
        <v/>
      </c>
      <c r="CI98" s="58">
        <f>IF(AND($H98="threat",$BW98=0.5,$BV98=0.05),$D98 &amp; ";","")</f>
        <v/>
      </c>
      <c r="CJ98" s="58">
        <f>IF(AND($H98="threat",$BW98=0.5,$BV98=0.1),$D98 &amp; ";","")</f>
        <v/>
      </c>
      <c r="CK98" s="58">
        <f>IF(AND($H98="threat",$BW98=0.5,$BV98=0.2),$D98 &amp; ";","")</f>
        <v/>
      </c>
      <c r="CL98" s="58">
        <f>IF(AND($H98="threat",$BW98=0.5,$BV98=0.4),$D98 &amp; ";","")</f>
        <v/>
      </c>
      <c r="CM98" s="58">
        <f>IF(AND($H98="threat",$BW98=0.5,$BV98=0.8),$D98 &amp; ";","")</f>
        <v/>
      </c>
      <c r="CN98" s="58">
        <f>IF(AND($H98="threat",$BW98=0.3,$BV98=0.05),$D98 &amp; ";","")</f>
        <v/>
      </c>
      <c r="CO98" s="58">
        <f>IF(AND($H98="threat",$BW98=0.3,$BV98=0.1),$D98 &amp; ";","")</f>
        <v/>
      </c>
      <c r="CP98" s="58">
        <f>IF(AND($H98="threat",$BW98=0.3,$BV98=0.2),$D98 &amp; ";","")</f>
        <v/>
      </c>
      <c r="CQ98" s="58">
        <f>IF(AND($H98="threat",$BW98=0.3,$BV98=0.4),$D98 &amp; ";","")</f>
        <v/>
      </c>
      <c r="CR98" s="58">
        <f>IF(AND($H98="threat",$BW98=0.3,$BV98=0.8),$D98 &amp; ";","")</f>
        <v/>
      </c>
      <c r="CS98" s="58">
        <f>IF(AND($H98="threat",$BW98=0.1,$BV98=0.05),$D98 &amp; ";","")</f>
        <v/>
      </c>
      <c r="CT98" s="58">
        <f>IF(AND($H98="threat",$BW98=0.1,$BV98=0.1),$D98 &amp; ";","")</f>
        <v/>
      </c>
      <c r="CU98" s="58">
        <f>IF(AND($H98="threat",$BW98=0.1,$BV98=0.2),$D98 &amp; ";","")</f>
        <v/>
      </c>
      <c r="CV98" s="58">
        <f>IF(AND($H98="threat",$BW98=0.1,$BV98=0.4),$D98 &amp; ";","")</f>
        <v/>
      </c>
      <c r="CW98" s="58">
        <f>IF(AND($H98="threat",$BW98=0.1,$BV98=0.8),$D98 &amp; ";","")</f>
        <v/>
      </c>
      <c r="CX98" s="39" t="n"/>
      <c r="CY98" s="58">
        <f>IF(AND($H98="opportunity",$BW98=0.9,$BV98=0.8),$D98 &amp; ";","")</f>
        <v/>
      </c>
      <c r="CZ98" s="58">
        <f>IF(AND($H98="opportunity",$BW98=0.9,$BV98=0.4),$D98 &amp; ";","")</f>
        <v/>
      </c>
      <c r="DA98" s="58">
        <f>IF(AND($H98="opportunity",$BW98=0.9,$BV98=0.2),$D98 &amp; ";","")</f>
        <v/>
      </c>
      <c r="DB98" s="58">
        <f>IF(AND($H98="opportunity",$BW98=0.9,$BV98=0.1),$D98 &amp; ";","")</f>
        <v/>
      </c>
      <c r="DC98" s="58">
        <f>IF(AND($H98="opportunity",$BW98=0.9,$BV98=0.05),$D98 &amp; ";","")</f>
        <v/>
      </c>
      <c r="DD98" s="58">
        <f>IF(AND($H98="opportunity",$BW98=0.7,$BV98=0.8),$D98 &amp; ";","")</f>
        <v/>
      </c>
      <c r="DE98" s="58">
        <f>IF(AND($H98="opportunity",$BW98=0.7,$BV98=0.4),$D98 &amp; ";","")</f>
        <v/>
      </c>
      <c r="DF98" s="58">
        <f>IF(AND($H98="opportunity",$BW98=0.7,$BV98=0.2),$D98 &amp; ";","")</f>
        <v/>
      </c>
      <c r="DG98" s="58">
        <f>IF(AND($H98="opportunity",$BW98=0.7,$BV98=0.1),$D98 &amp; ";","")</f>
        <v/>
      </c>
      <c r="DH98" s="58">
        <f>IF(AND($H98="opportunity",$BW98=0.7,$BV98=0.05),$D98 &amp; ";","")</f>
        <v/>
      </c>
      <c r="DI98" s="58">
        <f>IF(AND($H98="opportunity",$BW98=0.5,$BV98=0.8),$D98 &amp; ";","")</f>
        <v/>
      </c>
      <c r="DJ98" s="58">
        <f>IF(AND($H98="opportunity",$BW98=0.5,$BV98=0.4),$D98 &amp; ";","")</f>
        <v/>
      </c>
      <c r="DK98" s="58">
        <f>IF(AND($H98="opportunity",$BW98=0.5,$BV98=0.2),$D98 &amp; ";","")</f>
        <v/>
      </c>
      <c r="DL98" s="58">
        <f>IF(AND($H98="opportunity",$BW98=0.5,$BV98=0.1),$D98 &amp; ";","")</f>
        <v/>
      </c>
      <c r="DM98" s="58">
        <f>IF(AND($H98="opportunity",$BW98=0.5,$BV98=0.05),$D98 &amp; ";","")</f>
        <v/>
      </c>
      <c r="DN98" s="58">
        <f>IF(AND($H98="opportunity",$BW98=0.3,$BV98=0.8),$D98 &amp; ";","")</f>
        <v/>
      </c>
      <c r="DO98" s="58">
        <f>IF(AND($H98="opportunity",$BW98=0.3,$BV98=0.4),$D98 &amp; ";","")</f>
        <v/>
      </c>
      <c r="DP98" s="58">
        <f>IF(AND($H98="opportunity",$BW98=0.3,$BV98=0.2),$D98 &amp; ";","")</f>
        <v/>
      </c>
      <c r="DQ98" s="58">
        <f>IF(AND($H98="opportunity",$BW98=0.3,$BV98=0.1),$D98 &amp; ";","")</f>
        <v/>
      </c>
      <c r="DR98" s="58">
        <f>IF(AND($H98="opportunity",$BW98=0.3,$BV98=0.05),$D98 &amp; ";","")</f>
        <v/>
      </c>
      <c r="DS98" s="58">
        <f>IF(AND($H98="opportunity",$BW98=0.1,$BV98=0.8),$D98 &amp; ";","")</f>
        <v/>
      </c>
      <c r="DT98" s="58">
        <f>IF(AND($H98="opportunity",$BW98=0.1,$BV98=0.4),$D98 &amp; ";","")</f>
        <v/>
      </c>
      <c r="DU98" s="58">
        <f>IF(AND($H98="opportunity",$BW98=0.1,$BV98=0.2),$D98 &amp; ";","")</f>
        <v/>
      </c>
      <c r="DV98" s="58">
        <f>IF(AND($H98="opportunity",$BW98=0.1,$BV98=0.1),$D98 &amp; ";","")</f>
        <v/>
      </c>
      <c r="DW98" s="58">
        <f>IF(AND($H98="opportunity",$BW98=0.1,$BV98=0.05),$D98 &amp; ";","")</f>
        <v/>
      </c>
    </row>
    <row r="99">
      <c r="D99" s="60">
        <f>INDIRECT(ADDRESS(ROW()-22,COLUMN()-2,1,1,"Risk Register"))</f>
        <v/>
      </c>
      <c r="E99" s="143">
        <f>INDIRECT(ADDRESS(ROW()-22,COLUMN()-1,1,1,"Risk Register"))</f>
        <v/>
      </c>
      <c r="G99" s="56">
        <f>INDIRECT(ADDRESS(ROW()-22,COLUMN()+10,1,1,"Risk Register"))</f>
        <v/>
      </c>
      <c r="H99" s="60">
        <f>INDIRECT(ADDRESS(ROW()-22,COLUMN()+8,1,1,"Risk Register"))</f>
        <v/>
      </c>
      <c r="I99" s="54">
        <f>INDIRECT(ADDRESS(ROW()-22,COLUMN()+3,1,1,"Risk Register"))</f>
        <v/>
      </c>
      <c r="J99" s="143">
        <f>INDIRECT(ADDRESS(ROW()-22,COLUMN()+12,1,1,"Risk Register"))</f>
        <v/>
      </c>
      <c r="K99" s="143">
        <f>INDIRECT(ADDRESS(ROW()-22,COLUMN()-2,1,1,"Risk Register"))</f>
        <v/>
      </c>
      <c r="L99" s="176">
        <f>INDIRECT(ADDRESS(ROW()-22,COLUMN()+15,1,1,"Risk Register"))</f>
        <v/>
      </c>
      <c r="M99" s="54">
        <f>INDIRECT(ADDRESS(ROW()-22,COLUMN()+13,1,1,"Risk Register"))</f>
        <v/>
      </c>
      <c r="N99" s="143">
        <f>INDIRECT(ADDRESS(ROW()-22,COLUMN()-9,1,1,"Risk Register"))</f>
        <v/>
      </c>
      <c r="O99" s="143">
        <f>INDIRECT(ADDRESS(ROW()-22,COLUMN()-8,1,1,"Risk Register"))</f>
        <v/>
      </c>
      <c r="P99" s="56">
        <f>INDIRECT(ADDRESS(ROW()-22,COLUMN()+18,1,1,"Risk Register"))</f>
        <v/>
      </c>
      <c r="R99" s="57">
        <f>INDIRECT(ADDRESS(ROW()-22,COLUMN()-5,1,1,"Risk Register"))</f>
        <v/>
      </c>
      <c r="S99" s="58">
        <f>INDIRECT(ADDRESS(ROW()-22,COLUMN()-4,1,1,"Risk Register"))</f>
        <v/>
      </c>
      <c r="T99" s="59">
        <f>IF(AND($H99="threat",$G99&lt;=0.05),"gn",IF(AND($H99="threat",$G99&lt;=0.14),"y",IF(AND($H99="threat", $G99&gt;=0.15),"r",IF(AND($H99="opportunity",$G99&lt;=0.05),"gn",IF(AND($H99="opportunity",$G99&lt;=0.14),"lb",IF(AND($H99="opportunity",$G99&gt;=0.15),"db","z"))))))</f>
        <v/>
      </c>
      <c r="U99" s="58">
        <f>IF(AND($H99="threat",$S99=0.9,$R99=0.05),$D99 &amp; ";","")</f>
        <v/>
      </c>
      <c r="V99" s="58">
        <f>IF(AND($H99="threat",$S99=0.9,$R99=0.1),$D99 &amp; ";","")</f>
        <v/>
      </c>
      <c r="W99" s="58">
        <f>IF(AND($H99="threat",$S99=0.9,$R99=0.2),$D99 &amp; ";","")</f>
        <v/>
      </c>
      <c r="X99" s="58">
        <f>IF(AND($H99="threat",$S99=0.9,$R99=0.4),$D99 &amp; ";","")</f>
        <v/>
      </c>
      <c r="Y99" s="58">
        <f>IF(AND($H99="threat",$S99=0.9,$R99=0.8),$D99 &amp; ";","")</f>
        <v/>
      </c>
      <c r="Z99" s="58">
        <f>IF(AND($H99="threat",$S99=0.7,$R99=0.05),$D99 &amp; ";","")</f>
        <v/>
      </c>
      <c r="AA99" s="58">
        <f>IF(AND($H99="threat",$S99=0.7,$R99=0.1),$D99 &amp; ";","")</f>
        <v/>
      </c>
      <c r="AB99" s="58">
        <f>IF(AND($H99="threat",$S99=0.7,$R99=0.2),$D99 &amp; ";","")</f>
        <v/>
      </c>
      <c r="AC99" s="58">
        <f>IF(AND($H99="threat",$S99=0.7,$R99=0.4),$D99 &amp; ";","")</f>
        <v/>
      </c>
      <c r="AD99" s="58">
        <f>IF(AND($H99="threat",$S99=0.7,$R99=0.8),$D99 &amp; ";","")</f>
        <v/>
      </c>
      <c r="AE99" s="58">
        <f>IF(AND($H99="threat",$S99=0.5,$R99=0.05),$D99 &amp; ";","")</f>
        <v/>
      </c>
      <c r="AF99" s="58">
        <f>IF(AND($H99="threat",$S99=0.5,$R99=0.1),$D99 &amp; ";","")</f>
        <v/>
      </c>
      <c r="AG99" s="58">
        <f>IF(AND($H99="threat",$S99=0.5,$R99=0.2),$D99 &amp; ";","")</f>
        <v/>
      </c>
      <c r="AH99" s="58">
        <f>IF(AND($H99="threat",$S99=0.5,$R99=0.4),$D99 &amp; ";","")</f>
        <v/>
      </c>
      <c r="AI99" s="58">
        <f>IF(AND($H99="threat",$S99=0.5,$R99=0.8),$D99 &amp; ";","")</f>
        <v/>
      </c>
      <c r="AJ99" s="58">
        <f>IF(AND($H99="threat",$S99=0.3,$R99=0.05),$D99 &amp; ";","")</f>
        <v/>
      </c>
      <c r="AK99" s="58">
        <f>IF(AND($H99="threat",$S99=0.3,$R99=0.1),$D99 &amp; ";","")</f>
        <v/>
      </c>
      <c r="AL99" s="58">
        <f>IF(AND($H99="threat",$S99=0.3,$R99=0.2),$D99 &amp; ";","")</f>
        <v/>
      </c>
      <c r="AM99" s="58">
        <f>IF(AND($H99="threat",$S99=0.3,$R99=0.4),$D99 &amp; ";","")</f>
        <v/>
      </c>
      <c r="AN99" s="58">
        <f>IF(AND($H99="threat",$S99=0.3,$R99=0.8),$D99 &amp; ";","")</f>
        <v/>
      </c>
      <c r="AO99" s="58">
        <f>IF(AND($H99="threat",$S99=0.1,$R99=0.05),$D99 &amp; ";","")</f>
        <v/>
      </c>
      <c r="AP99" s="58">
        <f>IF(AND($H99="threat",$S99=0.1,$R99=0.1),$D99 &amp; ";","")</f>
        <v/>
      </c>
      <c r="AQ99" s="58">
        <f>IF(AND($H99="threat",$S99=0.1,$R99=0.2),$D99 &amp; ";","")</f>
        <v/>
      </c>
      <c r="AR99" s="58">
        <f>IF(AND($H99="threat",$S99=0.1,$R99=0.4),$D99 &amp; ";","")</f>
        <v/>
      </c>
      <c r="AS99" s="58">
        <f>IF(AND($H99="threat",$S99=0.1,$R99=0.8),$D99 &amp; ";","")</f>
        <v/>
      </c>
      <c r="AT99" s="39" t="n"/>
      <c r="AU99" s="58">
        <f>IF(AND($H99="opportunity",$S99=0.9,$R99=0.8),$D99 &amp; ";","")</f>
        <v/>
      </c>
      <c r="AV99" s="58">
        <f>IF(AND($H99="opportunity",$S99=0.9,$R99=0.4),$D99 &amp; ";","")</f>
        <v/>
      </c>
      <c r="AW99" s="58">
        <f>IF(AND($H99="opportunity",$S99=0.9,$R99=0.2),$D99 &amp; ";","")</f>
        <v/>
      </c>
      <c r="AX99" s="58">
        <f>IF(AND($H99="opportunity",$S99=0.9,$R99=0.1),$D99 &amp; ";","")</f>
        <v/>
      </c>
      <c r="AY99" s="58">
        <f>IF(AND($H99="opportunity",$S99=0.9,$R99=0.05),$D99 &amp; ";","")</f>
        <v/>
      </c>
      <c r="AZ99" s="58">
        <f>IF(AND($H99="opportunity",$S99=0.7,$R99=0.8),$D99 &amp; ";","")</f>
        <v/>
      </c>
      <c r="BA99" s="58">
        <f>IF(AND($H99="opportunity",$S99=0.7,$R99=0.4),$D99 &amp; ";","")</f>
        <v/>
      </c>
      <c r="BB99" s="58">
        <f>IF(AND($H99="opportunity",$S99=0.7,$R99=0.2),$D99 &amp; ";","")</f>
        <v/>
      </c>
      <c r="BC99" s="58">
        <f>IF(AND($H99="opportunity",$S99=0.7,$R99=0.1),$D99 &amp; ";","")</f>
        <v/>
      </c>
      <c r="BD99" s="58">
        <f>IF(AND($H99="opportunity",$S99=0.7,$R99=0.05),$D99 &amp; ";","")</f>
        <v/>
      </c>
      <c r="BE99" s="58">
        <f>IF(AND($H99="opportunity",$S99=0.5,$R99=0.8),$D99 &amp; ";","")</f>
        <v/>
      </c>
      <c r="BF99" s="58">
        <f>IF(AND($H99="opportunity",$S99=0.5,$R99=0.4),$D99 &amp; ";","")</f>
        <v/>
      </c>
      <c r="BG99" s="58">
        <f>IF(AND($H99="opportunity",$S99=0.5,$R99=0.2),$D99 &amp; ";","")</f>
        <v/>
      </c>
      <c r="BH99" s="58">
        <f>IF(AND($H99="opportunity",$S99=0.5,$R99=0.1),$D99 &amp; ";","")</f>
        <v/>
      </c>
      <c r="BI99" s="58">
        <f>IF(AND($H99="opportunity",$S99=0.5,$R99=0.05),$D99 &amp; ";","")</f>
        <v/>
      </c>
      <c r="BJ99" s="58">
        <f>IF(AND($H99="opportunity",$S99=0.3,$R99=0.8),$D99 &amp; ";","")</f>
        <v/>
      </c>
      <c r="BK99" s="58">
        <f>IF(AND($H99="opportunity",$S99=0.3,$R99=0.4),$D99 &amp; ";","")</f>
        <v/>
      </c>
      <c r="BL99" s="58">
        <f>IF(AND($H99="opportunity",$S99=0.3,$R99=0.2),$D99 &amp; ";","")</f>
        <v/>
      </c>
      <c r="BM99" s="58">
        <f>IF(AND($H99="opportunity",$S99=0.3,$R99=0.1),$D99 &amp; ";","")</f>
        <v/>
      </c>
      <c r="BN99" s="58">
        <f>IF(AND($H99="opportunity",$S99=0.3,$R99=0.05),$D99 &amp; ";","")</f>
        <v/>
      </c>
      <c r="BO99" s="58">
        <f>IF(AND($H99="opportunity",$S99=0.1,$R99=0.8),$D99 &amp; ";","")</f>
        <v/>
      </c>
      <c r="BP99" s="58">
        <f>IF(AND($H99="opportunity",$S99=0.1,$R99=0.4),$D99 &amp; ";","")</f>
        <v/>
      </c>
      <c r="BQ99" s="58">
        <f>IF(AND($H99="opportunity",$S99=0.1,$R99=0.2),$D99 &amp; ";","")</f>
        <v/>
      </c>
      <c r="BR99" s="58">
        <f>IF(AND($H99="opportunity",$S99=0.1,$R99=0.1),$D99 &amp; ";","")</f>
        <v/>
      </c>
      <c r="BS99" s="58">
        <f>IF(AND($H99="opportunity",$S99=0.1,$R99=0.05),$D99 &amp; ";","")</f>
        <v/>
      </c>
      <c r="BV99" s="57">
        <f>INDIRECT(ADDRESS(ROW()-22,COLUMN()-45,1,1,"Risk Register"))</f>
        <v/>
      </c>
      <c r="BW99" s="58">
        <f>INDIRECT(ADDRESS(ROW()-22,COLUMN()-44,1,1,"Risk Register"))</f>
        <v/>
      </c>
      <c r="BX99" s="59">
        <f>IF(AND($H99="threat",$P99&lt;=0.05),"gn",IF(AND($H99="threat",$P99&lt;=0.14),"y",IF(AND($H99="threat", $P99&gt;=0.15),"r",IF(AND($H99="opportunity",$P99&lt;=0.05),"gn",IF(AND($H99="opportunity",$P99&lt;=0.14),"lb",IF(AND($H99="opportunity",$P99&gt;=0.15),"db","z"))))))</f>
        <v/>
      </c>
      <c r="BY99" s="58">
        <f>IF(AND($H99="threat",$BW99=0.9,$BV99=0.05),$D99 &amp; ";","")</f>
        <v/>
      </c>
      <c r="BZ99" s="58">
        <f>IF(AND($H99="threat",$BW99=0.9,$BV99=0.1),$D99 &amp; ";","")</f>
        <v/>
      </c>
      <c r="CA99" s="58">
        <f>IF(AND($H99="threat",$BW99=0.9,$BV99=0.2),$D99 &amp; ";","")</f>
        <v/>
      </c>
      <c r="CB99" s="58">
        <f>IF(AND($H99="threat",$BW99=0.9,$BV99=0.4),$D99 &amp; ";","")</f>
        <v/>
      </c>
      <c r="CC99" s="58">
        <f>IF(AND($H99="threat",$BW99=0.9,$BV99=0.8),$D99 &amp; ";","")</f>
        <v/>
      </c>
      <c r="CD99" s="58">
        <f>IF(AND($H99="threat",$BW99=0.7,$BV99=0.05),$D99 &amp; ";","")</f>
        <v/>
      </c>
      <c r="CE99" s="58">
        <f>IF(AND($H99="threat",$BW99=0.7,$BV99=0.1),$D99 &amp; ";","")</f>
        <v/>
      </c>
      <c r="CF99" s="58">
        <f>IF(AND($H99="threat",$BW99=0.7,$BV99=0.2),$D99 &amp; ";","")</f>
        <v/>
      </c>
      <c r="CG99" s="58">
        <f>IF(AND($H99="threat",$BW99=0.7,$BV99=0.4),$D99 &amp; ";","")</f>
        <v/>
      </c>
      <c r="CH99" s="58">
        <f>IF(AND($H99="threat",$BW99=0.7,$BV99=0.8),$D99 &amp; ";","")</f>
        <v/>
      </c>
      <c r="CI99" s="58">
        <f>IF(AND($H99="threat",$BW99=0.5,$BV99=0.05),$D99 &amp; ";","")</f>
        <v/>
      </c>
      <c r="CJ99" s="58">
        <f>IF(AND($H99="threat",$BW99=0.5,$BV99=0.1),$D99 &amp; ";","")</f>
        <v/>
      </c>
      <c r="CK99" s="58">
        <f>IF(AND($H99="threat",$BW99=0.5,$BV99=0.2),$D99 &amp; ";","")</f>
        <v/>
      </c>
      <c r="CL99" s="58">
        <f>IF(AND($H99="threat",$BW99=0.5,$BV99=0.4),$D99 &amp; ";","")</f>
        <v/>
      </c>
      <c r="CM99" s="58">
        <f>IF(AND($H99="threat",$BW99=0.5,$BV99=0.8),$D99 &amp; ";","")</f>
        <v/>
      </c>
      <c r="CN99" s="58">
        <f>IF(AND($H99="threat",$BW99=0.3,$BV99=0.05),$D99 &amp; ";","")</f>
        <v/>
      </c>
      <c r="CO99" s="58">
        <f>IF(AND($H99="threat",$BW99=0.3,$BV99=0.1),$D99 &amp; ";","")</f>
        <v/>
      </c>
      <c r="CP99" s="58">
        <f>IF(AND($H99="threat",$BW99=0.3,$BV99=0.2),$D99 &amp; ";","")</f>
        <v/>
      </c>
      <c r="CQ99" s="58">
        <f>IF(AND($H99="threat",$BW99=0.3,$BV99=0.4),$D99 &amp; ";","")</f>
        <v/>
      </c>
      <c r="CR99" s="58">
        <f>IF(AND($H99="threat",$BW99=0.3,$BV99=0.8),$D99 &amp; ";","")</f>
        <v/>
      </c>
      <c r="CS99" s="58">
        <f>IF(AND($H99="threat",$BW99=0.1,$BV99=0.05),$D99 &amp; ";","")</f>
        <v/>
      </c>
      <c r="CT99" s="58">
        <f>IF(AND($H99="threat",$BW99=0.1,$BV99=0.1),$D99 &amp; ";","")</f>
        <v/>
      </c>
      <c r="CU99" s="58">
        <f>IF(AND($H99="threat",$BW99=0.1,$BV99=0.2),$D99 &amp; ";","")</f>
        <v/>
      </c>
      <c r="CV99" s="58">
        <f>IF(AND($H99="threat",$BW99=0.1,$BV99=0.4),$D99 &amp; ";","")</f>
        <v/>
      </c>
      <c r="CW99" s="58">
        <f>IF(AND($H99="threat",$BW99=0.1,$BV99=0.8),$D99 &amp; ";","")</f>
        <v/>
      </c>
      <c r="CX99" s="39" t="n"/>
      <c r="CY99" s="58">
        <f>IF(AND($H99="opportunity",$BW99=0.9,$BV99=0.8),$D99 &amp; ";","")</f>
        <v/>
      </c>
      <c r="CZ99" s="58">
        <f>IF(AND($H99="opportunity",$BW99=0.9,$BV99=0.4),$D99 &amp; ";","")</f>
        <v/>
      </c>
      <c r="DA99" s="58">
        <f>IF(AND($H99="opportunity",$BW99=0.9,$BV99=0.2),$D99 &amp; ";","")</f>
        <v/>
      </c>
      <c r="DB99" s="58">
        <f>IF(AND($H99="opportunity",$BW99=0.9,$BV99=0.1),$D99 &amp; ";","")</f>
        <v/>
      </c>
      <c r="DC99" s="58">
        <f>IF(AND($H99="opportunity",$BW99=0.9,$BV99=0.05),$D99 &amp; ";","")</f>
        <v/>
      </c>
      <c r="DD99" s="58">
        <f>IF(AND($H99="opportunity",$BW99=0.7,$BV99=0.8),$D99 &amp; ";","")</f>
        <v/>
      </c>
      <c r="DE99" s="58">
        <f>IF(AND($H99="opportunity",$BW99=0.7,$BV99=0.4),$D99 &amp; ";","")</f>
        <v/>
      </c>
      <c r="DF99" s="58">
        <f>IF(AND($H99="opportunity",$BW99=0.7,$BV99=0.2),$D99 &amp; ";","")</f>
        <v/>
      </c>
      <c r="DG99" s="58">
        <f>IF(AND($H99="opportunity",$BW99=0.7,$BV99=0.1),$D99 &amp; ";","")</f>
        <v/>
      </c>
      <c r="DH99" s="58">
        <f>IF(AND($H99="opportunity",$BW99=0.7,$BV99=0.05),$D99 &amp; ";","")</f>
        <v/>
      </c>
      <c r="DI99" s="58">
        <f>IF(AND($H99="opportunity",$BW99=0.5,$BV99=0.8),$D99 &amp; ";","")</f>
        <v/>
      </c>
      <c r="DJ99" s="58">
        <f>IF(AND($H99="opportunity",$BW99=0.5,$BV99=0.4),$D99 &amp; ";","")</f>
        <v/>
      </c>
      <c r="DK99" s="58">
        <f>IF(AND($H99="opportunity",$BW99=0.5,$BV99=0.2),$D99 &amp; ";","")</f>
        <v/>
      </c>
      <c r="DL99" s="58">
        <f>IF(AND($H99="opportunity",$BW99=0.5,$BV99=0.1),$D99 &amp; ";","")</f>
        <v/>
      </c>
      <c r="DM99" s="58">
        <f>IF(AND($H99="opportunity",$BW99=0.5,$BV99=0.05),$D99 &amp; ";","")</f>
        <v/>
      </c>
      <c r="DN99" s="58">
        <f>IF(AND($H99="opportunity",$BW99=0.3,$BV99=0.8),$D99 &amp; ";","")</f>
        <v/>
      </c>
      <c r="DO99" s="58">
        <f>IF(AND($H99="opportunity",$BW99=0.3,$BV99=0.4),$D99 &amp; ";","")</f>
        <v/>
      </c>
      <c r="DP99" s="58">
        <f>IF(AND($H99="opportunity",$BW99=0.3,$BV99=0.2),$D99 &amp; ";","")</f>
        <v/>
      </c>
      <c r="DQ99" s="58">
        <f>IF(AND($H99="opportunity",$BW99=0.3,$BV99=0.1),$D99 &amp; ";","")</f>
        <v/>
      </c>
      <c r="DR99" s="58">
        <f>IF(AND($H99="opportunity",$BW99=0.3,$BV99=0.05),$D99 &amp; ";","")</f>
        <v/>
      </c>
      <c r="DS99" s="58">
        <f>IF(AND($H99="opportunity",$BW99=0.1,$BV99=0.8),$D99 &amp; ";","")</f>
        <v/>
      </c>
      <c r="DT99" s="58">
        <f>IF(AND($H99="opportunity",$BW99=0.1,$BV99=0.4),$D99 &amp; ";","")</f>
        <v/>
      </c>
      <c r="DU99" s="58">
        <f>IF(AND($H99="opportunity",$BW99=0.1,$BV99=0.2),$D99 &amp; ";","")</f>
        <v/>
      </c>
      <c r="DV99" s="58">
        <f>IF(AND($H99="opportunity",$BW99=0.1,$BV99=0.1),$D99 &amp; ";","")</f>
        <v/>
      </c>
      <c r="DW99" s="58">
        <f>IF(AND($H99="opportunity",$BW99=0.1,$BV99=0.05),$D99 &amp; ";","")</f>
        <v/>
      </c>
    </row>
    <row r="100">
      <c r="D100" s="60">
        <f>INDIRECT(ADDRESS(ROW()-22,COLUMN()-2,1,1,"Risk Register"))</f>
        <v/>
      </c>
      <c r="E100" s="143">
        <f>INDIRECT(ADDRESS(ROW()-22,COLUMN()-1,1,1,"Risk Register"))</f>
        <v/>
      </c>
      <c r="G100" s="56">
        <f>INDIRECT(ADDRESS(ROW()-22,COLUMN()+10,1,1,"Risk Register"))</f>
        <v/>
      </c>
      <c r="H100" s="60">
        <f>INDIRECT(ADDRESS(ROW()-22,COLUMN()+8,1,1,"Risk Register"))</f>
        <v/>
      </c>
      <c r="I100" s="54">
        <f>INDIRECT(ADDRESS(ROW()-22,COLUMN()+3,1,1,"Risk Register"))</f>
        <v/>
      </c>
      <c r="J100" s="143">
        <f>INDIRECT(ADDRESS(ROW()-22,COLUMN()+12,1,1,"Risk Register"))</f>
        <v/>
      </c>
      <c r="K100" s="143">
        <f>INDIRECT(ADDRESS(ROW()-22,COLUMN()-2,1,1,"Risk Register"))</f>
        <v/>
      </c>
      <c r="L100" s="176">
        <f>INDIRECT(ADDRESS(ROW()-22,COLUMN()+15,1,1,"Risk Register"))</f>
        <v/>
      </c>
      <c r="M100" s="54">
        <f>INDIRECT(ADDRESS(ROW()-22,COLUMN()+13,1,1,"Risk Register"))</f>
        <v/>
      </c>
      <c r="N100" s="143">
        <f>INDIRECT(ADDRESS(ROW()-22,COLUMN()-9,1,1,"Risk Register"))</f>
        <v/>
      </c>
      <c r="O100" s="143">
        <f>INDIRECT(ADDRESS(ROW()-22,COLUMN()-8,1,1,"Risk Register"))</f>
        <v/>
      </c>
      <c r="P100" s="56">
        <f>INDIRECT(ADDRESS(ROW()-22,COLUMN()+18,1,1,"Risk Register"))</f>
        <v/>
      </c>
      <c r="R100" s="57">
        <f>INDIRECT(ADDRESS(ROW()-22,COLUMN()-5,1,1,"Risk Register"))</f>
        <v/>
      </c>
      <c r="S100" s="58">
        <f>INDIRECT(ADDRESS(ROW()-22,COLUMN()-4,1,1,"Risk Register"))</f>
        <v/>
      </c>
      <c r="T100" s="59">
        <f>IF(AND($H100="threat",$G100&lt;=0.05),"gn",IF(AND($H100="threat",$G100&lt;=0.14),"y",IF(AND($H100="threat", $G100&gt;=0.15),"r",IF(AND($H100="opportunity",$G100&lt;=0.05),"gn",IF(AND($H100="opportunity",$G100&lt;=0.14),"lb",IF(AND($H100="opportunity",$G100&gt;=0.15),"db","z"))))))</f>
        <v/>
      </c>
      <c r="U100" s="58">
        <f>IF(AND($H100="threat",$S100=0.9,$R100=0.05),$D100 &amp; ";","")</f>
        <v/>
      </c>
      <c r="V100" s="58">
        <f>IF(AND($H100="threat",$S100=0.9,$R100=0.1),$D100 &amp; ";","")</f>
        <v/>
      </c>
      <c r="W100" s="58">
        <f>IF(AND($H100="threat",$S100=0.9,$R100=0.2),$D100 &amp; ";","")</f>
        <v/>
      </c>
      <c r="X100" s="58">
        <f>IF(AND($H100="threat",$S100=0.9,$R100=0.4),$D100 &amp; ";","")</f>
        <v/>
      </c>
      <c r="Y100" s="58">
        <f>IF(AND($H100="threat",$S100=0.9,$R100=0.8),$D100 &amp; ";","")</f>
        <v/>
      </c>
      <c r="Z100" s="58">
        <f>IF(AND($H100="threat",$S100=0.7,$R100=0.05),$D100 &amp; ";","")</f>
        <v/>
      </c>
      <c r="AA100" s="58">
        <f>IF(AND($H100="threat",$S100=0.7,$R100=0.1),$D100 &amp; ";","")</f>
        <v/>
      </c>
      <c r="AB100" s="58">
        <f>IF(AND($H100="threat",$S100=0.7,$R100=0.2),$D100 &amp; ";","")</f>
        <v/>
      </c>
      <c r="AC100" s="58">
        <f>IF(AND($H100="threat",$S100=0.7,$R100=0.4),$D100 &amp; ";","")</f>
        <v/>
      </c>
      <c r="AD100" s="58">
        <f>IF(AND($H100="threat",$S100=0.7,$R100=0.8),$D100 &amp; ";","")</f>
        <v/>
      </c>
      <c r="AE100" s="58">
        <f>IF(AND($H100="threat",$S100=0.5,$R100=0.05),$D100 &amp; ";","")</f>
        <v/>
      </c>
      <c r="AF100" s="58">
        <f>IF(AND($H100="threat",$S100=0.5,$R100=0.1),$D100 &amp; ";","")</f>
        <v/>
      </c>
      <c r="AG100" s="58">
        <f>IF(AND($H100="threat",$S100=0.5,$R100=0.2),$D100 &amp; ";","")</f>
        <v/>
      </c>
      <c r="AH100" s="58">
        <f>IF(AND($H100="threat",$S100=0.5,$R100=0.4),$D100 &amp; ";","")</f>
        <v/>
      </c>
      <c r="AI100" s="58">
        <f>IF(AND($H100="threat",$S100=0.5,$R100=0.8),$D100 &amp; ";","")</f>
        <v/>
      </c>
      <c r="AJ100" s="58">
        <f>IF(AND($H100="threat",$S100=0.3,$R100=0.05),$D100 &amp; ";","")</f>
        <v/>
      </c>
      <c r="AK100" s="58">
        <f>IF(AND($H100="threat",$S100=0.3,$R100=0.1),$D100 &amp; ";","")</f>
        <v/>
      </c>
      <c r="AL100" s="58">
        <f>IF(AND($H100="threat",$S100=0.3,$R100=0.2),$D100 &amp; ";","")</f>
        <v/>
      </c>
      <c r="AM100" s="58">
        <f>IF(AND($H100="threat",$S100=0.3,$R100=0.4),$D100 &amp; ";","")</f>
        <v/>
      </c>
      <c r="AN100" s="58">
        <f>IF(AND($H100="threat",$S100=0.3,$R100=0.8),$D100 &amp; ";","")</f>
        <v/>
      </c>
      <c r="AO100" s="58">
        <f>IF(AND($H100="threat",$S100=0.1,$R100=0.05),$D100 &amp; ";","")</f>
        <v/>
      </c>
      <c r="AP100" s="58">
        <f>IF(AND($H100="threat",$S100=0.1,$R100=0.1),$D100 &amp; ";","")</f>
        <v/>
      </c>
      <c r="AQ100" s="58">
        <f>IF(AND($H100="threat",$S100=0.1,$R100=0.2),$D100 &amp; ";","")</f>
        <v/>
      </c>
      <c r="AR100" s="58">
        <f>IF(AND($H100="threat",$S100=0.1,$R100=0.4),$D100 &amp; ";","")</f>
        <v/>
      </c>
      <c r="AS100" s="58">
        <f>IF(AND($H100="threat",$S100=0.1,$R100=0.8),$D100 &amp; ";","")</f>
        <v/>
      </c>
      <c r="AT100" s="39" t="n"/>
      <c r="AU100" s="58">
        <f>IF(AND($H100="opportunity",$S100=0.9,$R100=0.8),$D100 &amp; ";","")</f>
        <v/>
      </c>
      <c r="AV100" s="58">
        <f>IF(AND($H100="opportunity",$S100=0.9,$R100=0.4),$D100 &amp; ";","")</f>
        <v/>
      </c>
      <c r="AW100" s="58">
        <f>IF(AND($H100="opportunity",$S100=0.9,$R100=0.2),$D100 &amp; ";","")</f>
        <v/>
      </c>
      <c r="AX100" s="58">
        <f>IF(AND($H100="opportunity",$S100=0.9,$R100=0.1),$D100 &amp; ";","")</f>
        <v/>
      </c>
      <c r="AY100" s="58">
        <f>IF(AND($H100="opportunity",$S100=0.9,$R100=0.05),$D100 &amp; ";","")</f>
        <v/>
      </c>
      <c r="AZ100" s="58">
        <f>IF(AND($H100="opportunity",$S100=0.7,$R100=0.8),$D100 &amp; ";","")</f>
        <v/>
      </c>
      <c r="BA100" s="58">
        <f>IF(AND($H100="opportunity",$S100=0.7,$R100=0.4),$D100 &amp; ";","")</f>
        <v/>
      </c>
      <c r="BB100" s="58">
        <f>IF(AND($H100="opportunity",$S100=0.7,$R100=0.2),$D100 &amp; ";","")</f>
        <v/>
      </c>
      <c r="BC100" s="58">
        <f>IF(AND($H100="opportunity",$S100=0.7,$R100=0.1),$D100 &amp; ";","")</f>
        <v/>
      </c>
      <c r="BD100" s="58">
        <f>IF(AND($H100="opportunity",$S100=0.7,$R100=0.05),$D100 &amp; ";","")</f>
        <v/>
      </c>
      <c r="BE100" s="58">
        <f>IF(AND($H100="opportunity",$S100=0.5,$R100=0.8),$D100 &amp; ";","")</f>
        <v/>
      </c>
      <c r="BF100" s="58">
        <f>IF(AND($H100="opportunity",$S100=0.5,$R100=0.4),$D100 &amp; ";","")</f>
        <v/>
      </c>
      <c r="BG100" s="58">
        <f>IF(AND($H100="opportunity",$S100=0.5,$R100=0.2),$D100 &amp; ";","")</f>
        <v/>
      </c>
      <c r="BH100" s="58">
        <f>IF(AND($H100="opportunity",$S100=0.5,$R100=0.1),$D100 &amp; ";","")</f>
        <v/>
      </c>
      <c r="BI100" s="58">
        <f>IF(AND($H100="opportunity",$S100=0.5,$R100=0.05),$D100 &amp; ";","")</f>
        <v/>
      </c>
      <c r="BJ100" s="58">
        <f>IF(AND($H100="opportunity",$S100=0.3,$R100=0.8),$D100 &amp; ";","")</f>
        <v/>
      </c>
      <c r="BK100" s="58">
        <f>IF(AND($H100="opportunity",$S100=0.3,$R100=0.4),$D100 &amp; ";","")</f>
        <v/>
      </c>
      <c r="BL100" s="58">
        <f>IF(AND($H100="opportunity",$S100=0.3,$R100=0.2),$D100 &amp; ";","")</f>
        <v/>
      </c>
      <c r="BM100" s="58">
        <f>IF(AND($H100="opportunity",$S100=0.3,$R100=0.1),$D100 &amp; ";","")</f>
        <v/>
      </c>
      <c r="BN100" s="58">
        <f>IF(AND($H100="opportunity",$S100=0.3,$R100=0.05),$D100 &amp; ";","")</f>
        <v/>
      </c>
      <c r="BO100" s="58">
        <f>IF(AND($H100="opportunity",$S100=0.1,$R100=0.8),$D100 &amp; ";","")</f>
        <v/>
      </c>
      <c r="BP100" s="58">
        <f>IF(AND($H100="opportunity",$S100=0.1,$R100=0.4),$D100 &amp; ";","")</f>
        <v/>
      </c>
      <c r="BQ100" s="58">
        <f>IF(AND($H100="opportunity",$S100=0.1,$R100=0.2),$D100 &amp; ";","")</f>
        <v/>
      </c>
      <c r="BR100" s="58">
        <f>IF(AND($H100="opportunity",$S100=0.1,$R100=0.1),$D100 &amp; ";","")</f>
        <v/>
      </c>
      <c r="BS100" s="58">
        <f>IF(AND($H100="opportunity",$S100=0.1,$R100=0.05),$D100 &amp; ";","")</f>
        <v/>
      </c>
      <c r="BV100" s="57">
        <f>INDIRECT(ADDRESS(ROW()-22,COLUMN()-45,1,1,"Risk Register"))</f>
        <v/>
      </c>
      <c r="BW100" s="58">
        <f>INDIRECT(ADDRESS(ROW()-22,COLUMN()-44,1,1,"Risk Register"))</f>
        <v/>
      </c>
      <c r="BX100" s="59">
        <f>IF(AND($H100="threat",$P100&lt;=0.05),"gn",IF(AND($H100="threat",$P100&lt;=0.14),"y",IF(AND($H100="threat", $P100&gt;=0.15),"r",IF(AND($H100="opportunity",$P100&lt;=0.05),"gn",IF(AND($H100="opportunity",$P100&lt;=0.14),"lb",IF(AND($H100="opportunity",$P100&gt;=0.15),"db","z"))))))</f>
        <v/>
      </c>
      <c r="BY100" s="58">
        <f>IF(AND($H100="threat",$BW100=0.9,$BV100=0.05),$D100 &amp; ";","")</f>
        <v/>
      </c>
      <c r="BZ100" s="58">
        <f>IF(AND($H100="threat",$BW100=0.9,$BV100=0.1),$D100 &amp; ";","")</f>
        <v/>
      </c>
      <c r="CA100" s="58">
        <f>IF(AND($H100="threat",$BW100=0.9,$BV100=0.2),$D100 &amp; ";","")</f>
        <v/>
      </c>
      <c r="CB100" s="58">
        <f>IF(AND($H100="threat",$BW100=0.9,$BV100=0.4),$D100 &amp; ";","")</f>
        <v/>
      </c>
      <c r="CC100" s="58">
        <f>IF(AND($H100="threat",$BW100=0.9,$BV100=0.8),$D100 &amp; ";","")</f>
        <v/>
      </c>
      <c r="CD100" s="58">
        <f>IF(AND($H100="threat",$BW100=0.7,$BV100=0.05),$D100 &amp; ";","")</f>
        <v/>
      </c>
      <c r="CE100" s="58">
        <f>IF(AND($H100="threat",$BW100=0.7,$BV100=0.1),$D100 &amp; ";","")</f>
        <v/>
      </c>
      <c r="CF100" s="58">
        <f>IF(AND($H100="threat",$BW100=0.7,$BV100=0.2),$D100 &amp; ";","")</f>
        <v/>
      </c>
      <c r="CG100" s="58">
        <f>IF(AND($H100="threat",$BW100=0.7,$BV100=0.4),$D100 &amp; ";","")</f>
        <v/>
      </c>
      <c r="CH100" s="58">
        <f>IF(AND($H100="threat",$BW100=0.7,$BV100=0.8),$D100 &amp; ";","")</f>
        <v/>
      </c>
      <c r="CI100" s="58">
        <f>IF(AND($H100="threat",$BW100=0.5,$BV100=0.05),$D100 &amp; ";","")</f>
        <v/>
      </c>
      <c r="CJ100" s="58">
        <f>IF(AND($H100="threat",$BW100=0.5,$BV100=0.1),$D100 &amp; ";","")</f>
        <v/>
      </c>
      <c r="CK100" s="58">
        <f>IF(AND($H100="threat",$BW100=0.5,$BV100=0.2),$D100 &amp; ";","")</f>
        <v/>
      </c>
      <c r="CL100" s="58">
        <f>IF(AND($H100="threat",$BW100=0.5,$BV100=0.4),$D100 &amp; ";","")</f>
        <v/>
      </c>
      <c r="CM100" s="58">
        <f>IF(AND($H100="threat",$BW100=0.5,$BV100=0.8),$D100 &amp; ";","")</f>
        <v/>
      </c>
      <c r="CN100" s="58">
        <f>IF(AND($H100="threat",$BW100=0.3,$BV100=0.05),$D100 &amp; ";","")</f>
        <v/>
      </c>
      <c r="CO100" s="58">
        <f>IF(AND($H100="threat",$BW100=0.3,$BV100=0.1),$D100 &amp; ";","")</f>
        <v/>
      </c>
      <c r="CP100" s="58">
        <f>IF(AND($H100="threat",$BW100=0.3,$BV100=0.2),$D100 &amp; ";","")</f>
        <v/>
      </c>
      <c r="CQ100" s="58">
        <f>IF(AND($H100="threat",$BW100=0.3,$BV100=0.4),$D100 &amp; ";","")</f>
        <v/>
      </c>
      <c r="CR100" s="58">
        <f>IF(AND($H100="threat",$BW100=0.3,$BV100=0.8),$D100 &amp; ";","")</f>
        <v/>
      </c>
      <c r="CS100" s="58">
        <f>IF(AND($H100="threat",$BW100=0.1,$BV100=0.05),$D100 &amp; ";","")</f>
        <v/>
      </c>
      <c r="CT100" s="58">
        <f>IF(AND($H100="threat",$BW100=0.1,$BV100=0.1),$D100 &amp; ";","")</f>
        <v/>
      </c>
      <c r="CU100" s="58">
        <f>IF(AND($H100="threat",$BW100=0.1,$BV100=0.2),$D100 &amp; ";","")</f>
        <v/>
      </c>
      <c r="CV100" s="58">
        <f>IF(AND($H100="threat",$BW100=0.1,$BV100=0.4),$D100 &amp; ";","")</f>
        <v/>
      </c>
      <c r="CW100" s="58">
        <f>IF(AND($H100="threat",$BW100=0.1,$BV100=0.8),$D100 &amp; ";","")</f>
        <v/>
      </c>
      <c r="CX100" s="39" t="n"/>
      <c r="CY100" s="58">
        <f>IF(AND($H100="opportunity",$BW100=0.9,$BV100=0.8),$D100 &amp; ";","")</f>
        <v/>
      </c>
      <c r="CZ100" s="58">
        <f>IF(AND($H100="opportunity",$BW100=0.9,$BV100=0.4),$D100 &amp; ";","")</f>
        <v/>
      </c>
      <c r="DA100" s="58">
        <f>IF(AND($H100="opportunity",$BW100=0.9,$BV100=0.2),$D100 &amp; ";","")</f>
        <v/>
      </c>
      <c r="DB100" s="58">
        <f>IF(AND($H100="opportunity",$BW100=0.9,$BV100=0.1),$D100 &amp; ";","")</f>
        <v/>
      </c>
      <c r="DC100" s="58">
        <f>IF(AND($H100="opportunity",$BW100=0.9,$BV100=0.05),$D100 &amp; ";","")</f>
        <v/>
      </c>
      <c r="DD100" s="58">
        <f>IF(AND($H100="opportunity",$BW100=0.7,$BV100=0.8),$D100 &amp; ";","")</f>
        <v/>
      </c>
      <c r="DE100" s="58">
        <f>IF(AND($H100="opportunity",$BW100=0.7,$BV100=0.4),$D100 &amp; ";","")</f>
        <v/>
      </c>
      <c r="DF100" s="58">
        <f>IF(AND($H100="opportunity",$BW100=0.7,$BV100=0.2),$D100 &amp; ";","")</f>
        <v/>
      </c>
      <c r="DG100" s="58">
        <f>IF(AND($H100="opportunity",$BW100=0.7,$BV100=0.1),$D100 &amp; ";","")</f>
        <v/>
      </c>
      <c r="DH100" s="58">
        <f>IF(AND($H100="opportunity",$BW100=0.7,$BV100=0.05),$D100 &amp; ";","")</f>
        <v/>
      </c>
      <c r="DI100" s="58">
        <f>IF(AND($H100="opportunity",$BW100=0.5,$BV100=0.8),$D100 &amp; ";","")</f>
        <v/>
      </c>
      <c r="DJ100" s="58">
        <f>IF(AND($H100="opportunity",$BW100=0.5,$BV100=0.4),$D100 &amp; ";","")</f>
        <v/>
      </c>
      <c r="DK100" s="58">
        <f>IF(AND($H100="opportunity",$BW100=0.5,$BV100=0.2),$D100 &amp; ";","")</f>
        <v/>
      </c>
      <c r="DL100" s="58">
        <f>IF(AND($H100="opportunity",$BW100=0.5,$BV100=0.1),$D100 &amp; ";","")</f>
        <v/>
      </c>
      <c r="DM100" s="58">
        <f>IF(AND($H100="opportunity",$BW100=0.5,$BV100=0.05),$D100 &amp; ";","")</f>
        <v/>
      </c>
      <c r="DN100" s="58">
        <f>IF(AND($H100="opportunity",$BW100=0.3,$BV100=0.8),$D100 &amp; ";","")</f>
        <v/>
      </c>
      <c r="DO100" s="58">
        <f>IF(AND($H100="opportunity",$BW100=0.3,$BV100=0.4),$D100 &amp; ";","")</f>
        <v/>
      </c>
      <c r="DP100" s="58">
        <f>IF(AND($H100="opportunity",$BW100=0.3,$BV100=0.2),$D100 &amp; ";","")</f>
        <v/>
      </c>
      <c r="DQ100" s="58">
        <f>IF(AND($H100="opportunity",$BW100=0.3,$BV100=0.1),$D100 &amp; ";","")</f>
        <v/>
      </c>
      <c r="DR100" s="58">
        <f>IF(AND($H100="opportunity",$BW100=0.3,$BV100=0.05),$D100 &amp; ";","")</f>
        <v/>
      </c>
      <c r="DS100" s="58">
        <f>IF(AND($H100="opportunity",$BW100=0.1,$BV100=0.8),$D100 &amp; ";","")</f>
        <v/>
      </c>
      <c r="DT100" s="58">
        <f>IF(AND($H100="opportunity",$BW100=0.1,$BV100=0.4),$D100 &amp; ";","")</f>
        <v/>
      </c>
      <c r="DU100" s="58">
        <f>IF(AND($H100="opportunity",$BW100=0.1,$BV100=0.2),$D100 &amp; ";","")</f>
        <v/>
      </c>
      <c r="DV100" s="58">
        <f>IF(AND($H100="opportunity",$BW100=0.1,$BV100=0.1),$D100 &amp; ";","")</f>
        <v/>
      </c>
      <c r="DW100" s="58">
        <f>IF(AND($H100="opportunity",$BW100=0.1,$BV100=0.05),$D100 &amp; ";","")</f>
        <v/>
      </c>
    </row>
    <row r="101">
      <c r="D101" s="60">
        <f>INDIRECT(ADDRESS(ROW()-22,COLUMN()-2,1,1,"Risk Register"))</f>
        <v/>
      </c>
      <c r="E101" s="143">
        <f>INDIRECT(ADDRESS(ROW()-22,COLUMN()-1,1,1,"Risk Register"))</f>
        <v/>
      </c>
      <c r="G101" s="56">
        <f>INDIRECT(ADDRESS(ROW()-22,COLUMN()+10,1,1,"Risk Register"))</f>
        <v/>
      </c>
      <c r="H101" s="60">
        <f>INDIRECT(ADDRESS(ROW()-22,COLUMN()+8,1,1,"Risk Register"))</f>
        <v/>
      </c>
      <c r="I101" s="54">
        <f>INDIRECT(ADDRESS(ROW()-22,COLUMN()+3,1,1,"Risk Register"))</f>
        <v/>
      </c>
      <c r="J101" s="143">
        <f>INDIRECT(ADDRESS(ROW()-22,COLUMN()+12,1,1,"Risk Register"))</f>
        <v/>
      </c>
      <c r="K101" s="143">
        <f>INDIRECT(ADDRESS(ROW()-22,COLUMN()-2,1,1,"Risk Register"))</f>
        <v/>
      </c>
      <c r="L101" s="176">
        <f>INDIRECT(ADDRESS(ROW()-22,COLUMN()+15,1,1,"Risk Register"))</f>
        <v/>
      </c>
      <c r="M101" s="54">
        <f>INDIRECT(ADDRESS(ROW()-22,COLUMN()+13,1,1,"Risk Register"))</f>
        <v/>
      </c>
      <c r="N101" s="143">
        <f>INDIRECT(ADDRESS(ROW()-22,COLUMN()-9,1,1,"Risk Register"))</f>
        <v/>
      </c>
      <c r="O101" s="143">
        <f>INDIRECT(ADDRESS(ROW()-22,COLUMN()-8,1,1,"Risk Register"))</f>
        <v/>
      </c>
      <c r="P101" s="56">
        <f>INDIRECT(ADDRESS(ROW()-22,COLUMN()+18,1,1,"Risk Register"))</f>
        <v/>
      </c>
      <c r="R101" s="57">
        <f>INDIRECT(ADDRESS(ROW()-22,COLUMN()-5,1,1,"Risk Register"))</f>
        <v/>
      </c>
      <c r="S101" s="58">
        <f>INDIRECT(ADDRESS(ROW()-22,COLUMN()-4,1,1,"Risk Register"))</f>
        <v/>
      </c>
      <c r="T101" s="59">
        <f>IF(AND($H101="threat",$G101&lt;=0.05),"gn",IF(AND($H101="threat",$G101&lt;=0.14),"y",IF(AND($H101="threat", $G101&gt;=0.15),"r",IF(AND($H101="opportunity",$G101&lt;=0.05),"gn",IF(AND($H101="opportunity",$G101&lt;=0.14),"lb",IF(AND($H101="opportunity",$G101&gt;=0.15),"db","z"))))))</f>
        <v/>
      </c>
      <c r="U101" s="58">
        <f>IF(AND($H101="threat",$S101=0.9,$R101=0.05),$D101 &amp; ";","")</f>
        <v/>
      </c>
      <c r="V101" s="58">
        <f>IF(AND($H101="threat",$S101=0.9,$R101=0.1),$D101 &amp; ";","")</f>
        <v/>
      </c>
      <c r="W101" s="58">
        <f>IF(AND($H101="threat",$S101=0.9,$R101=0.2),$D101 &amp; ";","")</f>
        <v/>
      </c>
      <c r="X101" s="58">
        <f>IF(AND($H101="threat",$S101=0.9,$R101=0.4),$D101 &amp; ";","")</f>
        <v/>
      </c>
      <c r="Y101" s="58">
        <f>IF(AND($H101="threat",$S101=0.9,$R101=0.8),$D101 &amp; ";","")</f>
        <v/>
      </c>
      <c r="Z101" s="58">
        <f>IF(AND($H101="threat",$S101=0.7,$R101=0.05),$D101 &amp; ";","")</f>
        <v/>
      </c>
      <c r="AA101" s="58">
        <f>IF(AND($H101="threat",$S101=0.7,$R101=0.1),$D101 &amp; ";","")</f>
        <v/>
      </c>
      <c r="AB101" s="58">
        <f>IF(AND($H101="threat",$S101=0.7,$R101=0.2),$D101 &amp; ";","")</f>
        <v/>
      </c>
      <c r="AC101" s="58">
        <f>IF(AND($H101="threat",$S101=0.7,$R101=0.4),$D101 &amp; ";","")</f>
        <v/>
      </c>
      <c r="AD101" s="58">
        <f>IF(AND($H101="threat",$S101=0.7,$R101=0.8),$D101 &amp; ";","")</f>
        <v/>
      </c>
      <c r="AE101" s="58">
        <f>IF(AND($H101="threat",$S101=0.5,$R101=0.05),$D101 &amp; ";","")</f>
        <v/>
      </c>
      <c r="AF101" s="58">
        <f>IF(AND($H101="threat",$S101=0.5,$R101=0.1),$D101 &amp; ";","")</f>
        <v/>
      </c>
      <c r="AG101" s="58">
        <f>IF(AND($H101="threat",$S101=0.5,$R101=0.2),$D101 &amp; ";","")</f>
        <v/>
      </c>
      <c r="AH101" s="58">
        <f>IF(AND($H101="threat",$S101=0.5,$R101=0.4),$D101 &amp; ";","")</f>
        <v/>
      </c>
      <c r="AI101" s="58">
        <f>IF(AND($H101="threat",$S101=0.5,$R101=0.8),$D101 &amp; ";","")</f>
        <v/>
      </c>
      <c r="AJ101" s="58">
        <f>IF(AND($H101="threat",$S101=0.3,$R101=0.05),$D101 &amp; ";","")</f>
        <v/>
      </c>
      <c r="AK101" s="58">
        <f>IF(AND($H101="threat",$S101=0.3,$R101=0.1),$D101 &amp; ";","")</f>
        <v/>
      </c>
      <c r="AL101" s="58">
        <f>IF(AND($H101="threat",$S101=0.3,$R101=0.2),$D101 &amp; ";","")</f>
        <v/>
      </c>
      <c r="AM101" s="58">
        <f>IF(AND($H101="threat",$S101=0.3,$R101=0.4),$D101 &amp; ";","")</f>
        <v/>
      </c>
      <c r="AN101" s="58">
        <f>IF(AND($H101="threat",$S101=0.3,$R101=0.8),$D101 &amp; ";","")</f>
        <v/>
      </c>
      <c r="AO101" s="58">
        <f>IF(AND($H101="threat",$S101=0.1,$R101=0.05),$D101 &amp; ";","")</f>
        <v/>
      </c>
      <c r="AP101" s="58">
        <f>IF(AND($H101="threat",$S101=0.1,$R101=0.1),$D101 &amp; ";","")</f>
        <v/>
      </c>
      <c r="AQ101" s="58">
        <f>IF(AND($H101="threat",$S101=0.1,$R101=0.2),$D101 &amp; ";","")</f>
        <v/>
      </c>
      <c r="AR101" s="58">
        <f>IF(AND($H101="threat",$S101=0.1,$R101=0.4),$D101 &amp; ";","")</f>
        <v/>
      </c>
      <c r="AS101" s="58">
        <f>IF(AND($H101="threat",$S101=0.1,$R101=0.8),$D101 &amp; ";","")</f>
        <v/>
      </c>
      <c r="AT101" s="39" t="n"/>
      <c r="AU101" s="58">
        <f>IF(AND($H101="opportunity",$S101=0.9,$R101=0.8),$D101 &amp; ";","")</f>
        <v/>
      </c>
      <c r="AV101" s="58">
        <f>IF(AND($H101="opportunity",$S101=0.9,$R101=0.4),$D101 &amp; ";","")</f>
        <v/>
      </c>
      <c r="AW101" s="58">
        <f>IF(AND($H101="opportunity",$S101=0.9,$R101=0.2),$D101 &amp; ";","")</f>
        <v/>
      </c>
      <c r="AX101" s="58">
        <f>IF(AND($H101="opportunity",$S101=0.9,$R101=0.1),$D101 &amp; ";","")</f>
        <v/>
      </c>
      <c r="AY101" s="58">
        <f>IF(AND($H101="opportunity",$S101=0.9,$R101=0.05),$D101 &amp; ";","")</f>
        <v/>
      </c>
      <c r="AZ101" s="58">
        <f>IF(AND($H101="opportunity",$S101=0.7,$R101=0.8),$D101 &amp; ";","")</f>
        <v/>
      </c>
      <c r="BA101" s="58">
        <f>IF(AND($H101="opportunity",$S101=0.7,$R101=0.4),$D101 &amp; ";","")</f>
        <v/>
      </c>
      <c r="BB101" s="58">
        <f>IF(AND($H101="opportunity",$S101=0.7,$R101=0.2),$D101 &amp; ";","")</f>
        <v/>
      </c>
      <c r="BC101" s="58">
        <f>IF(AND($H101="opportunity",$S101=0.7,$R101=0.1),$D101 &amp; ";","")</f>
        <v/>
      </c>
      <c r="BD101" s="58">
        <f>IF(AND($H101="opportunity",$S101=0.7,$R101=0.05),$D101 &amp; ";","")</f>
        <v/>
      </c>
      <c r="BE101" s="58">
        <f>IF(AND($H101="opportunity",$S101=0.5,$R101=0.8),$D101 &amp; ";","")</f>
        <v/>
      </c>
      <c r="BF101" s="58">
        <f>IF(AND($H101="opportunity",$S101=0.5,$R101=0.4),$D101 &amp; ";","")</f>
        <v/>
      </c>
      <c r="BG101" s="58">
        <f>IF(AND($H101="opportunity",$S101=0.5,$R101=0.2),$D101 &amp; ";","")</f>
        <v/>
      </c>
      <c r="BH101" s="58">
        <f>IF(AND($H101="opportunity",$S101=0.5,$R101=0.1),$D101 &amp; ";","")</f>
        <v/>
      </c>
      <c r="BI101" s="58">
        <f>IF(AND($H101="opportunity",$S101=0.5,$R101=0.05),$D101 &amp; ";","")</f>
        <v/>
      </c>
      <c r="BJ101" s="58">
        <f>IF(AND($H101="opportunity",$S101=0.3,$R101=0.8),$D101 &amp; ";","")</f>
        <v/>
      </c>
      <c r="BK101" s="58">
        <f>IF(AND($H101="opportunity",$S101=0.3,$R101=0.4),$D101 &amp; ";","")</f>
        <v/>
      </c>
      <c r="BL101" s="58">
        <f>IF(AND($H101="opportunity",$S101=0.3,$R101=0.2),$D101 &amp; ";","")</f>
        <v/>
      </c>
      <c r="BM101" s="58">
        <f>IF(AND($H101="opportunity",$S101=0.3,$R101=0.1),$D101 &amp; ";","")</f>
        <v/>
      </c>
      <c r="BN101" s="58">
        <f>IF(AND($H101="opportunity",$S101=0.3,$R101=0.05),$D101 &amp; ";","")</f>
        <v/>
      </c>
      <c r="BO101" s="58">
        <f>IF(AND($H101="opportunity",$S101=0.1,$R101=0.8),$D101 &amp; ";","")</f>
        <v/>
      </c>
      <c r="BP101" s="58">
        <f>IF(AND($H101="opportunity",$S101=0.1,$R101=0.4),$D101 &amp; ";","")</f>
        <v/>
      </c>
      <c r="BQ101" s="58">
        <f>IF(AND($H101="opportunity",$S101=0.1,$R101=0.2),$D101 &amp; ";","")</f>
        <v/>
      </c>
      <c r="BR101" s="58">
        <f>IF(AND($H101="opportunity",$S101=0.1,$R101=0.1),$D101 &amp; ";","")</f>
        <v/>
      </c>
      <c r="BS101" s="58">
        <f>IF(AND($H101="opportunity",$S101=0.1,$R101=0.05),$D101 &amp; ";","")</f>
        <v/>
      </c>
      <c r="BV101" s="57">
        <f>INDIRECT(ADDRESS(ROW()-22,COLUMN()-45,1,1,"Risk Register"))</f>
        <v/>
      </c>
      <c r="BW101" s="58">
        <f>INDIRECT(ADDRESS(ROW()-22,COLUMN()-44,1,1,"Risk Register"))</f>
        <v/>
      </c>
      <c r="BX101" s="59">
        <f>IF(AND($H101="threat",$P101&lt;=0.05),"gn",IF(AND($H101="threat",$P101&lt;=0.14),"y",IF(AND($H101="threat", $P101&gt;=0.15),"r",IF(AND($H101="opportunity",$P101&lt;=0.05),"gn",IF(AND($H101="opportunity",$P101&lt;=0.14),"lb",IF(AND($H101="opportunity",$P101&gt;=0.15),"db","z"))))))</f>
        <v/>
      </c>
      <c r="BY101" s="58">
        <f>IF(AND($H101="threat",$BW101=0.9,$BV101=0.05),$D101 &amp; ";","")</f>
        <v/>
      </c>
      <c r="BZ101" s="58">
        <f>IF(AND($H101="threat",$BW101=0.9,$BV101=0.1),$D101 &amp; ";","")</f>
        <v/>
      </c>
      <c r="CA101" s="58">
        <f>IF(AND($H101="threat",$BW101=0.9,$BV101=0.2),$D101 &amp; ";","")</f>
        <v/>
      </c>
      <c r="CB101" s="58">
        <f>IF(AND($H101="threat",$BW101=0.9,$BV101=0.4),$D101 &amp; ";","")</f>
        <v/>
      </c>
      <c r="CC101" s="58">
        <f>IF(AND($H101="threat",$BW101=0.9,$BV101=0.8),$D101 &amp; ";","")</f>
        <v/>
      </c>
      <c r="CD101" s="58">
        <f>IF(AND($H101="threat",$BW101=0.7,$BV101=0.05),$D101 &amp; ";","")</f>
        <v/>
      </c>
      <c r="CE101" s="58">
        <f>IF(AND($H101="threat",$BW101=0.7,$BV101=0.1),$D101 &amp; ";","")</f>
        <v/>
      </c>
      <c r="CF101" s="58">
        <f>IF(AND($H101="threat",$BW101=0.7,$BV101=0.2),$D101 &amp; ";","")</f>
        <v/>
      </c>
      <c r="CG101" s="58">
        <f>IF(AND($H101="threat",$BW101=0.7,$BV101=0.4),$D101 &amp; ";","")</f>
        <v/>
      </c>
      <c r="CH101" s="58">
        <f>IF(AND($H101="threat",$BW101=0.7,$BV101=0.8),$D101 &amp; ";","")</f>
        <v/>
      </c>
      <c r="CI101" s="58">
        <f>IF(AND($H101="threat",$BW101=0.5,$BV101=0.05),$D101 &amp; ";","")</f>
        <v/>
      </c>
      <c r="CJ101" s="58">
        <f>IF(AND($H101="threat",$BW101=0.5,$BV101=0.1),$D101 &amp; ";","")</f>
        <v/>
      </c>
      <c r="CK101" s="58">
        <f>IF(AND($H101="threat",$BW101=0.5,$BV101=0.2),$D101 &amp; ";","")</f>
        <v/>
      </c>
      <c r="CL101" s="58">
        <f>IF(AND($H101="threat",$BW101=0.5,$BV101=0.4),$D101 &amp; ";","")</f>
        <v/>
      </c>
      <c r="CM101" s="58">
        <f>IF(AND($H101="threat",$BW101=0.5,$BV101=0.8),$D101 &amp; ";","")</f>
        <v/>
      </c>
      <c r="CN101" s="58">
        <f>IF(AND($H101="threat",$BW101=0.3,$BV101=0.05),$D101 &amp; ";","")</f>
        <v/>
      </c>
      <c r="CO101" s="58">
        <f>IF(AND($H101="threat",$BW101=0.3,$BV101=0.1),$D101 &amp; ";","")</f>
        <v/>
      </c>
      <c r="CP101" s="58">
        <f>IF(AND($H101="threat",$BW101=0.3,$BV101=0.2),$D101 &amp; ";","")</f>
        <v/>
      </c>
      <c r="CQ101" s="58">
        <f>IF(AND($H101="threat",$BW101=0.3,$BV101=0.4),$D101 &amp; ";","")</f>
        <v/>
      </c>
      <c r="CR101" s="58">
        <f>IF(AND($H101="threat",$BW101=0.3,$BV101=0.8),$D101 &amp; ";","")</f>
        <v/>
      </c>
      <c r="CS101" s="58">
        <f>IF(AND($H101="threat",$BW101=0.1,$BV101=0.05),$D101 &amp; ";","")</f>
        <v/>
      </c>
      <c r="CT101" s="58">
        <f>IF(AND($H101="threat",$BW101=0.1,$BV101=0.1),$D101 &amp; ";","")</f>
        <v/>
      </c>
      <c r="CU101" s="58">
        <f>IF(AND($H101="threat",$BW101=0.1,$BV101=0.2),$D101 &amp; ";","")</f>
        <v/>
      </c>
      <c r="CV101" s="58">
        <f>IF(AND($H101="threat",$BW101=0.1,$BV101=0.4),$D101 &amp; ";","")</f>
        <v/>
      </c>
      <c r="CW101" s="58">
        <f>IF(AND($H101="threat",$BW101=0.1,$BV101=0.8),$D101 &amp; ";","")</f>
        <v/>
      </c>
      <c r="CX101" s="39" t="n"/>
      <c r="CY101" s="58">
        <f>IF(AND($H101="opportunity",$BW101=0.9,$BV101=0.8),$D101 &amp; ";","")</f>
        <v/>
      </c>
      <c r="CZ101" s="58">
        <f>IF(AND($H101="opportunity",$BW101=0.9,$BV101=0.4),$D101 &amp; ";","")</f>
        <v/>
      </c>
      <c r="DA101" s="58">
        <f>IF(AND($H101="opportunity",$BW101=0.9,$BV101=0.2),$D101 &amp; ";","")</f>
        <v/>
      </c>
      <c r="DB101" s="58">
        <f>IF(AND($H101="opportunity",$BW101=0.9,$BV101=0.1),$D101 &amp; ";","")</f>
        <v/>
      </c>
      <c r="DC101" s="58">
        <f>IF(AND($H101="opportunity",$BW101=0.9,$BV101=0.05),$D101 &amp; ";","")</f>
        <v/>
      </c>
      <c r="DD101" s="58">
        <f>IF(AND($H101="opportunity",$BW101=0.7,$BV101=0.8),$D101 &amp; ";","")</f>
        <v/>
      </c>
      <c r="DE101" s="58">
        <f>IF(AND($H101="opportunity",$BW101=0.7,$BV101=0.4),$D101 &amp; ";","")</f>
        <v/>
      </c>
      <c r="DF101" s="58">
        <f>IF(AND($H101="opportunity",$BW101=0.7,$BV101=0.2),$D101 &amp; ";","")</f>
        <v/>
      </c>
      <c r="DG101" s="58">
        <f>IF(AND($H101="opportunity",$BW101=0.7,$BV101=0.1),$D101 &amp; ";","")</f>
        <v/>
      </c>
      <c r="DH101" s="58">
        <f>IF(AND($H101="opportunity",$BW101=0.7,$BV101=0.05),$D101 &amp; ";","")</f>
        <v/>
      </c>
      <c r="DI101" s="58">
        <f>IF(AND($H101="opportunity",$BW101=0.5,$BV101=0.8),$D101 &amp; ";","")</f>
        <v/>
      </c>
      <c r="DJ101" s="58">
        <f>IF(AND($H101="opportunity",$BW101=0.5,$BV101=0.4),$D101 &amp; ";","")</f>
        <v/>
      </c>
      <c r="DK101" s="58">
        <f>IF(AND($H101="opportunity",$BW101=0.5,$BV101=0.2),$D101 &amp; ";","")</f>
        <v/>
      </c>
      <c r="DL101" s="58">
        <f>IF(AND($H101="opportunity",$BW101=0.5,$BV101=0.1),$D101 &amp; ";","")</f>
        <v/>
      </c>
      <c r="DM101" s="58">
        <f>IF(AND($H101="opportunity",$BW101=0.5,$BV101=0.05),$D101 &amp; ";","")</f>
        <v/>
      </c>
      <c r="DN101" s="58">
        <f>IF(AND($H101="opportunity",$BW101=0.3,$BV101=0.8),$D101 &amp; ";","")</f>
        <v/>
      </c>
      <c r="DO101" s="58">
        <f>IF(AND($H101="opportunity",$BW101=0.3,$BV101=0.4),$D101 &amp; ";","")</f>
        <v/>
      </c>
      <c r="DP101" s="58">
        <f>IF(AND($H101="opportunity",$BW101=0.3,$BV101=0.2),$D101 &amp; ";","")</f>
        <v/>
      </c>
      <c r="DQ101" s="58">
        <f>IF(AND($H101="opportunity",$BW101=0.3,$BV101=0.1),$D101 &amp; ";","")</f>
        <v/>
      </c>
      <c r="DR101" s="58">
        <f>IF(AND($H101="opportunity",$BW101=0.3,$BV101=0.05),$D101 &amp; ";","")</f>
        <v/>
      </c>
      <c r="DS101" s="58">
        <f>IF(AND($H101="opportunity",$BW101=0.1,$BV101=0.8),$D101 &amp; ";","")</f>
        <v/>
      </c>
      <c r="DT101" s="58">
        <f>IF(AND($H101="opportunity",$BW101=0.1,$BV101=0.4),$D101 &amp; ";","")</f>
        <v/>
      </c>
      <c r="DU101" s="58">
        <f>IF(AND($H101="opportunity",$BW101=0.1,$BV101=0.2),$D101 &amp; ";","")</f>
        <v/>
      </c>
      <c r="DV101" s="58">
        <f>IF(AND($H101="opportunity",$BW101=0.1,$BV101=0.1),$D101 &amp; ";","")</f>
        <v/>
      </c>
      <c r="DW101" s="58">
        <f>IF(AND($H101="opportunity",$BW101=0.1,$BV101=0.05),$D101 &amp; ";","")</f>
        <v/>
      </c>
    </row>
    <row r="102">
      <c r="D102" s="60">
        <f>INDIRECT(ADDRESS(ROW()-22,COLUMN()-2,1,1,"Risk Register"))</f>
        <v/>
      </c>
      <c r="E102" s="143">
        <f>INDIRECT(ADDRESS(ROW()-22,COLUMN()-1,1,1,"Risk Register"))</f>
        <v/>
      </c>
      <c r="G102" s="56">
        <f>INDIRECT(ADDRESS(ROW()-22,COLUMN()+10,1,1,"Risk Register"))</f>
        <v/>
      </c>
      <c r="H102" s="60">
        <f>INDIRECT(ADDRESS(ROW()-22,COLUMN()+8,1,1,"Risk Register"))</f>
        <v/>
      </c>
      <c r="I102" s="54">
        <f>INDIRECT(ADDRESS(ROW()-22,COLUMN()+3,1,1,"Risk Register"))</f>
        <v/>
      </c>
      <c r="J102" s="143">
        <f>INDIRECT(ADDRESS(ROW()-22,COLUMN()+12,1,1,"Risk Register"))</f>
        <v/>
      </c>
      <c r="K102" s="143">
        <f>INDIRECT(ADDRESS(ROW()-22,COLUMN()-2,1,1,"Risk Register"))</f>
        <v/>
      </c>
      <c r="L102" s="176">
        <f>INDIRECT(ADDRESS(ROW()-22,COLUMN()+15,1,1,"Risk Register"))</f>
        <v/>
      </c>
      <c r="M102" s="54">
        <f>INDIRECT(ADDRESS(ROW()-22,COLUMN()+13,1,1,"Risk Register"))</f>
        <v/>
      </c>
      <c r="N102" s="143">
        <f>INDIRECT(ADDRESS(ROW()-22,COLUMN()-9,1,1,"Risk Register"))</f>
        <v/>
      </c>
      <c r="O102" s="143">
        <f>INDIRECT(ADDRESS(ROW()-22,COLUMN()-8,1,1,"Risk Register"))</f>
        <v/>
      </c>
      <c r="P102" s="56">
        <f>INDIRECT(ADDRESS(ROW()-22,COLUMN()+18,1,1,"Risk Register"))</f>
        <v/>
      </c>
      <c r="R102" s="57">
        <f>INDIRECT(ADDRESS(ROW()-22,COLUMN()-5,1,1,"Risk Register"))</f>
        <v/>
      </c>
      <c r="S102" s="58">
        <f>INDIRECT(ADDRESS(ROW()-22,COLUMN()-4,1,1,"Risk Register"))</f>
        <v/>
      </c>
      <c r="T102" s="59">
        <f>IF(AND($H102="threat",$G102&lt;=0.05),"gn",IF(AND($H102="threat",$G102&lt;=0.14),"y",IF(AND($H102="threat", $G102&gt;=0.15),"r",IF(AND($H102="opportunity",$G102&lt;=0.05),"gn",IF(AND($H102="opportunity",$G102&lt;=0.14),"lb",IF(AND($H102="opportunity",$G102&gt;=0.15),"db","z"))))))</f>
        <v/>
      </c>
      <c r="U102" s="58">
        <f>IF(AND($H102="threat",$S102=0.9,$R102=0.05),$D102 &amp; ";","")</f>
        <v/>
      </c>
      <c r="V102" s="58">
        <f>IF(AND($H102="threat",$S102=0.9,$R102=0.1),$D102 &amp; ";","")</f>
        <v/>
      </c>
      <c r="W102" s="58">
        <f>IF(AND($H102="threat",$S102=0.9,$R102=0.2),$D102 &amp; ";","")</f>
        <v/>
      </c>
      <c r="X102" s="58">
        <f>IF(AND($H102="threat",$S102=0.9,$R102=0.4),$D102 &amp; ";","")</f>
        <v/>
      </c>
      <c r="Y102" s="58">
        <f>IF(AND($H102="threat",$S102=0.9,$R102=0.8),$D102 &amp; ";","")</f>
        <v/>
      </c>
      <c r="Z102" s="58">
        <f>IF(AND($H102="threat",$S102=0.7,$R102=0.05),$D102 &amp; ";","")</f>
        <v/>
      </c>
      <c r="AA102" s="58">
        <f>IF(AND($H102="threat",$S102=0.7,$R102=0.1),$D102 &amp; ";","")</f>
        <v/>
      </c>
      <c r="AB102" s="58">
        <f>IF(AND($H102="threat",$S102=0.7,$R102=0.2),$D102 &amp; ";","")</f>
        <v/>
      </c>
      <c r="AC102" s="58">
        <f>IF(AND($H102="threat",$S102=0.7,$R102=0.4),$D102 &amp; ";","")</f>
        <v/>
      </c>
      <c r="AD102" s="58">
        <f>IF(AND($H102="threat",$S102=0.7,$R102=0.8),$D102 &amp; ";","")</f>
        <v/>
      </c>
      <c r="AE102" s="58">
        <f>IF(AND($H102="threat",$S102=0.5,$R102=0.05),$D102 &amp; ";","")</f>
        <v/>
      </c>
      <c r="AF102" s="58">
        <f>IF(AND($H102="threat",$S102=0.5,$R102=0.1),$D102 &amp; ";","")</f>
        <v/>
      </c>
      <c r="AG102" s="58">
        <f>IF(AND($H102="threat",$S102=0.5,$R102=0.2),$D102 &amp; ";","")</f>
        <v/>
      </c>
      <c r="AH102" s="58">
        <f>IF(AND($H102="threat",$S102=0.5,$R102=0.4),$D102 &amp; ";","")</f>
        <v/>
      </c>
      <c r="AI102" s="58">
        <f>IF(AND($H102="threat",$S102=0.5,$R102=0.8),$D102 &amp; ";","")</f>
        <v/>
      </c>
      <c r="AJ102" s="58">
        <f>IF(AND($H102="threat",$S102=0.3,$R102=0.05),$D102 &amp; ";","")</f>
        <v/>
      </c>
      <c r="AK102" s="58">
        <f>IF(AND($H102="threat",$S102=0.3,$R102=0.1),$D102 &amp; ";","")</f>
        <v/>
      </c>
      <c r="AL102" s="58">
        <f>IF(AND($H102="threat",$S102=0.3,$R102=0.2),$D102 &amp; ";","")</f>
        <v/>
      </c>
      <c r="AM102" s="58">
        <f>IF(AND($H102="threat",$S102=0.3,$R102=0.4),$D102 &amp; ";","")</f>
        <v/>
      </c>
      <c r="AN102" s="58">
        <f>IF(AND($H102="threat",$S102=0.3,$R102=0.8),$D102 &amp; ";","")</f>
        <v/>
      </c>
      <c r="AO102" s="58">
        <f>IF(AND($H102="threat",$S102=0.1,$R102=0.05),$D102 &amp; ";","")</f>
        <v/>
      </c>
      <c r="AP102" s="58">
        <f>IF(AND($H102="threat",$S102=0.1,$R102=0.1),$D102 &amp; ";","")</f>
        <v/>
      </c>
      <c r="AQ102" s="58">
        <f>IF(AND($H102="threat",$S102=0.1,$R102=0.2),$D102 &amp; ";","")</f>
        <v/>
      </c>
      <c r="AR102" s="58">
        <f>IF(AND($H102="threat",$S102=0.1,$R102=0.4),$D102 &amp; ";","")</f>
        <v/>
      </c>
      <c r="AS102" s="58">
        <f>IF(AND($H102="threat",$S102=0.1,$R102=0.8),$D102 &amp; ";","")</f>
        <v/>
      </c>
      <c r="AT102" s="39" t="n"/>
      <c r="AU102" s="58">
        <f>IF(AND($H102="opportunity",$S102=0.9,$R102=0.8),$D102 &amp; ";","")</f>
        <v/>
      </c>
      <c r="AV102" s="58">
        <f>IF(AND($H102="opportunity",$S102=0.9,$R102=0.4),$D102 &amp; ";","")</f>
        <v/>
      </c>
      <c r="AW102" s="58">
        <f>IF(AND($H102="opportunity",$S102=0.9,$R102=0.2),$D102 &amp; ";","")</f>
        <v/>
      </c>
      <c r="AX102" s="58">
        <f>IF(AND($H102="opportunity",$S102=0.9,$R102=0.1),$D102 &amp; ";","")</f>
        <v/>
      </c>
      <c r="AY102" s="58">
        <f>IF(AND($H102="opportunity",$S102=0.9,$R102=0.05),$D102 &amp; ";","")</f>
        <v/>
      </c>
      <c r="AZ102" s="58">
        <f>IF(AND($H102="opportunity",$S102=0.7,$R102=0.8),$D102 &amp; ";","")</f>
        <v/>
      </c>
      <c r="BA102" s="58">
        <f>IF(AND($H102="opportunity",$S102=0.7,$R102=0.4),$D102 &amp; ";","")</f>
        <v/>
      </c>
      <c r="BB102" s="58">
        <f>IF(AND($H102="opportunity",$S102=0.7,$R102=0.2),$D102 &amp; ";","")</f>
        <v/>
      </c>
      <c r="BC102" s="58">
        <f>IF(AND($H102="opportunity",$S102=0.7,$R102=0.1),$D102 &amp; ";","")</f>
        <v/>
      </c>
      <c r="BD102" s="58">
        <f>IF(AND($H102="opportunity",$S102=0.7,$R102=0.05),$D102 &amp; ";","")</f>
        <v/>
      </c>
      <c r="BE102" s="58">
        <f>IF(AND($H102="opportunity",$S102=0.5,$R102=0.8),$D102 &amp; ";","")</f>
        <v/>
      </c>
      <c r="BF102" s="58">
        <f>IF(AND($H102="opportunity",$S102=0.5,$R102=0.4),$D102 &amp; ";","")</f>
        <v/>
      </c>
      <c r="BG102" s="58">
        <f>IF(AND($H102="opportunity",$S102=0.5,$R102=0.2),$D102 &amp; ";","")</f>
        <v/>
      </c>
      <c r="BH102" s="58">
        <f>IF(AND($H102="opportunity",$S102=0.5,$R102=0.1),$D102 &amp; ";","")</f>
        <v/>
      </c>
      <c r="BI102" s="58">
        <f>IF(AND($H102="opportunity",$S102=0.5,$R102=0.05),$D102 &amp; ";","")</f>
        <v/>
      </c>
      <c r="BJ102" s="58">
        <f>IF(AND($H102="opportunity",$S102=0.3,$R102=0.8),$D102 &amp; ";","")</f>
        <v/>
      </c>
      <c r="BK102" s="58">
        <f>IF(AND($H102="opportunity",$S102=0.3,$R102=0.4),$D102 &amp; ";","")</f>
        <v/>
      </c>
      <c r="BL102" s="58">
        <f>IF(AND($H102="opportunity",$S102=0.3,$R102=0.2),$D102 &amp; ";","")</f>
        <v/>
      </c>
      <c r="BM102" s="58">
        <f>IF(AND($H102="opportunity",$S102=0.3,$R102=0.1),$D102 &amp; ";","")</f>
        <v/>
      </c>
      <c r="BN102" s="58">
        <f>IF(AND($H102="opportunity",$S102=0.3,$R102=0.05),$D102 &amp; ";","")</f>
        <v/>
      </c>
      <c r="BO102" s="58">
        <f>IF(AND($H102="opportunity",$S102=0.1,$R102=0.8),$D102 &amp; ";","")</f>
        <v/>
      </c>
      <c r="BP102" s="58">
        <f>IF(AND($H102="opportunity",$S102=0.1,$R102=0.4),$D102 &amp; ";","")</f>
        <v/>
      </c>
      <c r="BQ102" s="58">
        <f>IF(AND($H102="opportunity",$S102=0.1,$R102=0.2),$D102 &amp; ";","")</f>
        <v/>
      </c>
      <c r="BR102" s="58">
        <f>IF(AND($H102="opportunity",$S102=0.1,$R102=0.1),$D102 &amp; ";","")</f>
        <v/>
      </c>
      <c r="BS102" s="58">
        <f>IF(AND($H102="opportunity",$S102=0.1,$R102=0.05),$D102 &amp; ";","")</f>
        <v/>
      </c>
      <c r="BV102" s="57">
        <f>INDIRECT(ADDRESS(ROW()-22,COLUMN()-45,1,1,"Risk Register"))</f>
        <v/>
      </c>
      <c r="BW102" s="58">
        <f>INDIRECT(ADDRESS(ROW()-22,COLUMN()-44,1,1,"Risk Register"))</f>
        <v/>
      </c>
      <c r="BX102" s="59">
        <f>IF(AND($H102="threat",$P102&lt;=0.05),"gn",IF(AND($H102="threat",$P102&lt;=0.14),"y",IF(AND($H102="threat", $P102&gt;=0.15),"r",IF(AND($H102="opportunity",$P102&lt;=0.05),"gn",IF(AND($H102="opportunity",$P102&lt;=0.14),"lb",IF(AND($H102="opportunity",$P102&gt;=0.15),"db","z"))))))</f>
        <v/>
      </c>
      <c r="BY102" s="58">
        <f>IF(AND($H102="threat",$BW102=0.9,$BV102=0.05),$D102 &amp; ";","")</f>
        <v/>
      </c>
      <c r="BZ102" s="58">
        <f>IF(AND($H102="threat",$BW102=0.9,$BV102=0.1),$D102 &amp; ";","")</f>
        <v/>
      </c>
      <c r="CA102" s="58">
        <f>IF(AND($H102="threat",$BW102=0.9,$BV102=0.2),$D102 &amp; ";","")</f>
        <v/>
      </c>
      <c r="CB102" s="58">
        <f>IF(AND($H102="threat",$BW102=0.9,$BV102=0.4),$D102 &amp; ";","")</f>
        <v/>
      </c>
      <c r="CC102" s="58">
        <f>IF(AND($H102="threat",$BW102=0.9,$BV102=0.8),$D102 &amp; ";","")</f>
        <v/>
      </c>
      <c r="CD102" s="58">
        <f>IF(AND($H102="threat",$BW102=0.7,$BV102=0.05),$D102 &amp; ";","")</f>
        <v/>
      </c>
      <c r="CE102" s="58">
        <f>IF(AND($H102="threat",$BW102=0.7,$BV102=0.1),$D102 &amp; ";","")</f>
        <v/>
      </c>
      <c r="CF102" s="58">
        <f>IF(AND($H102="threat",$BW102=0.7,$BV102=0.2),$D102 &amp; ";","")</f>
        <v/>
      </c>
      <c r="CG102" s="58">
        <f>IF(AND($H102="threat",$BW102=0.7,$BV102=0.4),$D102 &amp; ";","")</f>
        <v/>
      </c>
      <c r="CH102" s="58">
        <f>IF(AND($H102="threat",$BW102=0.7,$BV102=0.8),$D102 &amp; ";","")</f>
        <v/>
      </c>
      <c r="CI102" s="58">
        <f>IF(AND($H102="threat",$BW102=0.5,$BV102=0.05),$D102 &amp; ";","")</f>
        <v/>
      </c>
      <c r="CJ102" s="58">
        <f>IF(AND($H102="threat",$BW102=0.5,$BV102=0.1),$D102 &amp; ";","")</f>
        <v/>
      </c>
      <c r="CK102" s="58">
        <f>IF(AND($H102="threat",$BW102=0.5,$BV102=0.2),$D102 &amp; ";","")</f>
        <v/>
      </c>
      <c r="CL102" s="58">
        <f>IF(AND($H102="threat",$BW102=0.5,$BV102=0.4),$D102 &amp; ";","")</f>
        <v/>
      </c>
      <c r="CM102" s="58">
        <f>IF(AND($H102="threat",$BW102=0.5,$BV102=0.8),$D102 &amp; ";","")</f>
        <v/>
      </c>
      <c r="CN102" s="58">
        <f>IF(AND($H102="threat",$BW102=0.3,$BV102=0.05),$D102 &amp; ";","")</f>
        <v/>
      </c>
      <c r="CO102" s="58">
        <f>IF(AND($H102="threat",$BW102=0.3,$BV102=0.1),$D102 &amp; ";","")</f>
        <v/>
      </c>
      <c r="CP102" s="58">
        <f>IF(AND($H102="threat",$BW102=0.3,$BV102=0.2),$D102 &amp; ";","")</f>
        <v/>
      </c>
      <c r="CQ102" s="58">
        <f>IF(AND($H102="threat",$BW102=0.3,$BV102=0.4),$D102 &amp; ";","")</f>
        <v/>
      </c>
      <c r="CR102" s="58">
        <f>IF(AND($H102="threat",$BW102=0.3,$BV102=0.8),$D102 &amp; ";","")</f>
        <v/>
      </c>
      <c r="CS102" s="58">
        <f>IF(AND($H102="threat",$BW102=0.1,$BV102=0.05),$D102 &amp; ";","")</f>
        <v/>
      </c>
      <c r="CT102" s="58">
        <f>IF(AND($H102="threat",$BW102=0.1,$BV102=0.1),$D102 &amp; ";","")</f>
        <v/>
      </c>
      <c r="CU102" s="58">
        <f>IF(AND($H102="threat",$BW102=0.1,$BV102=0.2),$D102 &amp; ";","")</f>
        <v/>
      </c>
      <c r="CV102" s="58">
        <f>IF(AND($H102="threat",$BW102=0.1,$BV102=0.4),$D102 &amp; ";","")</f>
        <v/>
      </c>
      <c r="CW102" s="58">
        <f>IF(AND($H102="threat",$BW102=0.1,$BV102=0.8),$D102 &amp; ";","")</f>
        <v/>
      </c>
      <c r="CX102" s="39" t="n"/>
      <c r="CY102" s="58">
        <f>IF(AND($H102="opportunity",$BW102=0.9,$BV102=0.8),$D102 &amp; ";","")</f>
        <v/>
      </c>
      <c r="CZ102" s="58">
        <f>IF(AND($H102="opportunity",$BW102=0.9,$BV102=0.4),$D102 &amp; ";","")</f>
        <v/>
      </c>
      <c r="DA102" s="58">
        <f>IF(AND($H102="opportunity",$BW102=0.9,$BV102=0.2),$D102 &amp; ";","")</f>
        <v/>
      </c>
      <c r="DB102" s="58">
        <f>IF(AND($H102="opportunity",$BW102=0.9,$BV102=0.1),$D102 &amp; ";","")</f>
        <v/>
      </c>
      <c r="DC102" s="58">
        <f>IF(AND($H102="opportunity",$BW102=0.9,$BV102=0.05),$D102 &amp; ";","")</f>
        <v/>
      </c>
      <c r="DD102" s="58">
        <f>IF(AND($H102="opportunity",$BW102=0.7,$BV102=0.8),$D102 &amp; ";","")</f>
        <v/>
      </c>
      <c r="DE102" s="58">
        <f>IF(AND($H102="opportunity",$BW102=0.7,$BV102=0.4),$D102 &amp; ";","")</f>
        <v/>
      </c>
      <c r="DF102" s="58">
        <f>IF(AND($H102="opportunity",$BW102=0.7,$BV102=0.2),$D102 &amp; ";","")</f>
        <v/>
      </c>
      <c r="DG102" s="58">
        <f>IF(AND($H102="opportunity",$BW102=0.7,$BV102=0.1),$D102 &amp; ";","")</f>
        <v/>
      </c>
      <c r="DH102" s="58">
        <f>IF(AND($H102="opportunity",$BW102=0.7,$BV102=0.05),$D102 &amp; ";","")</f>
        <v/>
      </c>
      <c r="DI102" s="58">
        <f>IF(AND($H102="opportunity",$BW102=0.5,$BV102=0.8),$D102 &amp; ";","")</f>
        <v/>
      </c>
      <c r="DJ102" s="58">
        <f>IF(AND($H102="opportunity",$BW102=0.5,$BV102=0.4),$D102 &amp; ";","")</f>
        <v/>
      </c>
      <c r="DK102" s="58">
        <f>IF(AND($H102="opportunity",$BW102=0.5,$BV102=0.2),$D102 &amp; ";","")</f>
        <v/>
      </c>
      <c r="DL102" s="58">
        <f>IF(AND($H102="opportunity",$BW102=0.5,$BV102=0.1),$D102 &amp; ";","")</f>
        <v/>
      </c>
      <c r="DM102" s="58">
        <f>IF(AND($H102="opportunity",$BW102=0.5,$BV102=0.05),$D102 &amp; ";","")</f>
        <v/>
      </c>
      <c r="DN102" s="58">
        <f>IF(AND($H102="opportunity",$BW102=0.3,$BV102=0.8),$D102 &amp; ";","")</f>
        <v/>
      </c>
      <c r="DO102" s="58">
        <f>IF(AND($H102="opportunity",$BW102=0.3,$BV102=0.4),$D102 &amp; ";","")</f>
        <v/>
      </c>
      <c r="DP102" s="58">
        <f>IF(AND($H102="opportunity",$BW102=0.3,$BV102=0.2),$D102 &amp; ";","")</f>
        <v/>
      </c>
      <c r="DQ102" s="58">
        <f>IF(AND($H102="opportunity",$BW102=0.3,$BV102=0.1),$D102 &amp; ";","")</f>
        <v/>
      </c>
      <c r="DR102" s="58">
        <f>IF(AND($H102="opportunity",$BW102=0.3,$BV102=0.05),$D102 &amp; ";","")</f>
        <v/>
      </c>
      <c r="DS102" s="58">
        <f>IF(AND($H102="opportunity",$BW102=0.1,$BV102=0.8),$D102 &amp; ";","")</f>
        <v/>
      </c>
      <c r="DT102" s="58">
        <f>IF(AND($H102="opportunity",$BW102=0.1,$BV102=0.4),$D102 &amp; ";","")</f>
        <v/>
      </c>
      <c r="DU102" s="58">
        <f>IF(AND($H102="opportunity",$BW102=0.1,$BV102=0.2),$D102 &amp; ";","")</f>
        <v/>
      </c>
      <c r="DV102" s="58">
        <f>IF(AND($H102="opportunity",$BW102=0.1,$BV102=0.1),$D102 &amp; ";","")</f>
        <v/>
      </c>
      <c r="DW102" s="58">
        <f>IF(AND($H102="opportunity",$BW102=0.1,$BV102=0.05),$D102 &amp; ";","")</f>
        <v/>
      </c>
    </row>
    <row r="103">
      <c r="D103" s="60">
        <f>INDIRECT(ADDRESS(ROW()-22,COLUMN()-2,1,1,"Risk Register"))</f>
        <v/>
      </c>
      <c r="E103" s="143">
        <f>INDIRECT(ADDRESS(ROW()-22,COLUMN()-1,1,1,"Risk Register"))</f>
        <v/>
      </c>
      <c r="G103" s="56">
        <f>INDIRECT(ADDRESS(ROW()-22,COLUMN()+10,1,1,"Risk Register"))</f>
        <v/>
      </c>
      <c r="H103" s="60">
        <f>INDIRECT(ADDRESS(ROW()-22,COLUMN()+8,1,1,"Risk Register"))</f>
        <v/>
      </c>
      <c r="I103" s="54">
        <f>INDIRECT(ADDRESS(ROW()-22,COLUMN()+3,1,1,"Risk Register"))</f>
        <v/>
      </c>
      <c r="J103" s="143">
        <f>INDIRECT(ADDRESS(ROW()-22,COLUMN()+12,1,1,"Risk Register"))</f>
        <v/>
      </c>
      <c r="K103" s="143">
        <f>INDIRECT(ADDRESS(ROW()-22,COLUMN()-2,1,1,"Risk Register"))</f>
        <v/>
      </c>
      <c r="L103" s="176">
        <f>INDIRECT(ADDRESS(ROW()-22,COLUMN()+15,1,1,"Risk Register"))</f>
        <v/>
      </c>
      <c r="M103" s="54">
        <f>INDIRECT(ADDRESS(ROW()-22,COLUMN()+13,1,1,"Risk Register"))</f>
        <v/>
      </c>
      <c r="N103" s="143">
        <f>INDIRECT(ADDRESS(ROW()-22,COLUMN()-9,1,1,"Risk Register"))</f>
        <v/>
      </c>
      <c r="O103" s="143">
        <f>INDIRECT(ADDRESS(ROW()-22,COLUMN()-8,1,1,"Risk Register"))</f>
        <v/>
      </c>
      <c r="P103" s="56">
        <f>INDIRECT(ADDRESS(ROW()-22,COLUMN()+18,1,1,"Risk Register"))</f>
        <v/>
      </c>
      <c r="R103" s="57">
        <f>INDIRECT(ADDRESS(ROW()-22,COLUMN()-5,1,1,"Risk Register"))</f>
        <v/>
      </c>
      <c r="S103" s="58">
        <f>INDIRECT(ADDRESS(ROW()-22,COLUMN()-4,1,1,"Risk Register"))</f>
        <v/>
      </c>
      <c r="T103" s="59">
        <f>IF(AND($H103="threat",$G103&lt;=0.05),"gn",IF(AND($H103="threat",$G103&lt;=0.14),"y",IF(AND($H103="threat", $G103&gt;=0.15),"r",IF(AND($H103="opportunity",$G103&lt;=0.05),"gn",IF(AND($H103="opportunity",$G103&lt;=0.14),"lb",IF(AND($H103="opportunity",$G103&gt;=0.15),"db","z"))))))</f>
        <v/>
      </c>
      <c r="U103" s="58">
        <f>IF(AND($H103="threat",$S103=0.9,$R103=0.05),$D103 &amp; ";","")</f>
        <v/>
      </c>
      <c r="V103" s="58">
        <f>IF(AND($H103="threat",$S103=0.9,$R103=0.1),$D103 &amp; ";","")</f>
        <v/>
      </c>
      <c r="W103" s="58">
        <f>IF(AND($H103="threat",$S103=0.9,$R103=0.2),$D103 &amp; ";","")</f>
        <v/>
      </c>
      <c r="X103" s="58">
        <f>IF(AND($H103="threat",$S103=0.9,$R103=0.4),$D103 &amp; ";","")</f>
        <v/>
      </c>
      <c r="Y103" s="58">
        <f>IF(AND($H103="threat",$S103=0.9,$R103=0.8),$D103 &amp; ";","")</f>
        <v/>
      </c>
      <c r="Z103" s="58">
        <f>IF(AND($H103="threat",$S103=0.7,$R103=0.05),$D103 &amp; ";","")</f>
        <v/>
      </c>
      <c r="AA103" s="58">
        <f>IF(AND($H103="threat",$S103=0.7,$R103=0.1),$D103 &amp; ";","")</f>
        <v/>
      </c>
      <c r="AB103" s="58">
        <f>IF(AND($H103="threat",$S103=0.7,$R103=0.2),$D103 &amp; ";","")</f>
        <v/>
      </c>
      <c r="AC103" s="58">
        <f>IF(AND($H103="threat",$S103=0.7,$R103=0.4),$D103 &amp; ";","")</f>
        <v/>
      </c>
      <c r="AD103" s="58">
        <f>IF(AND($H103="threat",$S103=0.7,$R103=0.8),$D103 &amp; ";","")</f>
        <v/>
      </c>
      <c r="AE103" s="58">
        <f>IF(AND($H103="threat",$S103=0.5,$R103=0.05),$D103 &amp; ";","")</f>
        <v/>
      </c>
      <c r="AF103" s="58">
        <f>IF(AND($H103="threat",$S103=0.5,$R103=0.1),$D103 &amp; ";","")</f>
        <v/>
      </c>
      <c r="AG103" s="58">
        <f>IF(AND($H103="threat",$S103=0.5,$R103=0.2),$D103 &amp; ";","")</f>
        <v/>
      </c>
      <c r="AH103" s="58">
        <f>IF(AND($H103="threat",$S103=0.5,$R103=0.4),$D103 &amp; ";","")</f>
        <v/>
      </c>
      <c r="AI103" s="58">
        <f>IF(AND($H103="threat",$S103=0.5,$R103=0.8),$D103 &amp; ";","")</f>
        <v/>
      </c>
      <c r="AJ103" s="58">
        <f>IF(AND($H103="threat",$S103=0.3,$R103=0.05),$D103 &amp; ";","")</f>
        <v/>
      </c>
      <c r="AK103" s="58">
        <f>IF(AND($H103="threat",$S103=0.3,$R103=0.1),$D103 &amp; ";","")</f>
        <v/>
      </c>
      <c r="AL103" s="58">
        <f>IF(AND($H103="threat",$S103=0.3,$R103=0.2),$D103 &amp; ";","")</f>
        <v/>
      </c>
      <c r="AM103" s="58">
        <f>IF(AND($H103="threat",$S103=0.3,$R103=0.4),$D103 &amp; ";","")</f>
        <v/>
      </c>
      <c r="AN103" s="58">
        <f>IF(AND($H103="threat",$S103=0.3,$R103=0.8),$D103 &amp; ";","")</f>
        <v/>
      </c>
      <c r="AO103" s="58">
        <f>IF(AND($H103="threat",$S103=0.1,$R103=0.05),$D103 &amp; ";","")</f>
        <v/>
      </c>
      <c r="AP103" s="58">
        <f>IF(AND($H103="threat",$S103=0.1,$R103=0.1),$D103 &amp; ";","")</f>
        <v/>
      </c>
      <c r="AQ103" s="58">
        <f>IF(AND($H103="threat",$S103=0.1,$R103=0.2),$D103 &amp; ";","")</f>
        <v/>
      </c>
      <c r="AR103" s="58">
        <f>IF(AND($H103="threat",$S103=0.1,$R103=0.4),$D103 &amp; ";","")</f>
        <v/>
      </c>
      <c r="AS103" s="58">
        <f>IF(AND($H103="threat",$S103=0.1,$R103=0.8),$D103 &amp; ";","")</f>
        <v/>
      </c>
      <c r="AT103" s="39" t="n"/>
      <c r="AU103" s="58">
        <f>IF(AND($H103="opportunity",$S103=0.9,$R103=0.8),$D103 &amp; ";","")</f>
        <v/>
      </c>
      <c r="AV103" s="58">
        <f>IF(AND($H103="opportunity",$S103=0.9,$R103=0.4),$D103 &amp; ";","")</f>
        <v/>
      </c>
      <c r="AW103" s="58">
        <f>IF(AND($H103="opportunity",$S103=0.9,$R103=0.2),$D103 &amp; ";","")</f>
        <v/>
      </c>
      <c r="AX103" s="58">
        <f>IF(AND($H103="opportunity",$S103=0.9,$R103=0.1),$D103 &amp; ";","")</f>
        <v/>
      </c>
      <c r="AY103" s="58">
        <f>IF(AND($H103="opportunity",$S103=0.9,$R103=0.05),$D103 &amp; ";","")</f>
        <v/>
      </c>
      <c r="AZ103" s="58">
        <f>IF(AND($H103="opportunity",$S103=0.7,$R103=0.8),$D103 &amp; ";","")</f>
        <v/>
      </c>
      <c r="BA103" s="58">
        <f>IF(AND($H103="opportunity",$S103=0.7,$R103=0.4),$D103 &amp; ";","")</f>
        <v/>
      </c>
      <c r="BB103" s="58">
        <f>IF(AND($H103="opportunity",$S103=0.7,$R103=0.2),$D103 &amp; ";","")</f>
        <v/>
      </c>
      <c r="BC103" s="58">
        <f>IF(AND($H103="opportunity",$S103=0.7,$R103=0.1),$D103 &amp; ";","")</f>
        <v/>
      </c>
      <c r="BD103" s="58">
        <f>IF(AND($H103="opportunity",$S103=0.7,$R103=0.05),$D103 &amp; ";","")</f>
        <v/>
      </c>
      <c r="BE103" s="58">
        <f>IF(AND($H103="opportunity",$S103=0.5,$R103=0.8),$D103 &amp; ";","")</f>
        <v/>
      </c>
      <c r="BF103" s="58">
        <f>IF(AND($H103="opportunity",$S103=0.5,$R103=0.4),$D103 &amp; ";","")</f>
        <v/>
      </c>
      <c r="BG103" s="58">
        <f>IF(AND($H103="opportunity",$S103=0.5,$R103=0.2),$D103 &amp; ";","")</f>
        <v/>
      </c>
      <c r="BH103" s="58">
        <f>IF(AND($H103="opportunity",$S103=0.5,$R103=0.1),$D103 &amp; ";","")</f>
        <v/>
      </c>
      <c r="BI103" s="58">
        <f>IF(AND($H103="opportunity",$S103=0.5,$R103=0.05),$D103 &amp; ";","")</f>
        <v/>
      </c>
      <c r="BJ103" s="58">
        <f>IF(AND($H103="opportunity",$S103=0.3,$R103=0.8),$D103 &amp; ";","")</f>
        <v/>
      </c>
      <c r="BK103" s="58">
        <f>IF(AND($H103="opportunity",$S103=0.3,$R103=0.4),$D103 &amp; ";","")</f>
        <v/>
      </c>
      <c r="BL103" s="58">
        <f>IF(AND($H103="opportunity",$S103=0.3,$R103=0.2),$D103 &amp; ";","")</f>
        <v/>
      </c>
      <c r="BM103" s="58">
        <f>IF(AND($H103="opportunity",$S103=0.3,$R103=0.1),$D103 &amp; ";","")</f>
        <v/>
      </c>
      <c r="BN103" s="58">
        <f>IF(AND($H103="opportunity",$S103=0.3,$R103=0.05),$D103 &amp; ";","")</f>
        <v/>
      </c>
      <c r="BO103" s="58">
        <f>IF(AND($H103="opportunity",$S103=0.1,$R103=0.8),$D103 &amp; ";","")</f>
        <v/>
      </c>
      <c r="BP103" s="58">
        <f>IF(AND($H103="opportunity",$S103=0.1,$R103=0.4),$D103 &amp; ";","")</f>
        <v/>
      </c>
      <c r="BQ103" s="58">
        <f>IF(AND($H103="opportunity",$S103=0.1,$R103=0.2),$D103 &amp; ";","")</f>
        <v/>
      </c>
      <c r="BR103" s="58">
        <f>IF(AND($H103="opportunity",$S103=0.1,$R103=0.1),$D103 &amp; ";","")</f>
        <v/>
      </c>
      <c r="BS103" s="58">
        <f>IF(AND($H103="opportunity",$S103=0.1,$R103=0.05),$D103 &amp; ";","")</f>
        <v/>
      </c>
      <c r="BV103" s="57">
        <f>INDIRECT(ADDRESS(ROW()-22,COLUMN()-45,1,1,"Risk Register"))</f>
        <v/>
      </c>
      <c r="BW103" s="58">
        <f>INDIRECT(ADDRESS(ROW()-22,COLUMN()-44,1,1,"Risk Register"))</f>
        <v/>
      </c>
      <c r="BX103" s="59">
        <f>IF(AND($H103="threat",$P103&lt;=0.05),"gn",IF(AND($H103="threat",$P103&lt;=0.14),"y",IF(AND($H103="threat", $P103&gt;=0.15),"r",IF(AND($H103="opportunity",$P103&lt;=0.05),"gn",IF(AND($H103="opportunity",$P103&lt;=0.14),"lb",IF(AND($H103="opportunity",$P103&gt;=0.15),"db","z"))))))</f>
        <v/>
      </c>
      <c r="BY103" s="58">
        <f>IF(AND($H103="threat",$BW103=0.9,$BV103=0.05),$D103 &amp; ";","")</f>
        <v/>
      </c>
      <c r="BZ103" s="58">
        <f>IF(AND($H103="threat",$BW103=0.9,$BV103=0.1),$D103 &amp; ";","")</f>
        <v/>
      </c>
      <c r="CA103" s="58">
        <f>IF(AND($H103="threat",$BW103=0.9,$BV103=0.2),$D103 &amp; ";","")</f>
        <v/>
      </c>
      <c r="CB103" s="58">
        <f>IF(AND($H103="threat",$BW103=0.9,$BV103=0.4),$D103 &amp; ";","")</f>
        <v/>
      </c>
      <c r="CC103" s="58">
        <f>IF(AND($H103="threat",$BW103=0.9,$BV103=0.8),$D103 &amp; ";","")</f>
        <v/>
      </c>
      <c r="CD103" s="58">
        <f>IF(AND($H103="threat",$BW103=0.7,$BV103=0.05),$D103 &amp; ";","")</f>
        <v/>
      </c>
      <c r="CE103" s="58">
        <f>IF(AND($H103="threat",$BW103=0.7,$BV103=0.1),$D103 &amp; ";","")</f>
        <v/>
      </c>
      <c r="CF103" s="58">
        <f>IF(AND($H103="threat",$BW103=0.7,$BV103=0.2),$D103 &amp; ";","")</f>
        <v/>
      </c>
      <c r="CG103" s="58">
        <f>IF(AND($H103="threat",$BW103=0.7,$BV103=0.4),$D103 &amp; ";","")</f>
        <v/>
      </c>
      <c r="CH103" s="58">
        <f>IF(AND($H103="threat",$BW103=0.7,$BV103=0.8),$D103 &amp; ";","")</f>
        <v/>
      </c>
      <c r="CI103" s="58">
        <f>IF(AND($H103="threat",$BW103=0.5,$BV103=0.05),$D103 &amp; ";","")</f>
        <v/>
      </c>
      <c r="CJ103" s="58">
        <f>IF(AND($H103="threat",$BW103=0.5,$BV103=0.1),$D103 &amp; ";","")</f>
        <v/>
      </c>
      <c r="CK103" s="58">
        <f>IF(AND($H103="threat",$BW103=0.5,$BV103=0.2),$D103 &amp; ";","")</f>
        <v/>
      </c>
      <c r="CL103" s="58">
        <f>IF(AND($H103="threat",$BW103=0.5,$BV103=0.4),$D103 &amp; ";","")</f>
        <v/>
      </c>
      <c r="CM103" s="58">
        <f>IF(AND($H103="threat",$BW103=0.5,$BV103=0.8),$D103 &amp; ";","")</f>
        <v/>
      </c>
      <c r="CN103" s="58">
        <f>IF(AND($H103="threat",$BW103=0.3,$BV103=0.05),$D103 &amp; ";","")</f>
        <v/>
      </c>
      <c r="CO103" s="58">
        <f>IF(AND($H103="threat",$BW103=0.3,$BV103=0.1),$D103 &amp; ";","")</f>
        <v/>
      </c>
      <c r="CP103" s="58">
        <f>IF(AND($H103="threat",$BW103=0.3,$BV103=0.2),$D103 &amp; ";","")</f>
        <v/>
      </c>
      <c r="CQ103" s="58">
        <f>IF(AND($H103="threat",$BW103=0.3,$BV103=0.4),$D103 &amp; ";","")</f>
        <v/>
      </c>
      <c r="CR103" s="58">
        <f>IF(AND($H103="threat",$BW103=0.3,$BV103=0.8),$D103 &amp; ";","")</f>
        <v/>
      </c>
      <c r="CS103" s="58">
        <f>IF(AND($H103="threat",$BW103=0.1,$BV103=0.05),$D103 &amp; ";","")</f>
        <v/>
      </c>
      <c r="CT103" s="58">
        <f>IF(AND($H103="threat",$BW103=0.1,$BV103=0.1),$D103 &amp; ";","")</f>
        <v/>
      </c>
      <c r="CU103" s="58">
        <f>IF(AND($H103="threat",$BW103=0.1,$BV103=0.2),$D103 &amp; ";","")</f>
        <v/>
      </c>
      <c r="CV103" s="58">
        <f>IF(AND($H103="threat",$BW103=0.1,$BV103=0.4),$D103 &amp; ";","")</f>
        <v/>
      </c>
      <c r="CW103" s="58">
        <f>IF(AND($H103="threat",$BW103=0.1,$BV103=0.8),$D103 &amp; ";","")</f>
        <v/>
      </c>
      <c r="CX103" s="39" t="n"/>
      <c r="CY103" s="58">
        <f>IF(AND($H103="opportunity",$BW103=0.9,$BV103=0.8),$D103 &amp; ";","")</f>
        <v/>
      </c>
      <c r="CZ103" s="58">
        <f>IF(AND($H103="opportunity",$BW103=0.9,$BV103=0.4),$D103 &amp; ";","")</f>
        <v/>
      </c>
      <c r="DA103" s="58">
        <f>IF(AND($H103="opportunity",$BW103=0.9,$BV103=0.2),$D103 &amp; ";","")</f>
        <v/>
      </c>
      <c r="DB103" s="58">
        <f>IF(AND($H103="opportunity",$BW103=0.9,$BV103=0.1),$D103 &amp; ";","")</f>
        <v/>
      </c>
      <c r="DC103" s="58">
        <f>IF(AND($H103="opportunity",$BW103=0.9,$BV103=0.05),$D103 &amp; ";","")</f>
        <v/>
      </c>
      <c r="DD103" s="58">
        <f>IF(AND($H103="opportunity",$BW103=0.7,$BV103=0.8),$D103 &amp; ";","")</f>
        <v/>
      </c>
      <c r="DE103" s="58">
        <f>IF(AND($H103="opportunity",$BW103=0.7,$BV103=0.4),$D103 &amp; ";","")</f>
        <v/>
      </c>
      <c r="DF103" s="58">
        <f>IF(AND($H103="opportunity",$BW103=0.7,$BV103=0.2),$D103 &amp; ";","")</f>
        <v/>
      </c>
      <c r="DG103" s="58">
        <f>IF(AND($H103="opportunity",$BW103=0.7,$BV103=0.1),$D103 &amp; ";","")</f>
        <v/>
      </c>
      <c r="DH103" s="58">
        <f>IF(AND($H103="opportunity",$BW103=0.7,$BV103=0.05),$D103 &amp; ";","")</f>
        <v/>
      </c>
      <c r="DI103" s="58">
        <f>IF(AND($H103="opportunity",$BW103=0.5,$BV103=0.8),$D103 &amp; ";","")</f>
        <v/>
      </c>
      <c r="DJ103" s="58">
        <f>IF(AND($H103="opportunity",$BW103=0.5,$BV103=0.4),$D103 &amp; ";","")</f>
        <v/>
      </c>
      <c r="DK103" s="58">
        <f>IF(AND($H103="opportunity",$BW103=0.5,$BV103=0.2),$D103 &amp; ";","")</f>
        <v/>
      </c>
      <c r="DL103" s="58">
        <f>IF(AND($H103="opportunity",$BW103=0.5,$BV103=0.1),$D103 &amp; ";","")</f>
        <v/>
      </c>
      <c r="DM103" s="58">
        <f>IF(AND($H103="opportunity",$BW103=0.5,$BV103=0.05),$D103 &amp; ";","")</f>
        <v/>
      </c>
      <c r="DN103" s="58">
        <f>IF(AND($H103="opportunity",$BW103=0.3,$BV103=0.8),$D103 &amp; ";","")</f>
        <v/>
      </c>
      <c r="DO103" s="58">
        <f>IF(AND($H103="opportunity",$BW103=0.3,$BV103=0.4),$D103 &amp; ";","")</f>
        <v/>
      </c>
      <c r="DP103" s="58">
        <f>IF(AND($H103="opportunity",$BW103=0.3,$BV103=0.2),$D103 &amp; ";","")</f>
        <v/>
      </c>
      <c r="DQ103" s="58">
        <f>IF(AND($H103="opportunity",$BW103=0.3,$BV103=0.1),$D103 &amp; ";","")</f>
        <v/>
      </c>
      <c r="DR103" s="58">
        <f>IF(AND($H103="opportunity",$BW103=0.3,$BV103=0.05),$D103 &amp; ";","")</f>
        <v/>
      </c>
      <c r="DS103" s="58">
        <f>IF(AND($H103="opportunity",$BW103=0.1,$BV103=0.8),$D103 &amp; ";","")</f>
        <v/>
      </c>
      <c r="DT103" s="58">
        <f>IF(AND($H103="opportunity",$BW103=0.1,$BV103=0.4),$D103 &amp; ";","")</f>
        <v/>
      </c>
      <c r="DU103" s="58">
        <f>IF(AND($H103="opportunity",$BW103=0.1,$BV103=0.2),$D103 &amp; ";","")</f>
        <v/>
      </c>
      <c r="DV103" s="58">
        <f>IF(AND($H103="opportunity",$BW103=0.1,$BV103=0.1),$D103 &amp; ";","")</f>
        <v/>
      </c>
      <c r="DW103" s="58">
        <f>IF(AND($H103="opportunity",$BW103=0.1,$BV103=0.05),$D103 &amp; ";","")</f>
        <v/>
      </c>
    </row>
    <row r="104">
      <c r="D104" s="60">
        <f>INDIRECT(ADDRESS(ROW()-22,COLUMN()-2,1,1,"Risk Register"))</f>
        <v/>
      </c>
      <c r="E104" s="143">
        <f>INDIRECT(ADDRESS(ROW()-22,COLUMN()-1,1,1,"Risk Register"))</f>
        <v/>
      </c>
      <c r="G104" s="56">
        <f>INDIRECT(ADDRESS(ROW()-22,COLUMN()+10,1,1,"Risk Register"))</f>
        <v/>
      </c>
      <c r="H104" s="60">
        <f>INDIRECT(ADDRESS(ROW()-22,COLUMN()+8,1,1,"Risk Register"))</f>
        <v/>
      </c>
      <c r="I104" s="54">
        <f>INDIRECT(ADDRESS(ROW()-22,COLUMN()+3,1,1,"Risk Register"))</f>
        <v/>
      </c>
      <c r="J104" s="143">
        <f>INDIRECT(ADDRESS(ROW()-22,COLUMN()+12,1,1,"Risk Register"))</f>
        <v/>
      </c>
      <c r="K104" s="143">
        <f>INDIRECT(ADDRESS(ROW()-22,COLUMN()-2,1,1,"Risk Register"))</f>
        <v/>
      </c>
      <c r="L104" s="176">
        <f>INDIRECT(ADDRESS(ROW()-22,COLUMN()+15,1,1,"Risk Register"))</f>
        <v/>
      </c>
      <c r="M104" s="54">
        <f>INDIRECT(ADDRESS(ROW()-22,COLUMN()+13,1,1,"Risk Register"))</f>
        <v/>
      </c>
      <c r="N104" s="143">
        <f>INDIRECT(ADDRESS(ROW()-22,COLUMN()-9,1,1,"Risk Register"))</f>
        <v/>
      </c>
      <c r="O104" s="143">
        <f>INDIRECT(ADDRESS(ROW()-22,COLUMN()-8,1,1,"Risk Register"))</f>
        <v/>
      </c>
      <c r="P104" s="56">
        <f>INDIRECT(ADDRESS(ROW()-22,COLUMN()+18,1,1,"Risk Register"))</f>
        <v/>
      </c>
      <c r="R104" s="57">
        <f>INDIRECT(ADDRESS(ROW()-22,COLUMN()-5,1,1,"Risk Register"))</f>
        <v/>
      </c>
      <c r="S104" s="58">
        <f>INDIRECT(ADDRESS(ROW()-22,COLUMN()-4,1,1,"Risk Register"))</f>
        <v/>
      </c>
      <c r="T104" s="59">
        <f>IF(AND($H104="threat",$G104&lt;=0.05),"gn",IF(AND($H104="threat",$G104&lt;=0.14),"y",IF(AND($H104="threat", $G104&gt;=0.15),"r",IF(AND($H104="opportunity",$G104&lt;=0.05),"gn",IF(AND($H104="opportunity",$G104&lt;=0.14),"lb",IF(AND($H104="opportunity",$G104&gt;=0.15),"db","z"))))))</f>
        <v/>
      </c>
      <c r="U104" s="58">
        <f>IF(AND($H104="threat",$S104=0.9,$R104=0.05),$D104 &amp; ";","")</f>
        <v/>
      </c>
      <c r="V104" s="58">
        <f>IF(AND($H104="threat",$S104=0.9,$R104=0.1),$D104 &amp; ";","")</f>
        <v/>
      </c>
      <c r="W104" s="58">
        <f>IF(AND($H104="threat",$S104=0.9,$R104=0.2),$D104 &amp; ";","")</f>
        <v/>
      </c>
      <c r="X104" s="58">
        <f>IF(AND($H104="threat",$S104=0.9,$R104=0.4),$D104 &amp; ";","")</f>
        <v/>
      </c>
      <c r="Y104" s="58">
        <f>IF(AND($H104="threat",$S104=0.9,$R104=0.8),$D104 &amp; ";","")</f>
        <v/>
      </c>
      <c r="Z104" s="58">
        <f>IF(AND($H104="threat",$S104=0.7,$R104=0.05),$D104 &amp; ";","")</f>
        <v/>
      </c>
      <c r="AA104" s="58">
        <f>IF(AND($H104="threat",$S104=0.7,$R104=0.1),$D104 &amp; ";","")</f>
        <v/>
      </c>
      <c r="AB104" s="58">
        <f>IF(AND($H104="threat",$S104=0.7,$R104=0.2),$D104 &amp; ";","")</f>
        <v/>
      </c>
      <c r="AC104" s="58">
        <f>IF(AND($H104="threat",$S104=0.7,$R104=0.4),$D104 &amp; ";","")</f>
        <v/>
      </c>
      <c r="AD104" s="58">
        <f>IF(AND($H104="threat",$S104=0.7,$R104=0.8),$D104 &amp; ";","")</f>
        <v/>
      </c>
      <c r="AE104" s="58">
        <f>IF(AND($H104="threat",$S104=0.5,$R104=0.05),$D104 &amp; ";","")</f>
        <v/>
      </c>
      <c r="AF104" s="58">
        <f>IF(AND($H104="threat",$S104=0.5,$R104=0.1),$D104 &amp; ";","")</f>
        <v/>
      </c>
      <c r="AG104" s="58">
        <f>IF(AND($H104="threat",$S104=0.5,$R104=0.2),$D104 &amp; ";","")</f>
        <v/>
      </c>
      <c r="AH104" s="58">
        <f>IF(AND($H104="threat",$S104=0.5,$R104=0.4),$D104 &amp; ";","")</f>
        <v/>
      </c>
      <c r="AI104" s="58">
        <f>IF(AND($H104="threat",$S104=0.5,$R104=0.8),$D104 &amp; ";","")</f>
        <v/>
      </c>
      <c r="AJ104" s="58">
        <f>IF(AND($H104="threat",$S104=0.3,$R104=0.05),$D104 &amp; ";","")</f>
        <v/>
      </c>
      <c r="AK104" s="58">
        <f>IF(AND($H104="threat",$S104=0.3,$R104=0.1),$D104 &amp; ";","")</f>
        <v/>
      </c>
      <c r="AL104" s="58">
        <f>IF(AND($H104="threat",$S104=0.3,$R104=0.2),$D104 &amp; ";","")</f>
        <v/>
      </c>
      <c r="AM104" s="58">
        <f>IF(AND($H104="threat",$S104=0.3,$R104=0.4),$D104 &amp; ";","")</f>
        <v/>
      </c>
      <c r="AN104" s="58">
        <f>IF(AND($H104="threat",$S104=0.3,$R104=0.8),$D104 &amp; ";","")</f>
        <v/>
      </c>
      <c r="AO104" s="58">
        <f>IF(AND($H104="threat",$S104=0.1,$R104=0.05),$D104 &amp; ";","")</f>
        <v/>
      </c>
      <c r="AP104" s="58">
        <f>IF(AND($H104="threat",$S104=0.1,$R104=0.1),$D104 &amp; ";","")</f>
        <v/>
      </c>
      <c r="AQ104" s="58">
        <f>IF(AND($H104="threat",$S104=0.1,$R104=0.2),$D104 &amp; ";","")</f>
        <v/>
      </c>
      <c r="AR104" s="58">
        <f>IF(AND($H104="threat",$S104=0.1,$R104=0.4),$D104 &amp; ";","")</f>
        <v/>
      </c>
      <c r="AS104" s="58">
        <f>IF(AND($H104="threat",$S104=0.1,$R104=0.8),$D104 &amp; ";","")</f>
        <v/>
      </c>
      <c r="AT104" s="39" t="n"/>
      <c r="AU104" s="58">
        <f>IF(AND($H104="opportunity",$S104=0.9,$R104=0.8),$D104 &amp; ";","")</f>
        <v/>
      </c>
      <c r="AV104" s="58">
        <f>IF(AND($H104="opportunity",$S104=0.9,$R104=0.4),$D104 &amp; ";","")</f>
        <v/>
      </c>
      <c r="AW104" s="58">
        <f>IF(AND($H104="opportunity",$S104=0.9,$R104=0.2),$D104 &amp; ";","")</f>
        <v/>
      </c>
      <c r="AX104" s="58">
        <f>IF(AND($H104="opportunity",$S104=0.9,$R104=0.1),$D104 &amp; ";","")</f>
        <v/>
      </c>
      <c r="AY104" s="58">
        <f>IF(AND($H104="opportunity",$S104=0.9,$R104=0.05),$D104 &amp; ";","")</f>
        <v/>
      </c>
      <c r="AZ104" s="58">
        <f>IF(AND($H104="opportunity",$S104=0.7,$R104=0.8),$D104 &amp; ";","")</f>
        <v/>
      </c>
      <c r="BA104" s="58">
        <f>IF(AND($H104="opportunity",$S104=0.7,$R104=0.4),$D104 &amp; ";","")</f>
        <v/>
      </c>
      <c r="BB104" s="58">
        <f>IF(AND($H104="opportunity",$S104=0.7,$R104=0.2),$D104 &amp; ";","")</f>
        <v/>
      </c>
      <c r="BC104" s="58">
        <f>IF(AND($H104="opportunity",$S104=0.7,$R104=0.1),$D104 &amp; ";","")</f>
        <v/>
      </c>
      <c r="BD104" s="58">
        <f>IF(AND($H104="opportunity",$S104=0.7,$R104=0.05),$D104 &amp; ";","")</f>
        <v/>
      </c>
      <c r="BE104" s="58">
        <f>IF(AND($H104="opportunity",$S104=0.5,$R104=0.8),$D104 &amp; ";","")</f>
        <v/>
      </c>
      <c r="BF104" s="58">
        <f>IF(AND($H104="opportunity",$S104=0.5,$R104=0.4),$D104 &amp; ";","")</f>
        <v/>
      </c>
      <c r="BG104" s="58">
        <f>IF(AND($H104="opportunity",$S104=0.5,$R104=0.2),$D104 &amp; ";","")</f>
        <v/>
      </c>
      <c r="BH104" s="58">
        <f>IF(AND($H104="opportunity",$S104=0.5,$R104=0.1),$D104 &amp; ";","")</f>
        <v/>
      </c>
      <c r="BI104" s="58">
        <f>IF(AND($H104="opportunity",$S104=0.5,$R104=0.05),$D104 &amp; ";","")</f>
        <v/>
      </c>
      <c r="BJ104" s="58">
        <f>IF(AND($H104="opportunity",$S104=0.3,$R104=0.8),$D104 &amp; ";","")</f>
        <v/>
      </c>
      <c r="BK104" s="58">
        <f>IF(AND($H104="opportunity",$S104=0.3,$R104=0.4),$D104 &amp; ";","")</f>
        <v/>
      </c>
      <c r="BL104" s="58">
        <f>IF(AND($H104="opportunity",$S104=0.3,$R104=0.2),$D104 &amp; ";","")</f>
        <v/>
      </c>
      <c r="BM104" s="58">
        <f>IF(AND($H104="opportunity",$S104=0.3,$R104=0.1),$D104 &amp; ";","")</f>
        <v/>
      </c>
      <c r="BN104" s="58">
        <f>IF(AND($H104="opportunity",$S104=0.3,$R104=0.05),$D104 &amp; ";","")</f>
        <v/>
      </c>
      <c r="BO104" s="58">
        <f>IF(AND($H104="opportunity",$S104=0.1,$R104=0.8),$D104 &amp; ";","")</f>
        <v/>
      </c>
      <c r="BP104" s="58">
        <f>IF(AND($H104="opportunity",$S104=0.1,$R104=0.4),$D104 &amp; ";","")</f>
        <v/>
      </c>
      <c r="BQ104" s="58">
        <f>IF(AND($H104="opportunity",$S104=0.1,$R104=0.2),$D104 &amp; ";","")</f>
        <v/>
      </c>
      <c r="BR104" s="58">
        <f>IF(AND($H104="opportunity",$S104=0.1,$R104=0.1),$D104 &amp; ";","")</f>
        <v/>
      </c>
      <c r="BS104" s="58">
        <f>IF(AND($H104="opportunity",$S104=0.1,$R104=0.05),$D104 &amp; ";","")</f>
        <v/>
      </c>
      <c r="BV104" s="57">
        <f>INDIRECT(ADDRESS(ROW()-22,COLUMN()-45,1,1,"Risk Register"))</f>
        <v/>
      </c>
      <c r="BW104" s="58">
        <f>INDIRECT(ADDRESS(ROW()-22,COLUMN()-44,1,1,"Risk Register"))</f>
        <v/>
      </c>
      <c r="BX104" s="59">
        <f>IF(AND($H104="threat",$P104&lt;=0.05),"gn",IF(AND($H104="threat",$P104&lt;=0.14),"y",IF(AND($H104="threat", $P104&gt;=0.15),"r",IF(AND($H104="opportunity",$P104&lt;=0.05),"gn",IF(AND($H104="opportunity",$P104&lt;=0.14),"lb",IF(AND($H104="opportunity",$P104&gt;=0.15),"db","z"))))))</f>
        <v/>
      </c>
      <c r="BY104" s="58">
        <f>IF(AND($H104="threat",$BW104=0.9,$BV104=0.05),$D104 &amp; ";","")</f>
        <v/>
      </c>
      <c r="BZ104" s="58">
        <f>IF(AND($H104="threat",$BW104=0.9,$BV104=0.1),$D104 &amp; ";","")</f>
        <v/>
      </c>
      <c r="CA104" s="58">
        <f>IF(AND($H104="threat",$BW104=0.9,$BV104=0.2),$D104 &amp; ";","")</f>
        <v/>
      </c>
      <c r="CB104" s="58">
        <f>IF(AND($H104="threat",$BW104=0.9,$BV104=0.4),$D104 &amp; ";","")</f>
        <v/>
      </c>
      <c r="CC104" s="58">
        <f>IF(AND($H104="threat",$BW104=0.9,$BV104=0.8),$D104 &amp; ";","")</f>
        <v/>
      </c>
      <c r="CD104" s="58">
        <f>IF(AND($H104="threat",$BW104=0.7,$BV104=0.05),$D104 &amp; ";","")</f>
        <v/>
      </c>
      <c r="CE104" s="58">
        <f>IF(AND($H104="threat",$BW104=0.7,$BV104=0.1),$D104 &amp; ";","")</f>
        <v/>
      </c>
      <c r="CF104" s="58">
        <f>IF(AND($H104="threat",$BW104=0.7,$BV104=0.2),$D104 &amp; ";","")</f>
        <v/>
      </c>
      <c r="CG104" s="58">
        <f>IF(AND($H104="threat",$BW104=0.7,$BV104=0.4),$D104 &amp; ";","")</f>
        <v/>
      </c>
      <c r="CH104" s="58">
        <f>IF(AND($H104="threat",$BW104=0.7,$BV104=0.8),$D104 &amp; ";","")</f>
        <v/>
      </c>
      <c r="CI104" s="58">
        <f>IF(AND($H104="threat",$BW104=0.5,$BV104=0.05),$D104 &amp; ";","")</f>
        <v/>
      </c>
      <c r="CJ104" s="58">
        <f>IF(AND($H104="threat",$BW104=0.5,$BV104=0.1),$D104 &amp; ";","")</f>
        <v/>
      </c>
      <c r="CK104" s="58">
        <f>IF(AND($H104="threat",$BW104=0.5,$BV104=0.2),$D104 &amp; ";","")</f>
        <v/>
      </c>
      <c r="CL104" s="58">
        <f>IF(AND($H104="threat",$BW104=0.5,$BV104=0.4),$D104 &amp; ";","")</f>
        <v/>
      </c>
      <c r="CM104" s="58">
        <f>IF(AND($H104="threat",$BW104=0.5,$BV104=0.8),$D104 &amp; ";","")</f>
        <v/>
      </c>
      <c r="CN104" s="58">
        <f>IF(AND($H104="threat",$BW104=0.3,$BV104=0.05),$D104 &amp; ";","")</f>
        <v/>
      </c>
      <c r="CO104" s="58">
        <f>IF(AND($H104="threat",$BW104=0.3,$BV104=0.1),$D104 &amp; ";","")</f>
        <v/>
      </c>
      <c r="CP104" s="58">
        <f>IF(AND($H104="threat",$BW104=0.3,$BV104=0.2),$D104 &amp; ";","")</f>
        <v/>
      </c>
      <c r="CQ104" s="58">
        <f>IF(AND($H104="threat",$BW104=0.3,$BV104=0.4),$D104 &amp; ";","")</f>
        <v/>
      </c>
      <c r="CR104" s="58">
        <f>IF(AND($H104="threat",$BW104=0.3,$BV104=0.8),$D104 &amp; ";","")</f>
        <v/>
      </c>
      <c r="CS104" s="58">
        <f>IF(AND($H104="threat",$BW104=0.1,$BV104=0.05),$D104 &amp; ";","")</f>
        <v/>
      </c>
      <c r="CT104" s="58">
        <f>IF(AND($H104="threat",$BW104=0.1,$BV104=0.1),$D104 &amp; ";","")</f>
        <v/>
      </c>
      <c r="CU104" s="58">
        <f>IF(AND($H104="threat",$BW104=0.1,$BV104=0.2),$D104 &amp; ";","")</f>
        <v/>
      </c>
      <c r="CV104" s="58">
        <f>IF(AND($H104="threat",$BW104=0.1,$BV104=0.4),$D104 &amp; ";","")</f>
        <v/>
      </c>
      <c r="CW104" s="58">
        <f>IF(AND($H104="threat",$BW104=0.1,$BV104=0.8),$D104 &amp; ";","")</f>
        <v/>
      </c>
      <c r="CX104" s="39" t="n"/>
      <c r="CY104" s="58">
        <f>IF(AND($H104="opportunity",$BW104=0.9,$BV104=0.8),$D104 &amp; ";","")</f>
        <v/>
      </c>
      <c r="CZ104" s="58">
        <f>IF(AND($H104="opportunity",$BW104=0.9,$BV104=0.4),$D104 &amp; ";","")</f>
        <v/>
      </c>
      <c r="DA104" s="58">
        <f>IF(AND($H104="opportunity",$BW104=0.9,$BV104=0.2),$D104 &amp; ";","")</f>
        <v/>
      </c>
      <c r="DB104" s="58">
        <f>IF(AND($H104="opportunity",$BW104=0.9,$BV104=0.1),$D104 &amp; ";","")</f>
        <v/>
      </c>
      <c r="DC104" s="58">
        <f>IF(AND($H104="opportunity",$BW104=0.9,$BV104=0.05),$D104 &amp; ";","")</f>
        <v/>
      </c>
      <c r="DD104" s="58">
        <f>IF(AND($H104="opportunity",$BW104=0.7,$BV104=0.8),$D104 &amp; ";","")</f>
        <v/>
      </c>
      <c r="DE104" s="58">
        <f>IF(AND($H104="opportunity",$BW104=0.7,$BV104=0.4),$D104 &amp; ";","")</f>
        <v/>
      </c>
      <c r="DF104" s="58">
        <f>IF(AND($H104="opportunity",$BW104=0.7,$BV104=0.2),$D104 &amp; ";","")</f>
        <v/>
      </c>
      <c r="DG104" s="58">
        <f>IF(AND($H104="opportunity",$BW104=0.7,$BV104=0.1),$D104 &amp; ";","")</f>
        <v/>
      </c>
      <c r="DH104" s="58">
        <f>IF(AND($H104="opportunity",$BW104=0.7,$BV104=0.05),$D104 &amp; ";","")</f>
        <v/>
      </c>
      <c r="DI104" s="58">
        <f>IF(AND($H104="opportunity",$BW104=0.5,$BV104=0.8),$D104 &amp; ";","")</f>
        <v/>
      </c>
      <c r="DJ104" s="58">
        <f>IF(AND($H104="opportunity",$BW104=0.5,$BV104=0.4),$D104 &amp; ";","")</f>
        <v/>
      </c>
      <c r="DK104" s="58">
        <f>IF(AND($H104="opportunity",$BW104=0.5,$BV104=0.2),$D104 &amp; ";","")</f>
        <v/>
      </c>
      <c r="DL104" s="58">
        <f>IF(AND($H104="opportunity",$BW104=0.5,$BV104=0.1),$D104 &amp; ";","")</f>
        <v/>
      </c>
      <c r="DM104" s="58">
        <f>IF(AND($H104="opportunity",$BW104=0.5,$BV104=0.05),$D104 &amp; ";","")</f>
        <v/>
      </c>
      <c r="DN104" s="58">
        <f>IF(AND($H104="opportunity",$BW104=0.3,$BV104=0.8),$D104 &amp; ";","")</f>
        <v/>
      </c>
      <c r="DO104" s="58">
        <f>IF(AND($H104="opportunity",$BW104=0.3,$BV104=0.4),$D104 &amp; ";","")</f>
        <v/>
      </c>
      <c r="DP104" s="58">
        <f>IF(AND($H104="opportunity",$BW104=0.3,$BV104=0.2),$D104 &amp; ";","")</f>
        <v/>
      </c>
      <c r="DQ104" s="58">
        <f>IF(AND($H104="opportunity",$BW104=0.3,$BV104=0.1),$D104 &amp; ";","")</f>
        <v/>
      </c>
      <c r="DR104" s="58">
        <f>IF(AND($H104="opportunity",$BW104=0.3,$BV104=0.05),$D104 &amp; ";","")</f>
        <v/>
      </c>
      <c r="DS104" s="58">
        <f>IF(AND($H104="opportunity",$BW104=0.1,$BV104=0.8),$D104 &amp; ";","")</f>
        <v/>
      </c>
      <c r="DT104" s="58">
        <f>IF(AND($H104="opportunity",$BW104=0.1,$BV104=0.4),$D104 &amp; ";","")</f>
        <v/>
      </c>
      <c r="DU104" s="58">
        <f>IF(AND($H104="opportunity",$BW104=0.1,$BV104=0.2),$D104 &amp; ";","")</f>
        <v/>
      </c>
      <c r="DV104" s="58">
        <f>IF(AND($H104="opportunity",$BW104=0.1,$BV104=0.1),$D104 &amp; ";","")</f>
        <v/>
      </c>
      <c r="DW104" s="58">
        <f>IF(AND($H104="opportunity",$BW104=0.1,$BV104=0.05),$D104 &amp; ";","")</f>
        <v/>
      </c>
    </row>
    <row r="105">
      <c r="D105" s="60">
        <f>INDIRECT(ADDRESS(ROW()-22,COLUMN()-2,1,1,"Risk Register"))</f>
        <v/>
      </c>
      <c r="E105" s="143">
        <f>INDIRECT(ADDRESS(ROW()-22,COLUMN()-1,1,1,"Risk Register"))</f>
        <v/>
      </c>
      <c r="G105" s="56">
        <f>INDIRECT(ADDRESS(ROW()-22,COLUMN()+10,1,1,"Risk Register"))</f>
        <v/>
      </c>
      <c r="H105" s="60">
        <f>INDIRECT(ADDRESS(ROW()-22,COLUMN()+8,1,1,"Risk Register"))</f>
        <v/>
      </c>
      <c r="I105" s="54">
        <f>INDIRECT(ADDRESS(ROW()-22,COLUMN()+3,1,1,"Risk Register"))</f>
        <v/>
      </c>
      <c r="J105" s="143">
        <f>INDIRECT(ADDRESS(ROW()-22,COLUMN()+12,1,1,"Risk Register"))</f>
        <v/>
      </c>
      <c r="K105" s="143">
        <f>INDIRECT(ADDRESS(ROW()-22,COLUMN()-2,1,1,"Risk Register"))</f>
        <v/>
      </c>
      <c r="L105" s="176">
        <f>INDIRECT(ADDRESS(ROW()-22,COLUMN()+15,1,1,"Risk Register"))</f>
        <v/>
      </c>
      <c r="M105" s="54">
        <f>INDIRECT(ADDRESS(ROW()-22,COLUMN()+13,1,1,"Risk Register"))</f>
        <v/>
      </c>
      <c r="N105" s="143">
        <f>INDIRECT(ADDRESS(ROW()-22,COLUMN()-9,1,1,"Risk Register"))</f>
        <v/>
      </c>
      <c r="O105" s="143">
        <f>INDIRECT(ADDRESS(ROW()-22,COLUMN()-8,1,1,"Risk Register"))</f>
        <v/>
      </c>
      <c r="P105" s="56">
        <f>INDIRECT(ADDRESS(ROW()-22,COLUMN()+18,1,1,"Risk Register"))</f>
        <v/>
      </c>
      <c r="R105" s="57">
        <f>INDIRECT(ADDRESS(ROW()-22,COLUMN()-5,1,1,"Risk Register"))</f>
        <v/>
      </c>
      <c r="S105" s="58">
        <f>INDIRECT(ADDRESS(ROW()-22,COLUMN()-4,1,1,"Risk Register"))</f>
        <v/>
      </c>
      <c r="T105" s="59">
        <f>IF(AND($H105="threat",$G105&lt;=0.05),"gn",IF(AND($H105="threat",$G105&lt;=0.14),"y",IF(AND($H105="threat", $G105&gt;=0.15),"r",IF(AND($H105="opportunity",$G105&lt;=0.05),"gn",IF(AND($H105="opportunity",$G105&lt;=0.14),"lb",IF(AND($H105="opportunity",$G105&gt;=0.15),"db","z"))))))</f>
        <v/>
      </c>
      <c r="U105" s="58">
        <f>IF(AND($H105="threat",$S105=0.9,$R105=0.05),$D105 &amp; ";","")</f>
        <v/>
      </c>
      <c r="V105" s="58">
        <f>IF(AND($H105="threat",$S105=0.9,$R105=0.1),$D105 &amp; ";","")</f>
        <v/>
      </c>
      <c r="W105" s="58">
        <f>IF(AND($H105="threat",$S105=0.9,$R105=0.2),$D105 &amp; ";","")</f>
        <v/>
      </c>
      <c r="X105" s="58">
        <f>IF(AND($H105="threat",$S105=0.9,$R105=0.4),$D105 &amp; ";","")</f>
        <v/>
      </c>
      <c r="Y105" s="58">
        <f>IF(AND($H105="threat",$S105=0.9,$R105=0.8),$D105 &amp; ";","")</f>
        <v/>
      </c>
      <c r="Z105" s="58">
        <f>IF(AND($H105="threat",$S105=0.7,$R105=0.05),$D105 &amp; ";","")</f>
        <v/>
      </c>
      <c r="AA105" s="58">
        <f>IF(AND($H105="threat",$S105=0.7,$R105=0.1),$D105 &amp; ";","")</f>
        <v/>
      </c>
      <c r="AB105" s="58">
        <f>IF(AND($H105="threat",$S105=0.7,$R105=0.2),$D105 &amp; ";","")</f>
        <v/>
      </c>
      <c r="AC105" s="58">
        <f>IF(AND($H105="threat",$S105=0.7,$R105=0.4),$D105 &amp; ";","")</f>
        <v/>
      </c>
      <c r="AD105" s="58">
        <f>IF(AND($H105="threat",$S105=0.7,$R105=0.8),$D105 &amp; ";","")</f>
        <v/>
      </c>
      <c r="AE105" s="58">
        <f>IF(AND($H105="threat",$S105=0.5,$R105=0.05),$D105 &amp; ";","")</f>
        <v/>
      </c>
      <c r="AF105" s="58">
        <f>IF(AND($H105="threat",$S105=0.5,$R105=0.1),$D105 &amp; ";","")</f>
        <v/>
      </c>
      <c r="AG105" s="58">
        <f>IF(AND($H105="threat",$S105=0.5,$R105=0.2),$D105 &amp; ";","")</f>
        <v/>
      </c>
      <c r="AH105" s="58">
        <f>IF(AND($H105="threat",$S105=0.5,$R105=0.4),$D105 &amp; ";","")</f>
        <v/>
      </c>
      <c r="AI105" s="58">
        <f>IF(AND($H105="threat",$S105=0.5,$R105=0.8),$D105 &amp; ";","")</f>
        <v/>
      </c>
      <c r="AJ105" s="58">
        <f>IF(AND($H105="threat",$S105=0.3,$R105=0.05),$D105 &amp; ";","")</f>
        <v/>
      </c>
      <c r="AK105" s="58">
        <f>IF(AND($H105="threat",$S105=0.3,$R105=0.1),$D105 &amp; ";","")</f>
        <v/>
      </c>
      <c r="AL105" s="58">
        <f>IF(AND($H105="threat",$S105=0.3,$R105=0.2),$D105 &amp; ";","")</f>
        <v/>
      </c>
      <c r="AM105" s="58">
        <f>IF(AND($H105="threat",$S105=0.3,$R105=0.4),$D105 &amp; ";","")</f>
        <v/>
      </c>
      <c r="AN105" s="58">
        <f>IF(AND($H105="threat",$S105=0.3,$R105=0.8),$D105 &amp; ";","")</f>
        <v/>
      </c>
      <c r="AO105" s="58">
        <f>IF(AND($H105="threat",$S105=0.1,$R105=0.05),$D105 &amp; ";","")</f>
        <v/>
      </c>
      <c r="AP105" s="58">
        <f>IF(AND($H105="threat",$S105=0.1,$R105=0.1),$D105 &amp; ";","")</f>
        <v/>
      </c>
      <c r="AQ105" s="58">
        <f>IF(AND($H105="threat",$S105=0.1,$R105=0.2),$D105 &amp; ";","")</f>
        <v/>
      </c>
      <c r="AR105" s="58">
        <f>IF(AND($H105="threat",$S105=0.1,$R105=0.4),$D105 &amp; ";","")</f>
        <v/>
      </c>
      <c r="AS105" s="58">
        <f>IF(AND($H105="threat",$S105=0.1,$R105=0.8),$D105 &amp; ";","")</f>
        <v/>
      </c>
      <c r="AT105" s="39" t="n"/>
      <c r="AU105" s="58">
        <f>IF(AND($H105="opportunity",$S105=0.9,$R105=0.8),$D105 &amp; ";","")</f>
        <v/>
      </c>
      <c r="AV105" s="58">
        <f>IF(AND($H105="opportunity",$S105=0.9,$R105=0.4),$D105 &amp; ";","")</f>
        <v/>
      </c>
      <c r="AW105" s="58">
        <f>IF(AND($H105="opportunity",$S105=0.9,$R105=0.2),$D105 &amp; ";","")</f>
        <v/>
      </c>
      <c r="AX105" s="58">
        <f>IF(AND($H105="opportunity",$S105=0.9,$R105=0.1),$D105 &amp; ";","")</f>
        <v/>
      </c>
      <c r="AY105" s="58">
        <f>IF(AND($H105="opportunity",$S105=0.9,$R105=0.05),$D105 &amp; ";","")</f>
        <v/>
      </c>
      <c r="AZ105" s="58">
        <f>IF(AND($H105="opportunity",$S105=0.7,$R105=0.8),$D105 &amp; ";","")</f>
        <v/>
      </c>
      <c r="BA105" s="58">
        <f>IF(AND($H105="opportunity",$S105=0.7,$R105=0.4),$D105 &amp; ";","")</f>
        <v/>
      </c>
      <c r="BB105" s="58">
        <f>IF(AND($H105="opportunity",$S105=0.7,$R105=0.2),$D105 &amp; ";","")</f>
        <v/>
      </c>
      <c r="BC105" s="58">
        <f>IF(AND($H105="opportunity",$S105=0.7,$R105=0.1),$D105 &amp; ";","")</f>
        <v/>
      </c>
      <c r="BD105" s="58">
        <f>IF(AND($H105="opportunity",$S105=0.7,$R105=0.05),$D105 &amp; ";","")</f>
        <v/>
      </c>
      <c r="BE105" s="58">
        <f>IF(AND($H105="opportunity",$S105=0.5,$R105=0.8),$D105 &amp; ";","")</f>
        <v/>
      </c>
      <c r="BF105" s="58">
        <f>IF(AND($H105="opportunity",$S105=0.5,$R105=0.4),$D105 &amp; ";","")</f>
        <v/>
      </c>
      <c r="BG105" s="58">
        <f>IF(AND($H105="opportunity",$S105=0.5,$R105=0.2),$D105 &amp; ";","")</f>
        <v/>
      </c>
      <c r="BH105" s="58">
        <f>IF(AND($H105="opportunity",$S105=0.5,$R105=0.1),$D105 &amp; ";","")</f>
        <v/>
      </c>
      <c r="BI105" s="58">
        <f>IF(AND($H105="opportunity",$S105=0.5,$R105=0.05),$D105 &amp; ";","")</f>
        <v/>
      </c>
      <c r="BJ105" s="58">
        <f>IF(AND($H105="opportunity",$S105=0.3,$R105=0.8),$D105 &amp; ";","")</f>
        <v/>
      </c>
      <c r="BK105" s="58">
        <f>IF(AND($H105="opportunity",$S105=0.3,$R105=0.4),$D105 &amp; ";","")</f>
        <v/>
      </c>
      <c r="BL105" s="58">
        <f>IF(AND($H105="opportunity",$S105=0.3,$R105=0.2),$D105 &amp; ";","")</f>
        <v/>
      </c>
      <c r="BM105" s="58">
        <f>IF(AND($H105="opportunity",$S105=0.3,$R105=0.1),$D105 &amp; ";","")</f>
        <v/>
      </c>
      <c r="BN105" s="58">
        <f>IF(AND($H105="opportunity",$S105=0.3,$R105=0.05),$D105 &amp; ";","")</f>
        <v/>
      </c>
      <c r="BO105" s="58">
        <f>IF(AND($H105="opportunity",$S105=0.1,$R105=0.8),$D105 &amp; ";","")</f>
        <v/>
      </c>
      <c r="BP105" s="58">
        <f>IF(AND($H105="opportunity",$S105=0.1,$R105=0.4),$D105 &amp; ";","")</f>
        <v/>
      </c>
      <c r="BQ105" s="58">
        <f>IF(AND($H105="opportunity",$S105=0.1,$R105=0.2),$D105 &amp; ";","")</f>
        <v/>
      </c>
      <c r="BR105" s="58">
        <f>IF(AND($H105="opportunity",$S105=0.1,$R105=0.1),$D105 &amp; ";","")</f>
        <v/>
      </c>
      <c r="BS105" s="58">
        <f>IF(AND($H105="opportunity",$S105=0.1,$R105=0.05),$D105 &amp; ";","")</f>
        <v/>
      </c>
      <c r="BV105" s="57">
        <f>INDIRECT(ADDRESS(ROW()-22,COLUMN()-45,1,1,"Risk Register"))</f>
        <v/>
      </c>
      <c r="BW105" s="58">
        <f>INDIRECT(ADDRESS(ROW()-22,COLUMN()-44,1,1,"Risk Register"))</f>
        <v/>
      </c>
      <c r="BX105" s="59">
        <f>IF(AND($H105="threat",$P105&lt;=0.05),"gn",IF(AND($H105="threat",$P105&lt;=0.14),"y",IF(AND($H105="threat", $P105&gt;=0.15),"r",IF(AND($H105="opportunity",$P105&lt;=0.05),"gn",IF(AND($H105="opportunity",$P105&lt;=0.14),"lb",IF(AND($H105="opportunity",$P105&gt;=0.15),"db","z"))))))</f>
        <v/>
      </c>
      <c r="BY105" s="58">
        <f>IF(AND($H105="threat",$BW105=0.9,$BV105=0.05),$D105 &amp; ";","")</f>
        <v/>
      </c>
      <c r="BZ105" s="58">
        <f>IF(AND($H105="threat",$BW105=0.9,$BV105=0.1),$D105 &amp; ";","")</f>
        <v/>
      </c>
      <c r="CA105" s="58">
        <f>IF(AND($H105="threat",$BW105=0.9,$BV105=0.2),$D105 &amp; ";","")</f>
        <v/>
      </c>
      <c r="CB105" s="58">
        <f>IF(AND($H105="threat",$BW105=0.9,$BV105=0.4),$D105 &amp; ";","")</f>
        <v/>
      </c>
      <c r="CC105" s="58">
        <f>IF(AND($H105="threat",$BW105=0.9,$BV105=0.8),$D105 &amp; ";","")</f>
        <v/>
      </c>
      <c r="CD105" s="58">
        <f>IF(AND($H105="threat",$BW105=0.7,$BV105=0.05),$D105 &amp; ";","")</f>
        <v/>
      </c>
      <c r="CE105" s="58">
        <f>IF(AND($H105="threat",$BW105=0.7,$BV105=0.1),$D105 &amp; ";","")</f>
        <v/>
      </c>
      <c r="CF105" s="58">
        <f>IF(AND($H105="threat",$BW105=0.7,$BV105=0.2),$D105 &amp; ";","")</f>
        <v/>
      </c>
      <c r="CG105" s="58">
        <f>IF(AND($H105="threat",$BW105=0.7,$BV105=0.4),$D105 &amp; ";","")</f>
        <v/>
      </c>
      <c r="CH105" s="58">
        <f>IF(AND($H105="threat",$BW105=0.7,$BV105=0.8),$D105 &amp; ";","")</f>
        <v/>
      </c>
      <c r="CI105" s="58">
        <f>IF(AND($H105="threat",$BW105=0.5,$BV105=0.05),$D105 &amp; ";","")</f>
        <v/>
      </c>
      <c r="CJ105" s="58">
        <f>IF(AND($H105="threat",$BW105=0.5,$BV105=0.1),$D105 &amp; ";","")</f>
        <v/>
      </c>
      <c r="CK105" s="58">
        <f>IF(AND($H105="threat",$BW105=0.5,$BV105=0.2),$D105 &amp; ";","")</f>
        <v/>
      </c>
      <c r="CL105" s="58">
        <f>IF(AND($H105="threat",$BW105=0.5,$BV105=0.4),$D105 &amp; ";","")</f>
        <v/>
      </c>
      <c r="CM105" s="58">
        <f>IF(AND($H105="threat",$BW105=0.5,$BV105=0.8),$D105 &amp; ";","")</f>
        <v/>
      </c>
      <c r="CN105" s="58">
        <f>IF(AND($H105="threat",$BW105=0.3,$BV105=0.05),$D105 &amp; ";","")</f>
        <v/>
      </c>
      <c r="CO105" s="58">
        <f>IF(AND($H105="threat",$BW105=0.3,$BV105=0.1),$D105 &amp; ";","")</f>
        <v/>
      </c>
      <c r="CP105" s="58">
        <f>IF(AND($H105="threat",$BW105=0.3,$BV105=0.2),$D105 &amp; ";","")</f>
        <v/>
      </c>
      <c r="CQ105" s="58">
        <f>IF(AND($H105="threat",$BW105=0.3,$BV105=0.4),$D105 &amp; ";","")</f>
        <v/>
      </c>
      <c r="CR105" s="58">
        <f>IF(AND($H105="threat",$BW105=0.3,$BV105=0.8),$D105 &amp; ";","")</f>
        <v/>
      </c>
      <c r="CS105" s="58">
        <f>IF(AND($H105="threat",$BW105=0.1,$BV105=0.05),$D105 &amp; ";","")</f>
        <v/>
      </c>
      <c r="CT105" s="58">
        <f>IF(AND($H105="threat",$BW105=0.1,$BV105=0.1),$D105 &amp; ";","")</f>
        <v/>
      </c>
      <c r="CU105" s="58">
        <f>IF(AND($H105="threat",$BW105=0.1,$BV105=0.2),$D105 &amp; ";","")</f>
        <v/>
      </c>
      <c r="CV105" s="58">
        <f>IF(AND($H105="threat",$BW105=0.1,$BV105=0.4),$D105 &amp; ";","")</f>
        <v/>
      </c>
      <c r="CW105" s="58">
        <f>IF(AND($H105="threat",$BW105=0.1,$BV105=0.8),$D105 &amp; ";","")</f>
        <v/>
      </c>
      <c r="CX105" s="39" t="n"/>
      <c r="CY105" s="58">
        <f>IF(AND($H105="opportunity",$BW105=0.9,$BV105=0.8),$D105 &amp; ";","")</f>
        <v/>
      </c>
      <c r="CZ105" s="58">
        <f>IF(AND($H105="opportunity",$BW105=0.9,$BV105=0.4),$D105 &amp; ";","")</f>
        <v/>
      </c>
      <c r="DA105" s="58">
        <f>IF(AND($H105="opportunity",$BW105=0.9,$BV105=0.2),$D105 &amp; ";","")</f>
        <v/>
      </c>
      <c r="DB105" s="58">
        <f>IF(AND($H105="opportunity",$BW105=0.9,$BV105=0.1),$D105 &amp; ";","")</f>
        <v/>
      </c>
      <c r="DC105" s="58">
        <f>IF(AND($H105="opportunity",$BW105=0.9,$BV105=0.05),$D105 &amp; ";","")</f>
        <v/>
      </c>
      <c r="DD105" s="58">
        <f>IF(AND($H105="opportunity",$BW105=0.7,$BV105=0.8),$D105 &amp; ";","")</f>
        <v/>
      </c>
      <c r="DE105" s="58">
        <f>IF(AND($H105="opportunity",$BW105=0.7,$BV105=0.4),$D105 &amp; ";","")</f>
        <v/>
      </c>
      <c r="DF105" s="58">
        <f>IF(AND($H105="opportunity",$BW105=0.7,$BV105=0.2),$D105 &amp; ";","")</f>
        <v/>
      </c>
      <c r="DG105" s="58">
        <f>IF(AND($H105="opportunity",$BW105=0.7,$BV105=0.1),$D105 &amp; ";","")</f>
        <v/>
      </c>
      <c r="DH105" s="58">
        <f>IF(AND($H105="opportunity",$BW105=0.7,$BV105=0.05),$D105 &amp; ";","")</f>
        <v/>
      </c>
      <c r="DI105" s="58">
        <f>IF(AND($H105="opportunity",$BW105=0.5,$BV105=0.8),$D105 &amp; ";","")</f>
        <v/>
      </c>
      <c r="DJ105" s="58">
        <f>IF(AND($H105="opportunity",$BW105=0.5,$BV105=0.4),$D105 &amp; ";","")</f>
        <v/>
      </c>
      <c r="DK105" s="58">
        <f>IF(AND($H105="opportunity",$BW105=0.5,$BV105=0.2),$D105 &amp; ";","")</f>
        <v/>
      </c>
      <c r="DL105" s="58">
        <f>IF(AND($H105="opportunity",$BW105=0.5,$BV105=0.1),$D105 &amp; ";","")</f>
        <v/>
      </c>
      <c r="DM105" s="58">
        <f>IF(AND($H105="opportunity",$BW105=0.5,$BV105=0.05),$D105 &amp; ";","")</f>
        <v/>
      </c>
      <c r="DN105" s="58">
        <f>IF(AND($H105="opportunity",$BW105=0.3,$BV105=0.8),$D105 &amp; ";","")</f>
        <v/>
      </c>
      <c r="DO105" s="58">
        <f>IF(AND($H105="opportunity",$BW105=0.3,$BV105=0.4),$D105 &amp; ";","")</f>
        <v/>
      </c>
      <c r="DP105" s="58">
        <f>IF(AND($H105="opportunity",$BW105=0.3,$BV105=0.2),$D105 &amp; ";","")</f>
        <v/>
      </c>
      <c r="DQ105" s="58">
        <f>IF(AND($H105="opportunity",$BW105=0.3,$BV105=0.1),$D105 &amp; ";","")</f>
        <v/>
      </c>
      <c r="DR105" s="58">
        <f>IF(AND($H105="opportunity",$BW105=0.3,$BV105=0.05),$D105 &amp; ";","")</f>
        <v/>
      </c>
      <c r="DS105" s="58">
        <f>IF(AND($H105="opportunity",$BW105=0.1,$BV105=0.8),$D105 &amp; ";","")</f>
        <v/>
      </c>
      <c r="DT105" s="58">
        <f>IF(AND($H105="opportunity",$BW105=0.1,$BV105=0.4),$D105 &amp; ";","")</f>
        <v/>
      </c>
      <c r="DU105" s="58">
        <f>IF(AND($H105="opportunity",$BW105=0.1,$BV105=0.2),$D105 &amp; ";","")</f>
        <v/>
      </c>
      <c r="DV105" s="58">
        <f>IF(AND($H105="opportunity",$BW105=0.1,$BV105=0.1),$D105 &amp; ";","")</f>
        <v/>
      </c>
      <c r="DW105" s="58">
        <f>IF(AND($H105="opportunity",$BW105=0.1,$BV105=0.05),$D105 &amp; ";","")</f>
        <v/>
      </c>
    </row>
    <row r="106">
      <c r="D106" s="60">
        <f>INDIRECT(ADDRESS(ROW()-22,COLUMN()-2,1,1,"Risk Register"))</f>
        <v/>
      </c>
      <c r="E106" s="143">
        <f>INDIRECT(ADDRESS(ROW()-22,COLUMN()-1,1,1,"Risk Register"))</f>
        <v/>
      </c>
      <c r="G106" s="56">
        <f>INDIRECT(ADDRESS(ROW()-22,COLUMN()+10,1,1,"Risk Register"))</f>
        <v/>
      </c>
      <c r="H106" s="60">
        <f>INDIRECT(ADDRESS(ROW()-22,COLUMN()+8,1,1,"Risk Register"))</f>
        <v/>
      </c>
      <c r="I106" s="54">
        <f>INDIRECT(ADDRESS(ROW()-22,COLUMN()+3,1,1,"Risk Register"))</f>
        <v/>
      </c>
      <c r="J106" s="143">
        <f>INDIRECT(ADDRESS(ROW()-22,COLUMN()+12,1,1,"Risk Register"))</f>
        <v/>
      </c>
      <c r="K106" s="143">
        <f>INDIRECT(ADDRESS(ROW()-22,COLUMN()-2,1,1,"Risk Register"))</f>
        <v/>
      </c>
      <c r="L106" s="176">
        <f>INDIRECT(ADDRESS(ROW()-22,COLUMN()+15,1,1,"Risk Register"))</f>
        <v/>
      </c>
      <c r="M106" s="54">
        <f>INDIRECT(ADDRESS(ROW()-22,COLUMN()+13,1,1,"Risk Register"))</f>
        <v/>
      </c>
      <c r="N106" s="143">
        <f>INDIRECT(ADDRESS(ROW()-22,COLUMN()-9,1,1,"Risk Register"))</f>
        <v/>
      </c>
      <c r="O106" s="143">
        <f>INDIRECT(ADDRESS(ROW()-22,COLUMN()-8,1,1,"Risk Register"))</f>
        <v/>
      </c>
      <c r="P106" s="56">
        <f>INDIRECT(ADDRESS(ROW()-22,COLUMN()+18,1,1,"Risk Register"))</f>
        <v/>
      </c>
      <c r="R106" s="57">
        <f>INDIRECT(ADDRESS(ROW()-22,COLUMN()-5,1,1,"Risk Register"))</f>
        <v/>
      </c>
      <c r="S106" s="58">
        <f>INDIRECT(ADDRESS(ROW()-22,COLUMN()-4,1,1,"Risk Register"))</f>
        <v/>
      </c>
      <c r="T106" s="59">
        <f>IF(AND($H106="threat",$G106&lt;=0.05),"gn",IF(AND($H106="threat",$G106&lt;=0.14),"y",IF(AND($H106="threat", $G106&gt;=0.15),"r",IF(AND($H106="opportunity",$G106&lt;=0.05),"gn",IF(AND($H106="opportunity",$G106&lt;=0.14),"lb",IF(AND($H106="opportunity",$G106&gt;=0.15),"db","z"))))))</f>
        <v/>
      </c>
      <c r="U106" s="58">
        <f>IF(AND($H106="threat",$S106=0.9,$R106=0.05),$D106 &amp; ";","")</f>
        <v/>
      </c>
      <c r="V106" s="58">
        <f>IF(AND($H106="threat",$S106=0.9,$R106=0.1),$D106 &amp; ";","")</f>
        <v/>
      </c>
      <c r="W106" s="58">
        <f>IF(AND($H106="threat",$S106=0.9,$R106=0.2),$D106 &amp; ";","")</f>
        <v/>
      </c>
      <c r="X106" s="58">
        <f>IF(AND($H106="threat",$S106=0.9,$R106=0.4),$D106 &amp; ";","")</f>
        <v/>
      </c>
      <c r="Y106" s="58">
        <f>IF(AND($H106="threat",$S106=0.9,$R106=0.8),$D106 &amp; ";","")</f>
        <v/>
      </c>
      <c r="Z106" s="58">
        <f>IF(AND($H106="threat",$S106=0.7,$R106=0.05),$D106 &amp; ";","")</f>
        <v/>
      </c>
      <c r="AA106" s="58">
        <f>IF(AND($H106="threat",$S106=0.7,$R106=0.1),$D106 &amp; ";","")</f>
        <v/>
      </c>
      <c r="AB106" s="58">
        <f>IF(AND($H106="threat",$S106=0.7,$R106=0.2),$D106 &amp; ";","")</f>
        <v/>
      </c>
      <c r="AC106" s="58">
        <f>IF(AND($H106="threat",$S106=0.7,$R106=0.4),$D106 &amp; ";","")</f>
        <v/>
      </c>
      <c r="AD106" s="58">
        <f>IF(AND($H106="threat",$S106=0.7,$R106=0.8),$D106 &amp; ";","")</f>
        <v/>
      </c>
      <c r="AE106" s="58">
        <f>IF(AND($H106="threat",$S106=0.5,$R106=0.05),$D106 &amp; ";","")</f>
        <v/>
      </c>
      <c r="AF106" s="58">
        <f>IF(AND($H106="threat",$S106=0.5,$R106=0.1),$D106 &amp; ";","")</f>
        <v/>
      </c>
      <c r="AG106" s="58">
        <f>IF(AND($H106="threat",$S106=0.5,$R106=0.2),$D106 &amp; ";","")</f>
        <v/>
      </c>
      <c r="AH106" s="58">
        <f>IF(AND($H106="threat",$S106=0.5,$R106=0.4),$D106 &amp; ";","")</f>
        <v/>
      </c>
      <c r="AI106" s="58">
        <f>IF(AND($H106="threat",$S106=0.5,$R106=0.8),$D106 &amp; ";","")</f>
        <v/>
      </c>
      <c r="AJ106" s="58">
        <f>IF(AND($H106="threat",$S106=0.3,$R106=0.05),$D106 &amp; ";","")</f>
        <v/>
      </c>
      <c r="AK106" s="58">
        <f>IF(AND($H106="threat",$S106=0.3,$R106=0.1),$D106 &amp; ";","")</f>
        <v/>
      </c>
      <c r="AL106" s="58">
        <f>IF(AND($H106="threat",$S106=0.3,$R106=0.2),$D106 &amp; ";","")</f>
        <v/>
      </c>
      <c r="AM106" s="58">
        <f>IF(AND($H106="threat",$S106=0.3,$R106=0.4),$D106 &amp; ";","")</f>
        <v/>
      </c>
      <c r="AN106" s="58">
        <f>IF(AND($H106="threat",$S106=0.3,$R106=0.8),$D106 &amp; ";","")</f>
        <v/>
      </c>
      <c r="AO106" s="58">
        <f>IF(AND($H106="threat",$S106=0.1,$R106=0.05),$D106 &amp; ";","")</f>
        <v/>
      </c>
      <c r="AP106" s="58">
        <f>IF(AND($H106="threat",$S106=0.1,$R106=0.1),$D106 &amp; ";","")</f>
        <v/>
      </c>
      <c r="AQ106" s="58">
        <f>IF(AND($H106="threat",$S106=0.1,$R106=0.2),$D106 &amp; ";","")</f>
        <v/>
      </c>
      <c r="AR106" s="58">
        <f>IF(AND($H106="threat",$S106=0.1,$R106=0.4),$D106 &amp; ";","")</f>
        <v/>
      </c>
      <c r="AS106" s="58">
        <f>IF(AND($H106="threat",$S106=0.1,$R106=0.8),$D106 &amp; ";","")</f>
        <v/>
      </c>
      <c r="AT106" s="39" t="n"/>
      <c r="AU106" s="58">
        <f>IF(AND($H106="opportunity",$S106=0.9,$R106=0.8),$D106 &amp; ";","")</f>
        <v/>
      </c>
      <c r="AV106" s="58">
        <f>IF(AND($H106="opportunity",$S106=0.9,$R106=0.4),$D106 &amp; ";","")</f>
        <v/>
      </c>
      <c r="AW106" s="58">
        <f>IF(AND($H106="opportunity",$S106=0.9,$R106=0.2),$D106 &amp; ";","")</f>
        <v/>
      </c>
      <c r="AX106" s="58">
        <f>IF(AND($H106="opportunity",$S106=0.9,$R106=0.1),$D106 &amp; ";","")</f>
        <v/>
      </c>
      <c r="AY106" s="58">
        <f>IF(AND($H106="opportunity",$S106=0.9,$R106=0.05),$D106 &amp; ";","")</f>
        <v/>
      </c>
      <c r="AZ106" s="58">
        <f>IF(AND($H106="opportunity",$S106=0.7,$R106=0.8),$D106 &amp; ";","")</f>
        <v/>
      </c>
      <c r="BA106" s="58">
        <f>IF(AND($H106="opportunity",$S106=0.7,$R106=0.4),$D106 &amp; ";","")</f>
        <v/>
      </c>
      <c r="BB106" s="58">
        <f>IF(AND($H106="opportunity",$S106=0.7,$R106=0.2),$D106 &amp; ";","")</f>
        <v/>
      </c>
      <c r="BC106" s="58">
        <f>IF(AND($H106="opportunity",$S106=0.7,$R106=0.1),$D106 &amp; ";","")</f>
        <v/>
      </c>
      <c r="BD106" s="58">
        <f>IF(AND($H106="opportunity",$S106=0.7,$R106=0.05),$D106 &amp; ";","")</f>
        <v/>
      </c>
      <c r="BE106" s="58">
        <f>IF(AND($H106="opportunity",$S106=0.5,$R106=0.8),$D106 &amp; ";","")</f>
        <v/>
      </c>
      <c r="BF106" s="58">
        <f>IF(AND($H106="opportunity",$S106=0.5,$R106=0.4),$D106 &amp; ";","")</f>
        <v/>
      </c>
      <c r="BG106" s="58">
        <f>IF(AND($H106="opportunity",$S106=0.5,$R106=0.2),$D106 &amp; ";","")</f>
        <v/>
      </c>
      <c r="BH106" s="58">
        <f>IF(AND($H106="opportunity",$S106=0.5,$R106=0.1),$D106 &amp; ";","")</f>
        <v/>
      </c>
      <c r="BI106" s="58">
        <f>IF(AND($H106="opportunity",$S106=0.5,$R106=0.05),$D106 &amp; ";","")</f>
        <v/>
      </c>
      <c r="BJ106" s="58">
        <f>IF(AND($H106="opportunity",$S106=0.3,$R106=0.8),$D106 &amp; ";","")</f>
        <v/>
      </c>
      <c r="BK106" s="58">
        <f>IF(AND($H106="opportunity",$S106=0.3,$R106=0.4),$D106 &amp; ";","")</f>
        <v/>
      </c>
      <c r="BL106" s="58">
        <f>IF(AND($H106="opportunity",$S106=0.3,$R106=0.2),$D106 &amp; ";","")</f>
        <v/>
      </c>
      <c r="BM106" s="58">
        <f>IF(AND($H106="opportunity",$S106=0.3,$R106=0.1),$D106 &amp; ";","")</f>
        <v/>
      </c>
      <c r="BN106" s="58">
        <f>IF(AND($H106="opportunity",$S106=0.3,$R106=0.05),$D106 &amp; ";","")</f>
        <v/>
      </c>
      <c r="BO106" s="58">
        <f>IF(AND($H106="opportunity",$S106=0.1,$R106=0.8),$D106 &amp; ";","")</f>
        <v/>
      </c>
      <c r="BP106" s="58">
        <f>IF(AND($H106="opportunity",$S106=0.1,$R106=0.4),$D106 &amp; ";","")</f>
        <v/>
      </c>
      <c r="BQ106" s="58">
        <f>IF(AND($H106="opportunity",$S106=0.1,$R106=0.2),$D106 &amp; ";","")</f>
        <v/>
      </c>
      <c r="BR106" s="58">
        <f>IF(AND($H106="opportunity",$S106=0.1,$R106=0.1),$D106 &amp; ";","")</f>
        <v/>
      </c>
      <c r="BS106" s="58">
        <f>IF(AND($H106="opportunity",$S106=0.1,$R106=0.05),$D106 &amp; ";","")</f>
        <v/>
      </c>
      <c r="BV106" s="57">
        <f>INDIRECT(ADDRESS(ROW()-22,COLUMN()-45,1,1,"Risk Register"))</f>
        <v/>
      </c>
      <c r="BW106" s="58">
        <f>INDIRECT(ADDRESS(ROW()-22,COLUMN()-44,1,1,"Risk Register"))</f>
        <v/>
      </c>
      <c r="BX106" s="59">
        <f>IF(AND($H106="threat",$P106&lt;=0.05),"gn",IF(AND($H106="threat",$P106&lt;=0.14),"y",IF(AND($H106="threat", $P106&gt;=0.15),"r",IF(AND($H106="opportunity",$P106&lt;=0.05),"gn",IF(AND($H106="opportunity",$P106&lt;=0.14),"lb",IF(AND($H106="opportunity",$P106&gt;=0.15),"db","z"))))))</f>
        <v/>
      </c>
      <c r="BY106" s="58">
        <f>IF(AND($H106="threat",$BW106=0.9,$BV106=0.05),$D106 &amp; ";","")</f>
        <v/>
      </c>
      <c r="BZ106" s="58">
        <f>IF(AND($H106="threat",$BW106=0.9,$BV106=0.1),$D106 &amp; ";","")</f>
        <v/>
      </c>
      <c r="CA106" s="58">
        <f>IF(AND($H106="threat",$BW106=0.9,$BV106=0.2),$D106 &amp; ";","")</f>
        <v/>
      </c>
      <c r="CB106" s="58">
        <f>IF(AND($H106="threat",$BW106=0.9,$BV106=0.4),$D106 &amp; ";","")</f>
        <v/>
      </c>
      <c r="CC106" s="58">
        <f>IF(AND($H106="threat",$BW106=0.9,$BV106=0.8),$D106 &amp; ";","")</f>
        <v/>
      </c>
      <c r="CD106" s="58">
        <f>IF(AND($H106="threat",$BW106=0.7,$BV106=0.05),$D106 &amp; ";","")</f>
        <v/>
      </c>
      <c r="CE106" s="58">
        <f>IF(AND($H106="threat",$BW106=0.7,$BV106=0.1),$D106 &amp; ";","")</f>
        <v/>
      </c>
      <c r="CF106" s="58">
        <f>IF(AND($H106="threat",$BW106=0.7,$BV106=0.2),$D106 &amp; ";","")</f>
        <v/>
      </c>
      <c r="CG106" s="58">
        <f>IF(AND($H106="threat",$BW106=0.7,$BV106=0.4),$D106 &amp; ";","")</f>
        <v/>
      </c>
      <c r="CH106" s="58">
        <f>IF(AND($H106="threat",$BW106=0.7,$BV106=0.8),$D106 &amp; ";","")</f>
        <v/>
      </c>
      <c r="CI106" s="58">
        <f>IF(AND($H106="threat",$BW106=0.5,$BV106=0.05),$D106 &amp; ";","")</f>
        <v/>
      </c>
      <c r="CJ106" s="58">
        <f>IF(AND($H106="threat",$BW106=0.5,$BV106=0.1),$D106 &amp; ";","")</f>
        <v/>
      </c>
      <c r="CK106" s="58">
        <f>IF(AND($H106="threat",$BW106=0.5,$BV106=0.2),$D106 &amp; ";","")</f>
        <v/>
      </c>
      <c r="CL106" s="58">
        <f>IF(AND($H106="threat",$BW106=0.5,$BV106=0.4),$D106 &amp; ";","")</f>
        <v/>
      </c>
      <c r="CM106" s="58">
        <f>IF(AND($H106="threat",$BW106=0.5,$BV106=0.8),$D106 &amp; ";","")</f>
        <v/>
      </c>
      <c r="CN106" s="58">
        <f>IF(AND($H106="threat",$BW106=0.3,$BV106=0.05),$D106 &amp; ";","")</f>
        <v/>
      </c>
      <c r="CO106" s="58">
        <f>IF(AND($H106="threat",$BW106=0.3,$BV106=0.1),$D106 &amp; ";","")</f>
        <v/>
      </c>
      <c r="CP106" s="58">
        <f>IF(AND($H106="threat",$BW106=0.3,$BV106=0.2),$D106 &amp; ";","")</f>
        <v/>
      </c>
      <c r="CQ106" s="58">
        <f>IF(AND($H106="threat",$BW106=0.3,$BV106=0.4),$D106 &amp; ";","")</f>
        <v/>
      </c>
      <c r="CR106" s="58">
        <f>IF(AND($H106="threat",$BW106=0.3,$BV106=0.8),$D106 &amp; ";","")</f>
        <v/>
      </c>
      <c r="CS106" s="58">
        <f>IF(AND($H106="threat",$BW106=0.1,$BV106=0.05),$D106 &amp; ";","")</f>
        <v/>
      </c>
      <c r="CT106" s="58">
        <f>IF(AND($H106="threat",$BW106=0.1,$BV106=0.1),$D106 &amp; ";","")</f>
        <v/>
      </c>
      <c r="CU106" s="58">
        <f>IF(AND($H106="threat",$BW106=0.1,$BV106=0.2),$D106 &amp; ";","")</f>
        <v/>
      </c>
      <c r="CV106" s="58">
        <f>IF(AND($H106="threat",$BW106=0.1,$BV106=0.4),$D106 &amp; ";","")</f>
        <v/>
      </c>
      <c r="CW106" s="58">
        <f>IF(AND($H106="threat",$BW106=0.1,$BV106=0.8),$D106 &amp; ";","")</f>
        <v/>
      </c>
      <c r="CX106" s="39" t="n"/>
      <c r="CY106" s="58">
        <f>IF(AND($H106="opportunity",$BW106=0.9,$BV106=0.8),$D106 &amp; ";","")</f>
        <v/>
      </c>
      <c r="CZ106" s="58">
        <f>IF(AND($H106="opportunity",$BW106=0.9,$BV106=0.4),$D106 &amp; ";","")</f>
        <v/>
      </c>
      <c r="DA106" s="58">
        <f>IF(AND($H106="opportunity",$BW106=0.9,$BV106=0.2),$D106 &amp; ";","")</f>
        <v/>
      </c>
      <c r="DB106" s="58">
        <f>IF(AND($H106="opportunity",$BW106=0.9,$BV106=0.1),$D106 &amp; ";","")</f>
        <v/>
      </c>
      <c r="DC106" s="58">
        <f>IF(AND($H106="opportunity",$BW106=0.9,$BV106=0.05),$D106 &amp; ";","")</f>
        <v/>
      </c>
      <c r="DD106" s="58">
        <f>IF(AND($H106="opportunity",$BW106=0.7,$BV106=0.8),$D106 &amp; ";","")</f>
        <v/>
      </c>
      <c r="DE106" s="58">
        <f>IF(AND($H106="opportunity",$BW106=0.7,$BV106=0.4),$D106 &amp; ";","")</f>
        <v/>
      </c>
      <c r="DF106" s="58">
        <f>IF(AND($H106="opportunity",$BW106=0.7,$BV106=0.2),$D106 &amp; ";","")</f>
        <v/>
      </c>
      <c r="DG106" s="58">
        <f>IF(AND($H106="opportunity",$BW106=0.7,$BV106=0.1),$D106 &amp; ";","")</f>
        <v/>
      </c>
      <c r="DH106" s="58">
        <f>IF(AND($H106="opportunity",$BW106=0.7,$BV106=0.05),$D106 &amp; ";","")</f>
        <v/>
      </c>
      <c r="DI106" s="58">
        <f>IF(AND($H106="opportunity",$BW106=0.5,$BV106=0.8),$D106 &amp; ";","")</f>
        <v/>
      </c>
      <c r="DJ106" s="58">
        <f>IF(AND($H106="opportunity",$BW106=0.5,$BV106=0.4),$D106 &amp; ";","")</f>
        <v/>
      </c>
      <c r="DK106" s="58">
        <f>IF(AND($H106="opportunity",$BW106=0.5,$BV106=0.2),$D106 &amp; ";","")</f>
        <v/>
      </c>
      <c r="DL106" s="58">
        <f>IF(AND($H106="opportunity",$BW106=0.5,$BV106=0.1),$D106 &amp; ";","")</f>
        <v/>
      </c>
      <c r="DM106" s="58">
        <f>IF(AND($H106="opportunity",$BW106=0.5,$BV106=0.05),$D106 &amp; ";","")</f>
        <v/>
      </c>
      <c r="DN106" s="58">
        <f>IF(AND($H106="opportunity",$BW106=0.3,$BV106=0.8),$D106 &amp; ";","")</f>
        <v/>
      </c>
      <c r="DO106" s="58">
        <f>IF(AND($H106="opportunity",$BW106=0.3,$BV106=0.4),$D106 &amp; ";","")</f>
        <v/>
      </c>
      <c r="DP106" s="58">
        <f>IF(AND($H106="opportunity",$BW106=0.3,$BV106=0.2),$D106 &amp; ";","")</f>
        <v/>
      </c>
      <c r="DQ106" s="58">
        <f>IF(AND($H106="opportunity",$BW106=0.3,$BV106=0.1),$D106 &amp; ";","")</f>
        <v/>
      </c>
      <c r="DR106" s="58">
        <f>IF(AND($H106="opportunity",$BW106=0.3,$BV106=0.05),$D106 &amp; ";","")</f>
        <v/>
      </c>
      <c r="DS106" s="58">
        <f>IF(AND($H106="opportunity",$BW106=0.1,$BV106=0.8),$D106 &amp; ";","")</f>
        <v/>
      </c>
      <c r="DT106" s="58">
        <f>IF(AND($H106="opportunity",$BW106=0.1,$BV106=0.4),$D106 &amp; ";","")</f>
        <v/>
      </c>
      <c r="DU106" s="58">
        <f>IF(AND($H106="opportunity",$BW106=0.1,$BV106=0.2),$D106 &amp; ";","")</f>
        <v/>
      </c>
      <c r="DV106" s="58">
        <f>IF(AND($H106="opportunity",$BW106=0.1,$BV106=0.1),$D106 &amp; ";","")</f>
        <v/>
      </c>
      <c r="DW106" s="58">
        <f>IF(AND($H106="opportunity",$BW106=0.1,$BV106=0.05),$D106 &amp; ";","")</f>
        <v/>
      </c>
    </row>
    <row r="107">
      <c r="D107" s="60">
        <f>INDIRECT(ADDRESS(ROW()-22,COLUMN()-2,1,1,"Risk Register"))</f>
        <v/>
      </c>
      <c r="E107" s="143">
        <f>INDIRECT(ADDRESS(ROW()-22,COLUMN()-1,1,1,"Risk Register"))</f>
        <v/>
      </c>
      <c r="G107" s="56">
        <f>INDIRECT(ADDRESS(ROW()-22,COLUMN()+10,1,1,"Risk Register"))</f>
        <v/>
      </c>
      <c r="H107" s="60">
        <f>INDIRECT(ADDRESS(ROW()-22,COLUMN()+8,1,1,"Risk Register"))</f>
        <v/>
      </c>
      <c r="I107" s="54">
        <f>INDIRECT(ADDRESS(ROW()-22,COLUMN()+3,1,1,"Risk Register"))</f>
        <v/>
      </c>
      <c r="J107" s="143">
        <f>INDIRECT(ADDRESS(ROW()-22,COLUMN()+12,1,1,"Risk Register"))</f>
        <v/>
      </c>
      <c r="K107" s="143">
        <f>INDIRECT(ADDRESS(ROW()-22,COLUMN()-2,1,1,"Risk Register"))</f>
        <v/>
      </c>
      <c r="L107" s="176">
        <f>INDIRECT(ADDRESS(ROW()-22,COLUMN()+15,1,1,"Risk Register"))</f>
        <v/>
      </c>
      <c r="M107" s="54">
        <f>INDIRECT(ADDRESS(ROW()-22,COLUMN()+13,1,1,"Risk Register"))</f>
        <v/>
      </c>
      <c r="N107" s="143">
        <f>INDIRECT(ADDRESS(ROW()-22,COLUMN()-9,1,1,"Risk Register"))</f>
        <v/>
      </c>
      <c r="O107" s="143">
        <f>INDIRECT(ADDRESS(ROW()-22,COLUMN()-8,1,1,"Risk Register"))</f>
        <v/>
      </c>
      <c r="P107" s="56">
        <f>INDIRECT(ADDRESS(ROW()-22,COLUMN()+18,1,1,"Risk Register"))</f>
        <v/>
      </c>
      <c r="R107" s="57">
        <f>INDIRECT(ADDRESS(ROW()-22,COLUMN()-5,1,1,"Risk Register"))</f>
        <v/>
      </c>
      <c r="S107" s="58">
        <f>INDIRECT(ADDRESS(ROW()-22,COLUMN()-4,1,1,"Risk Register"))</f>
        <v/>
      </c>
      <c r="T107" s="59">
        <f>IF(AND($H107="threat",$G107&lt;=0.05),"gn",IF(AND($H107="threat",$G107&lt;=0.14),"y",IF(AND($H107="threat", $G107&gt;=0.15),"r",IF(AND($H107="opportunity",$G107&lt;=0.05),"gn",IF(AND($H107="opportunity",$G107&lt;=0.14),"lb",IF(AND($H107="opportunity",$G107&gt;=0.15),"db","z"))))))</f>
        <v/>
      </c>
      <c r="U107" s="58">
        <f>IF(AND($H107="threat",$S107=0.9,$R107=0.05),$D107 &amp; ";","")</f>
        <v/>
      </c>
      <c r="V107" s="58">
        <f>IF(AND($H107="threat",$S107=0.9,$R107=0.1),$D107 &amp; ";","")</f>
        <v/>
      </c>
      <c r="W107" s="58">
        <f>IF(AND($H107="threat",$S107=0.9,$R107=0.2),$D107 &amp; ";","")</f>
        <v/>
      </c>
      <c r="X107" s="58">
        <f>IF(AND($H107="threat",$S107=0.9,$R107=0.4),$D107 &amp; ";","")</f>
        <v/>
      </c>
      <c r="Y107" s="58">
        <f>IF(AND($H107="threat",$S107=0.9,$R107=0.8),$D107 &amp; ";","")</f>
        <v/>
      </c>
      <c r="Z107" s="58">
        <f>IF(AND($H107="threat",$S107=0.7,$R107=0.05),$D107 &amp; ";","")</f>
        <v/>
      </c>
      <c r="AA107" s="58">
        <f>IF(AND($H107="threat",$S107=0.7,$R107=0.1),$D107 &amp; ";","")</f>
        <v/>
      </c>
      <c r="AB107" s="58">
        <f>IF(AND($H107="threat",$S107=0.7,$R107=0.2),$D107 &amp; ";","")</f>
        <v/>
      </c>
      <c r="AC107" s="58">
        <f>IF(AND($H107="threat",$S107=0.7,$R107=0.4),$D107 &amp; ";","")</f>
        <v/>
      </c>
      <c r="AD107" s="58">
        <f>IF(AND($H107="threat",$S107=0.7,$R107=0.8),$D107 &amp; ";","")</f>
        <v/>
      </c>
      <c r="AE107" s="58">
        <f>IF(AND($H107="threat",$S107=0.5,$R107=0.05),$D107 &amp; ";","")</f>
        <v/>
      </c>
      <c r="AF107" s="58">
        <f>IF(AND($H107="threat",$S107=0.5,$R107=0.1),$D107 &amp; ";","")</f>
        <v/>
      </c>
      <c r="AG107" s="58">
        <f>IF(AND($H107="threat",$S107=0.5,$R107=0.2),$D107 &amp; ";","")</f>
        <v/>
      </c>
      <c r="AH107" s="58">
        <f>IF(AND($H107="threat",$S107=0.5,$R107=0.4),$D107 &amp; ";","")</f>
        <v/>
      </c>
      <c r="AI107" s="58">
        <f>IF(AND($H107="threat",$S107=0.5,$R107=0.8),$D107 &amp; ";","")</f>
        <v/>
      </c>
      <c r="AJ107" s="58">
        <f>IF(AND($H107="threat",$S107=0.3,$R107=0.05),$D107 &amp; ";","")</f>
        <v/>
      </c>
      <c r="AK107" s="58">
        <f>IF(AND($H107="threat",$S107=0.3,$R107=0.1),$D107 &amp; ";","")</f>
        <v/>
      </c>
      <c r="AL107" s="58">
        <f>IF(AND($H107="threat",$S107=0.3,$R107=0.2),$D107 &amp; ";","")</f>
        <v/>
      </c>
      <c r="AM107" s="58">
        <f>IF(AND($H107="threat",$S107=0.3,$R107=0.4),$D107 &amp; ";","")</f>
        <v/>
      </c>
      <c r="AN107" s="58">
        <f>IF(AND($H107="threat",$S107=0.3,$R107=0.8),$D107 &amp; ";","")</f>
        <v/>
      </c>
      <c r="AO107" s="58">
        <f>IF(AND($H107="threat",$S107=0.1,$R107=0.05),$D107 &amp; ";","")</f>
        <v/>
      </c>
      <c r="AP107" s="58">
        <f>IF(AND($H107="threat",$S107=0.1,$R107=0.1),$D107 &amp; ";","")</f>
        <v/>
      </c>
      <c r="AQ107" s="58">
        <f>IF(AND($H107="threat",$S107=0.1,$R107=0.2),$D107 &amp; ";","")</f>
        <v/>
      </c>
      <c r="AR107" s="58">
        <f>IF(AND($H107="threat",$S107=0.1,$R107=0.4),$D107 &amp; ";","")</f>
        <v/>
      </c>
      <c r="AS107" s="58">
        <f>IF(AND($H107="threat",$S107=0.1,$R107=0.8),$D107 &amp; ";","")</f>
        <v/>
      </c>
      <c r="AT107" s="39" t="n"/>
      <c r="AU107" s="58">
        <f>IF(AND($H107="opportunity",$S107=0.9,$R107=0.8),$D107 &amp; ";","")</f>
        <v/>
      </c>
      <c r="AV107" s="58">
        <f>IF(AND($H107="opportunity",$S107=0.9,$R107=0.4),$D107 &amp; ";","")</f>
        <v/>
      </c>
      <c r="AW107" s="58">
        <f>IF(AND($H107="opportunity",$S107=0.9,$R107=0.2),$D107 &amp; ";","")</f>
        <v/>
      </c>
      <c r="AX107" s="58">
        <f>IF(AND($H107="opportunity",$S107=0.9,$R107=0.1),$D107 &amp; ";","")</f>
        <v/>
      </c>
      <c r="AY107" s="58">
        <f>IF(AND($H107="opportunity",$S107=0.9,$R107=0.05),$D107 &amp; ";","")</f>
        <v/>
      </c>
      <c r="AZ107" s="58">
        <f>IF(AND($H107="opportunity",$S107=0.7,$R107=0.8),$D107 &amp; ";","")</f>
        <v/>
      </c>
      <c r="BA107" s="58">
        <f>IF(AND($H107="opportunity",$S107=0.7,$R107=0.4),$D107 &amp; ";","")</f>
        <v/>
      </c>
      <c r="BB107" s="58">
        <f>IF(AND($H107="opportunity",$S107=0.7,$R107=0.2),$D107 &amp; ";","")</f>
        <v/>
      </c>
      <c r="BC107" s="58">
        <f>IF(AND($H107="opportunity",$S107=0.7,$R107=0.1),$D107 &amp; ";","")</f>
        <v/>
      </c>
      <c r="BD107" s="58">
        <f>IF(AND($H107="opportunity",$S107=0.7,$R107=0.05),$D107 &amp; ";","")</f>
        <v/>
      </c>
      <c r="BE107" s="58">
        <f>IF(AND($H107="opportunity",$S107=0.5,$R107=0.8),$D107 &amp; ";","")</f>
        <v/>
      </c>
      <c r="BF107" s="58">
        <f>IF(AND($H107="opportunity",$S107=0.5,$R107=0.4),$D107 &amp; ";","")</f>
        <v/>
      </c>
      <c r="BG107" s="58">
        <f>IF(AND($H107="opportunity",$S107=0.5,$R107=0.2),$D107 &amp; ";","")</f>
        <v/>
      </c>
      <c r="BH107" s="58">
        <f>IF(AND($H107="opportunity",$S107=0.5,$R107=0.1),$D107 &amp; ";","")</f>
        <v/>
      </c>
      <c r="BI107" s="58">
        <f>IF(AND($H107="opportunity",$S107=0.5,$R107=0.05),$D107 &amp; ";","")</f>
        <v/>
      </c>
      <c r="BJ107" s="58">
        <f>IF(AND($H107="opportunity",$S107=0.3,$R107=0.8),$D107 &amp; ";","")</f>
        <v/>
      </c>
      <c r="BK107" s="58">
        <f>IF(AND($H107="opportunity",$S107=0.3,$R107=0.4),$D107 &amp; ";","")</f>
        <v/>
      </c>
      <c r="BL107" s="58">
        <f>IF(AND($H107="opportunity",$S107=0.3,$R107=0.2),$D107 &amp; ";","")</f>
        <v/>
      </c>
      <c r="BM107" s="58">
        <f>IF(AND($H107="opportunity",$S107=0.3,$R107=0.1),$D107 &amp; ";","")</f>
        <v/>
      </c>
      <c r="BN107" s="58">
        <f>IF(AND($H107="opportunity",$S107=0.3,$R107=0.05),$D107 &amp; ";","")</f>
        <v/>
      </c>
      <c r="BO107" s="58">
        <f>IF(AND($H107="opportunity",$S107=0.1,$R107=0.8),$D107 &amp; ";","")</f>
        <v/>
      </c>
      <c r="BP107" s="58">
        <f>IF(AND($H107="opportunity",$S107=0.1,$R107=0.4),$D107 &amp; ";","")</f>
        <v/>
      </c>
      <c r="BQ107" s="58">
        <f>IF(AND($H107="opportunity",$S107=0.1,$R107=0.2),$D107 &amp; ";","")</f>
        <v/>
      </c>
      <c r="BR107" s="58">
        <f>IF(AND($H107="opportunity",$S107=0.1,$R107=0.1),$D107 &amp; ";","")</f>
        <v/>
      </c>
      <c r="BS107" s="58">
        <f>IF(AND($H107="opportunity",$S107=0.1,$R107=0.05),$D107 &amp; ";","")</f>
        <v/>
      </c>
      <c r="BV107" s="57">
        <f>INDIRECT(ADDRESS(ROW()-22,COLUMN()-45,1,1,"Risk Register"))</f>
        <v/>
      </c>
      <c r="BW107" s="58">
        <f>INDIRECT(ADDRESS(ROW()-22,COLUMN()-44,1,1,"Risk Register"))</f>
        <v/>
      </c>
      <c r="BX107" s="59">
        <f>IF(AND($H107="threat",$P107&lt;=0.05),"gn",IF(AND($H107="threat",$P107&lt;=0.14),"y",IF(AND($H107="threat", $P107&gt;=0.15),"r",IF(AND($H107="opportunity",$P107&lt;=0.05),"gn",IF(AND($H107="opportunity",$P107&lt;=0.14),"lb",IF(AND($H107="opportunity",$P107&gt;=0.15),"db","z"))))))</f>
        <v/>
      </c>
      <c r="BY107" s="58">
        <f>IF(AND($H107="threat",$BW107=0.9,$BV107=0.05),$D107 &amp; ";","")</f>
        <v/>
      </c>
      <c r="BZ107" s="58">
        <f>IF(AND($H107="threat",$BW107=0.9,$BV107=0.1),$D107 &amp; ";","")</f>
        <v/>
      </c>
      <c r="CA107" s="58">
        <f>IF(AND($H107="threat",$BW107=0.9,$BV107=0.2),$D107 &amp; ";","")</f>
        <v/>
      </c>
      <c r="CB107" s="58">
        <f>IF(AND($H107="threat",$BW107=0.9,$BV107=0.4),$D107 &amp; ";","")</f>
        <v/>
      </c>
      <c r="CC107" s="58">
        <f>IF(AND($H107="threat",$BW107=0.9,$BV107=0.8),$D107 &amp; ";","")</f>
        <v/>
      </c>
      <c r="CD107" s="58">
        <f>IF(AND($H107="threat",$BW107=0.7,$BV107=0.05),$D107 &amp; ";","")</f>
        <v/>
      </c>
      <c r="CE107" s="58">
        <f>IF(AND($H107="threat",$BW107=0.7,$BV107=0.1),$D107 &amp; ";","")</f>
        <v/>
      </c>
      <c r="CF107" s="58">
        <f>IF(AND($H107="threat",$BW107=0.7,$BV107=0.2),$D107 &amp; ";","")</f>
        <v/>
      </c>
      <c r="CG107" s="58">
        <f>IF(AND($H107="threat",$BW107=0.7,$BV107=0.4),$D107 &amp; ";","")</f>
        <v/>
      </c>
      <c r="CH107" s="58">
        <f>IF(AND($H107="threat",$BW107=0.7,$BV107=0.8),$D107 &amp; ";","")</f>
        <v/>
      </c>
      <c r="CI107" s="58">
        <f>IF(AND($H107="threat",$BW107=0.5,$BV107=0.05),$D107 &amp; ";","")</f>
        <v/>
      </c>
      <c r="CJ107" s="58">
        <f>IF(AND($H107="threat",$BW107=0.5,$BV107=0.1),$D107 &amp; ";","")</f>
        <v/>
      </c>
      <c r="CK107" s="58">
        <f>IF(AND($H107="threat",$BW107=0.5,$BV107=0.2),$D107 &amp; ";","")</f>
        <v/>
      </c>
      <c r="CL107" s="58">
        <f>IF(AND($H107="threat",$BW107=0.5,$BV107=0.4),$D107 &amp; ";","")</f>
        <v/>
      </c>
      <c r="CM107" s="58">
        <f>IF(AND($H107="threat",$BW107=0.5,$BV107=0.8),$D107 &amp; ";","")</f>
        <v/>
      </c>
      <c r="CN107" s="58">
        <f>IF(AND($H107="threat",$BW107=0.3,$BV107=0.05),$D107 &amp; ";","")</f>
        <v/>
      </c>
      <c r="CO107" s="58">
        <f>IF(AND($H107="threat",$BW107=0.3,$BV107=0.1),$D107 &amp; ";","")</f>
        <v/>
      </c>
      <c r="CP107" s="58">
        <f>IF(AND($H107="threat",$BW107=0.3,$BV107=0.2),$D107 &amp; ";","")</f>
        <v/>
      </c>
      <c r="CQ107" s="58">
        <f>IF(AND($H107="threat",$BW107=0.3,$BV107=0.4),$D107 &amp; ";","")</f>
        <v/>
      </c>
      <c r="CR107" s="58">
        <f>IF(AND($H107="threat",$BW107=0.3,$BV107=0.8),$D107 &amp; ";","")</f>
        <v/>
      </c>
      <c r="CS107" s="58">
        <f>IF(AND($H107="threat",$BW107=0.1,$BV107=0.05),$D107 &amp; ";","")</f>
        <v/>
      </c>
      <c r="CT107" s="58">
        <f>IF(AND($H107="threat",$BW107=0.1,$BV107=0.1),$D107 &amp; ";","")</f>
        <v/>
      </c>
      <c r="CU107" s="58">
        <f>IF(AND($H107="threat",$BW107=0.1,$BV107=0.2),$D107 &amp; ";","")</f>
        <v/>
      </c>
      <c r="CV107" s="58">
        <f>IF(AND($H107="threat",$BW107=0.1,$BV107=0.4),$D107 &amp; ";","")</f>
        <v/>
      </c>
      <c r="CW107" s="58">
        <f>IF(AND($H107="threat",$BW107=0.1,$BV107=0.8),$D107 &amp; ";","")</f>
        <v/>
      </c>
      <c r="CX107" s="39" t="n"/>
      <c r="CY107" s="58">
        <f>IF(AND($H107="opportunity",$BW107=0.9,$BV107=0.8),$D107 &amp; ";","")</f>
        <v/>
      </c>
      <c r="CZ107" s="58">
        <f>IF(AND($H107="opportunity",$BW107=0.9,$BV107=0.4),$D107 &amp; ";","")</f>
        <v/>
      </c>
      <c r="DA107" s="58">
        <f>IF(AND($H107="opportunity",$BW107=0.9,$BV107=0.2),$D107 &amp; ";","")</f>
        <v/>
      </c>
      <c r="DB107" s="58">
        <f>IF(AND($H107="opportunity",$BW107=0.9,$BV107=0.1),$D107 &amp; ";","")</f>
        <v/>
      </c>
      <c r="DC107" s="58">
        <f>IF(AND($H107="opportunity",$BW107=0.9,$BV107=0.05),$D107 &amp; ";","")</f>
        <v/>
      </c>
      <c r="DD107" s="58">
        <f>IF(AND($H107="opportunity",$BW107=0.7,$BV107=0.8),$D107 &amp; ";","")</f>
        <v/>
      </c>
      <c r="DE107" s="58">
        <f>IF(AND($H107="opportunity",$BW107=0.7,$BV107=0.4),$D107 &amp; ";","")</f>
        <v/>
      </c>
      <c r="DF107" s="58">
        <f>IF(AND($H107="opportunity",$BW107=0.7,$BV107=0.2),$D107 &amp; ";","")</f>
        <v/>
      </c>
      <c r="DG107" s="58">
        <f>IF(AND($H107="opportunity",$BW107=0.7,$BV107=0.1),$D107 &amp; ";","")</f>
        <v/>
      </c>
      <c r="DH107" s="58">
        <f>IF(AND($H107="opportunity",$BW107=0.7,$BV107=0.05),$D107 &amp; ";","")</f>
        <v/>
      </c>
      <c r="DI107" s="58">
        <f>IF(AND($H107="opportunity",$BW107=0.5,$BV107=0.8),$D107 &amp; ";","")</f>
        <v/>
      </c>
      <c r="DJ107" s="58">
        <f>IF(AND($H107="opportunity",$BW107=0.5,$BV107=0.4),$D107 &amp; ";","")</f>
        <v/>
      </c>
      <c r="DK107" s="58">
        <f>IF(AND($H107="opportunity",$BW107=0.5,$BV107=0.2),$D107 &amp; ";","")</f>
        <v/>
      </c>
      <c r="DL107" s="58">
        <f>IF(AND($H107="opportunity",$BW107=0.5,$BV107=0.1),$D107 &amp; ";","")</f>
        <v/>
      </c>
      <c r="DM107" s="58">
        <f>IF(AND($H107="opportunity",$BW107=0.5,$BV107=0.05),$D107 &amp; ";","")</f>
        <v/>
      </c>
      <c r="DN107" s="58">
        <f>IF(AND($H107="opportunity",$BW107=0.3,$BV107=0.8),$D107 &amp; ";","")</f>
        <v/>
      </c>
      <c r="DO107" s="58">
        <f>IF(AND($H107="opportunity",$BW107=0.3,$BV107=0.4),$D107 &amp; ";","")</f>
        <v/>
      </c>
      <c r="DP107" s="58">
        <f>IF(AND($H107="opportunity",$BW107=0.3,$BV107=0.2),$D107 &amp; ";","")</f>
        <v/>
      </c>
      <c r="DQ107" s="58">
        <f>IF(AND($H107="opportunity",$BW107=0.3,$BV107=0.1),$D107 &amp; ";","")</f>
        <v/>
      </c>
      <c r="DR107" s="58">
        <f>IF(AND($H107="opportunity",$BW107=0.3,$BV107=0.05),$D107 &amp; ";","")</f>
        <v/>
      </c>
      <c r="DS107" s="58">
        <f>IF(AND($H107="opportunity",$BW107=0.1,$BV107=0.8),$D107 &amp; ";","")</f>
        <v/>
      </c>
      <c r="DT107" s="58">
        <f>IF(AND($H107="opportunity",$BW107=0.1,$BV107=0.4),$D107 &amp; ";","")</f>
        <v/>
      </c>
      <c r="DU107" s="58">
        <f>IF(AND($H107="opportunity",$BW107=0.1,$BV107=0.2),$D107 &amp; ";","")</f>
        <v/>
      </c>
      <c r="DV107" s="58">
        <f>IF(AND($H107="opportunity",$BW107=0.1,$BV107=0.1),$D107 &amp; ";","")</f>
        <v/>
      </c>
      <c r="DW107" s="58">
        <f>IF(AND($H107="opportunity",$BW107=0.1,$BV107=0.05),$D107 &amp; ";","")</f>
        <v/>
      </c>
    </row>
    <row r="108">
      <c r="D108" s="60">
        <f>INDIRECT(ADDRESS(ROW()-22,COLUMN()-2,1,1,"Risk Register"))</f>
        <v/>
      </c>
      <c r="E108" s="143">
        <f>INDIRECT(ADDRESS(ROW()-22,COLUMN()-1,1,1,"Risk Register"))</f>
        <v/>
      </c>
      <c r="G108" s="56">
        <f>INDIRECT(ADDRESS(ROW()-22,COLUMN()+10,1,1,"Risk Register"))</f>
        <v/>
      </c>
      <c r="H108" s="60">
        <f>INDIRECT(ADDRESS(ROW()-22,COLUMN()+8,1,1,"Risk Register"))</f>
        <v/>
      </c>
      <c r="I108" s="54">
        <f>INDIRECT(ADDRESS(ROW()-22,COLUMN()+3,1,1,"Risk Register"))</f>
        <v/>
      </c>
      <c r="J108" s="143">
        <f>INDIRECT(ADDRESS(ROW()-22,COLUMN()+12,1,1,"Risk Register"))</f>
        <v/>
      </c>
      <c r="K108" s="143">
        <f>INDIRECT(ADDRESS(ROW()-22,COLUMN()-2,1,1,"Risk Register"))</f>
        <v/>
      </c>
      <c r="L108" s="176">
        <f>INDIRECT(ADDRESS(ROW()-22,COLUMN()+15,1,1,"Risk Register"))</f>
        <v/>
      </c>
      <c r="M108" s="54">
        <f>INDIRECT(ADDRESS(ROW()-22,COLUMN()+13,1,1,"Risk Register"))</f>
        <v/>
      </c>
      <c r="N108" s="143">
        <f>INDIRECT(ADDRESS(ROW()-22,COLUMN()-9,1,1,"Risk Register"))</f>
        <v/>
      </c>
      <c r="O108" s="143">
        <f>INDIRECT(ADDRESS(ROW()-22,COLUMN()-8,1,1,"Risk Register"))</f>
        <v/>
      </c>
      <c r="P108" s="56">
        <f>INDIRECT(ADDRESS(ROW()-22,COLUMN()+18,1,1,"Risk Register"))</f>
        <v/>
      </c>
      <c r="R108" s="57">
        <f>INDIRECT(ADDRESS(ROW()-22,COLUMN()-5,1,1,"Risk Register"))</f>
        <v/>
      </c>
      <c r="S108" s="58">
        <f>INDIRECT(ADDRESS(ROW()-22,COLUMN()-4,1,1,"Risk Register"))</f>
        <v/>
      </c>
      <c r="T108" s="59">
        <f>IF(AND($H108="threat",$G108&lt;=0.05),"gn",IF(AND($H108="threat",$G108&lt;=0.14),"y",IF(AND($H108="threat", $G108&gt;=0.15),"r",IF(AND($H108="opportunity",$G108&lt;=0.05),"gn",IF(AND($H108="opportunity",$G108&lt;=0.14),"lb",IF(AND($H108="opportunity",$G108&gt;=0.15),"db","z"))))))</f>
        <v/>
      </c>
      <c r="U108" s="58">
        <f>IF(AND($H108="threat",$S108=0.9,$R108=0.05),$D108 &amp; ";","")</f>
        <v/>
      </c>
      <c r="V108" s="58">
        <f>IF(AND($H108="threat",$S108=0.9,$R108=0.1),$D108 &amp; ";","")</f>
        <v/>
      </c>
      <c r="W108" s="58">
        <f>IF(AND($H108="threat",$S108=0.9,$R108=0.2),$D108 &amp; ";","")</f>
        <v/>
      </c>
      <c r="X108" s="58">
        <f>IF(AND($H108="threat",$S108=0.9,$R108=0.4),$D108 &amp; ";","")</f>
        <v/>
      </c>
      <c r="Y108" s="58">
        <f>IF(AND($H108="threat",$S108=0.9,$R108=0.8),$D108 &amp; ";","")</f>
        <v/>
      </c>
      <c r="Z108" s="58">
        <f>IF(AND($H108="threat",$S108=0.7,$R108=0.05),$D108 &amp; ";","")</f>
        <v/>
      </c>
      <c r="AA108" s="58">
        <f>IF(AND($H108="threat",$S108=0.7,$R108=0.1),$D108 &amp; ";","")</f>
        <v/>
      </c>
      <c r="AB108" s="58">
        <f>IF(AND($H108="threat",$S108=0.7,$R108=0.2),$D108 &amp; ";","")</f>
        <v/>
      </c>
      <c r="AC108" s="58">
        <f>IF(AND($H108="threat",$S108=0.7,$R108=0.4),$D108 &amp; ";","")</f>
        <v/>
      </c>
      <c r="AD108" s="58">
        <f>IF(AND($H108="threat",$S108=0.7,$R108=0.8),$D108 &amp; ";","")</f>
        <v/>
      </c>
      <c r="AE108" s="58">
        <f>IF(AND($H108="threat",$S108=0.5,$R108=0.05),$D108 &amp; ";","")</f>
        <v/>
      </c>
      <c r="AF108" s="58">
        <f>IF(AND($H108="threat",$S108=0.5,$R108=0.1),$D108 &amp; ";","")</f>
        <v/>
      </c>
      <c r="AG108" s="58">
        <f>IF(AND($H108="threat",$S108=0.5,$R108=0.2),$D108 &amp; ";","")</f>
        <v/>
      </c>
      <c r="AH108" s="58">
        <f>IF(AND($H108="threat",$S108=0.5,$R108=0.4),$D108 &amp; ";","")</f>
        <v/>
      </c>
      <c r="AI108" s="58">
        <f>IF(AND($H108="threat",$S108=0.5,$R108=0.8),$D108 &amp; ";","")</f>
        <v/>
      </c>
      <c r="AJ108" s="58">
        <f>IF(AND($H108="threat",$S108=0.3,$R108=0.05),$D108 &amp; ";","")</f>
        <v/>
      </c>
      <c r="AK108" s="58">
        <f>IF(AND($H108="threat",$S108=0.3,$R108=0.1),$D108 &amp; ";","")</f>
        <v/>
      </c>
      <c r="AL108" s="58">
        <f>IF(AND($H108="threat",$S108=0.3,$R108=0.2),$D108 &amp; ";","")</f>
        <v/>
      </c>
      <c r="AM108" s="58">
        <f>IF(AND($H108="threat",$S108=0.3,$R108=0.4),$D108 &amp; ";","")</f>
        <v/>
      </c>
      <c r="AN108" s="58">
        <f>IF(AND($H108="threat",$S108=0.3,$R108=0.8),$D108 &amp; ";","")</f>
        <v/>
      </c>
      <c r="AO108" s="58">
        <f>IF(AND($H108="threat",$S108=0.1,$R108=0.05),$D108 &amp; ";","")</f>
        <v/>
      </c>
      <c r="AP108" s="58">
        <f>IF(AND($H108="threat",$S108=0.1,$R108=0.1),$D108 &amp; ";","")</f>
        <v/>
      </c>
      <c r="AQ108" s="58">
        <f>IF(AND($H108="threat",$S108=0.1,$R108=0.2),$D108 &amp; ";","")</f>
        <v/>
      </c>
      <c r="AR108" s="58">
        <f>IF(AND($H108="threat",$S108=0.1,$R108=0.4),$D108 &amp; ";","")</f>
        <v/>
      </c>
      <c r="AS108" s="58">
        <f>IF(AND($H108="threat",$S108=0.1,$R108=0.8),$D108 &amp; ";","")</f>
        <v/>
      </c>
      <c r="AT108" s="39" t="n"/>
      <c r="AU108" s="58">
        <f>IF(AND($H108="opportunity",$S108=0.9,$R108=0.8),$D108 &amp; ";","")</f>
        <v/>
      </c>
      <c r="AV108" s="58">
        <f>IF(AND($H108="opportunity",$S108=0.9,$R108=0.4),$D108 &amp; ";","")</f>
        <v/>
      </c>
      <c r="AW108" s="58">
        <f>IF(AND($H108="opportunity",$S108=0.9,$R108=0.2),$D108 &amp; ";","")</f>
        <v/>
      </c>
      <c r="AX108" s="58">
        <f>IF(AND($H108="opportunity",$S108=0.9,$R108=0.1),$D108 &amp; ";","")</f>
        <v/>
      </c>
      <c r="AY108" s="58">
        <f>IF(AND($H108="opportunity",$S108=0.9,$R108=0.05),$D108 &amp; ";","")</f>
        <v/>
      </c>
      <c r="AZ108" s="58">
        <f>IF(AND($H108="opportunity",$S108=0.7,$R108=0.8),$D108 &amp; ";","")</f>
        <v/>
      </c>
      <c r="BA108" s="58">
        <f>IF(AND($H108="opportunity",$S108=0.7,$R108=0.4),$D108 &amp; ";","")</f>
        <v/>
      </c>
      <c r="BB108" s="58">
        <f>IF(AND($H108="opportunity",$S108=0.7,$R108=0.2),$D108 &amp; ";","")</f>
        <v/>
      </c>
      <c r="BC108" s="58">
        <f>IF(AND($H108="opportunity",$S108=0.7,$R108=0.1),$D108 &amp; ";","")</f>
        <v/>
      </c>
      <c r="BD108" s="58">
        <f>IF(AND($H108="opportunity",$S108=0.7,$R108=0.05),$D108 &amp; ";","")</f>
        <v/>
      </c>
      <c r="BE108" s="58">
        <f>IF(AND($H108="opportunity",$S108=0.5,$R108=0.8),$D108 &amp; ";","")</f>
        <v/>
      </c>
      <c r="BF108" s="58">
        <f>IF(AND($H108="opportunity",$S108=0.5,$R108=0.4),$D108 &amp; ";","")</f>
        <v/>
      </c>
      <c r="BG108" s="58">
        <f>IF(AND($H108="opportunity",$S108=0.5,$R108=0.2),$D108 &amp; ";","")</f>
        <v/>
      </c>
      <c r="BH108" s="58">
        <f>IF(AND($H108="opportunity",$S108=0.5,$R108=0.1),$D108 &amp; ";","")</f>
        <v/>
      </c>
      <c r="BI108" s="58">
        <f>IF(AND($H108="opportunity",$S108=0.5,$R108=0.05),$D108 &amp; ";","")</f>
        <v/>
      </c>
      <c r="BJ108" s="58">
        <f>IF(AND($H108="opportunity",$S108=0.3,$R108=0.8),$D108 &amp; ";","")</f>
        <v/>
      </c>
      <c r="BK108" s="58">
        <f>IF(AND($H108="opportunity",$S108=0.3,$R108=0.4),$D108 &amp; ";","")</f>
        <v/>
      </c>
      <c r="BL108" s="58">
        <f>IF(AND($H108="opportunity",$S108=0.3,$R108=0.2),$D108 &amp; ";","")</f>
        <v/>
      </c>
      <c r="BM108" s="58">
        <f>IF(AND($H108="opportunity",$S108=0.3,$R108=0.1),$D108 &amp; ";","")</f>
        <v/>
      </c>
      <c r="BN108" s="58">
        <f>IF(AND($H108="opportunity",$S108=0.3,$R108=0.05),$D108 &amp; ";","")</f>
        <v/>
      </c>
      <c r="BO108" s="58">
        <f>IF(AND($H108="opportunity",$S108=0.1,$R108=0.8),$D108 &amp; ";","")</f>
        <v/>
      </c>
      <c r="BP108" s="58">
        <f>IF(AND($H108="opportunity",$S108=0.1,$R108=0.4),$D108 &amp; ";","")</f>
        <v/>
      </c>
      <c r="BQ108" s="58">
        <f>IF(AND($H108="opportunity",$S108=0.1,$R108=0.2),$D108 &amp; ";","")</f>
        <v/>
      </c>
      <c r="BR108" s="58">
        <f>IF(AND($H108="opportunity",$S108=0.1,$R108=0.1),$D108 &amp; ";","")</f>
        <v/>
      </c>
      <c r="BS108" s="58">
        <f>IF(AND($H108="opportunity",$S108=0.1,$R108=0.05),$D108 &amp; ";","")</f>
        <v/>
      </c>
      <c r="BV108" s="57">
        <f>INDIRECT(ADDRESS(ROW()-22,COLUMN()-45,1,1,"Risk Register"))</f>
        <v/>
      </c>
      <c r="BW108" s="58">
        <f>INDIRECT(ADDRESS(ROW()-22,COLUMN()-44,1,1,"Risk Register"))</f>
        <v/>
      </c>
      <c r="BX108" s="59">
        <f>IF(AND($H108="threat",$P108&lt;=0.05),"gn",IF(AND($H108="threat",$P108&lt;=0.14),"y",IF(AND($H108="threat", $P108&gt;=0.15),"r",IF(AND($H108="opportunity",$P108&lt;=0.05),"gn",IF(AND($H108="opportunity",$P108&lt;=0.14),"lb",IF(AND($H108="opportunity",$P108&gt;=0.15),"db","z"))))))</f>
        <v/>
      </c>
      <c r="BY108" s="58">
        <f>IF(AND($H108="threat",$BW108=0.9,$BV108=0.05),$D108 &amp; ";","")</f>
        <v/>
      </c>
      <c r="BZ108" s="58">
        <f>IF(AND($H108="threat",$BW108=0.9,$BV108=0.1),$D108 &amp; ";","")</f>
        <v/>
      </c>
      <c r="CA108" s="58">
        <f>IF(AND($H108="threat",$BW108=0.9,$BV108=0.2),$D108 &amp; ";","")</f>
        <v/>
      </c>
      <c r="CB108" s="58">
        <f>IF(AND($H108="threat",$BW108=0.9,$BV108=0.4),$D108 &amp; ";","")</f>
        <v/>
      </c>
      <c r="CC108" s="58">
        <f>IF(AND($H108="threat",$BW108=0.9,$BV108=0.8),$D108 &amp; ";","")</f>
        <v/>
      </c>
      <c r="CD108" s="58">
        <f>IF(AND($H108="threat",$BW108=0.7,$BV108=0.05),$D108 &amp; ";","")</f>
        <v/>
      </c>
      <c r="CE108" s="58">
        <f>IF(AND($H108="threat",$BW108=0.7,$BV108=0.1),$D108 &amp; ";","")</f>
        <v/>
      </c>
      <c r="CF108" s="58">
        <f>IF(AND($H108="threat",$BW108=0.7,$BV108=0.2),$D108 &amp; ";","")</f>
        <v/>
      </c>
      <c r="CG108" s="58">
        <f>IF(AND($H108="threat",$BW108=0.7,$BV108=0.4),$D108 &amp; ";","")</f>
        <v/>
      </c>
      <c r="CH108" s="58">
        <f>IF(AND($H108="threat",$BW108=0.7,$BV108=0.8),$D108 &amp; ";","")</f>
        <v/>
      </c>
      <c r="CI108" s="58">
        <f>IF(AND($H108="threat",$BW108=0.5,$BV108=0.05),$D108 &amp; ";","")</f>
        <v/>
      </c>
      <c r="CJ108" s="58">
        <f>IF(AND($H108="threat",$BW108=0.5,$BV108=0.1),$D108 &amp; ";","")</f>
        <v/>
      </c>
      <c r="CK108" s="58">
        <f>IF(AND($H108="threat",$BW108=0.5,$BV108=0.2),$D108 &amp; ";","")</f>
        <v/>
      </c>
      <c r="CL108" s="58">
        <f>IF(AND($H108="threat",$BW108=0.5,$BV108=0.4),$D108 &amp; ";","")</f>
        <v/>
      </c>
      <c r="CM108" s="58">
        <f>IF(AND($H108="threat",$BW108=0.5,$BV108=0.8),$D108 &amp; ";","")</f>
        <v/>
      </c>
      <c r="CN108" s="58">
        <f>IF(AND($H108="threat",$BW108=0.3,$BV108=0.05),$D108 &amp; ";","")</f>
        <v/>
      </c>
      <c r="CO108" s="58">
        <f>IF(AND($H108="threat",$BW108=0.3,$BV108=0.1),$D108 &amp; ";","")</f>
        <v/>
      </c>
      <c r="CP108" s="58">
        <f>IF(AND($H108="threat",$BW108=0.3,$BV108=0.2),$D108 &amp; ";","")</f>
        <v/>
      </c>
      <c r="CQ108" s="58">
        <f>IF(AND($H108="threat",$BW108=0.3,$BV108=0.4),$D108 &amp; ";","")</f>
        <v/>
      </c>
      <c r="CR108" s="58">
        <f>IF(AND($H108="threat",$BW108=0.3,$BV108=0.8),$D108 &amp; ";","")</f>
        <v/>
      </c>
      <c r="CS108" s="58">
        <f>IF(AND($H108="threat",$BW108=0.1,$BV108=0.05),$D108 &amp; ";","")</f>
        <v/>
      </c>
      <c r="CT108" s="58">
        <f>IF(AND($H108="threat",$BW108=0.1,$BV108=0.1),$D108 &amp; ";","")</f>
        <v/>
      </c>
      <c r="CU108" s="58">
        <f>IF(AND($H108="threat",$BW108=0.1,$BV108=0.2),$D108 &amp; ";","")</f>
        <v/>
      </c>
      <c r="CV108" s="58">
        <f>IF(AND($H108="threat",$BW108=0.1,$BV108=0.4),$D108 &amp; ";","")</f>
        <v/>
      </c>
      <c r="CW108" s="58">
        <f>IF(AND($H108="threat",$BW108=0.1,$BV108=0.8),$D108 &amp; ";","")</f>
        <v/>
      </c>
      <c r="CX108" s="39" t="n"/>
      <c r="CY108" s="58">
        <f>IF(AND($H108="opportunity",$BW108=0.9,$BV108=0.8),$D108 &amp; ";","")</f>
        <v/>
      </c>
      <c r="CZ108" s="58">
        <f>IF(AND($H108="opportunity",$BW108=0.9,$BV108=0.4),$D108 &amp; ";","")</f>
        <v/>
      </c>
      <c r="DA108" s="58">
        <f>IF(AND($H108="opportunity",$BW108=0.9,$BV108=0.2),$D108 &amp; ";","")</f>
        <v/>
      </c>
      <c r="DB108" s="58">
        <f>IF(AND($H108="opportunity",$BW108=0.9,$BV108=0.1),$D108 &amp; ";","")</f>
        <v/>
      </c>
      <c r="DC108" s="58">
        <f>IF(AND($H108="opportunity",$BW108=0.9,$BV108=0.05),$D108 &amp; ";","")</f>
        <v/>
      </c>
      <c r="DD108" s="58">
        <f>IF(AND($H108="opportunity",$BW108=0.7,$BV108=0.8),$D108 &amp; ";","")</f>
        <v/>
      </c>
      <c r="DE108" s="58">
        <f>IF(AND($H108="opportunity",$BW108=0.7,$BV108=0.4),$D108 &amp; ";","")</f>
        <v/>
      </c>
      <c r="DF108" s="58">
        <f>IF(AND($H108="opportunity",$BW108=0.7,$BV108=0.2),$D108 &amp; ";","")</f>
        <v/>
      </c>
      <c r="DG108" s="58">
        <f>IF(AND($H108="opportunity",$BW108=0.7,$BV108=0.1),$D108 &amp; ";","")</f>
        <v/>
      </c>
      <c r="DH108" s="58">
        <f>IF(AND($H108="opportunity",$BW108=0.7,$BV108=0.05),$D108 &amp; ";","")</f>
        <v/>
      </c>
      <c r="DI108" s="58">
        <f>IF(AND($H108="opportunity",$BW108=0.5,$BV108=0.8),$D108 &amp; ";","")</f>
        <v/>
      </c>
      <c r="DJ108" s="58">
        <f>IF(AND($H108="opportunity",$BW108=0.5,$BV108=0.4),$D108 &amp; ";","")</f>
        <v/>
      </c>
      <c r="DK108" s="58">
        <f>IF(AND($H108="opportunity",$BW108=0.5,$BV108=0.2),$D108 &amp; ";","")</f>
        <v/>
      </c>
      <c r="DL108" s="58">
        <f>IF(AND($H108="opportunity",$BW108=0.5,$BV108=0.1),$D108 &amp; ";","")</f>
        <v/>
      </c>
      <c r="DM108" s="58">
        <f>IF(AND($H108="opportunity",$BW108=0.5,$BV108=0.05),$D108 &amp; ";","")</f>
        <v/>
      </c>
      <c r="DN108" s="58">
        <f>IF(AND($H108="opportunity",$BW108=0.3,$BV108=0.8),$D108 &amp; ";","")</f>
        <v/>
      </c>
      <c r="DO108" s="58">
        <f>IF(AND($H108="opportunity",$BW108=0.3,$BV108=0.4),$D108 &amp; ";","")</f>
        <v/>
      </c>
      <c r="DP108" s="58">
        <f>IF(AND($H108="opportunity",$BW108=0.3,$BV108=0.2),$D108 &amp; ";","")</f>
        <v/>
      </c>
      <c r="DQ108" s="58">
        <f>IF(AND($H108="opportunity",$BW108=0.3,$BV108=0.1),$D108 &amp; ";","")</f>
        <v/>
      </c>
      <c r="DR108" s="58">
        <f>IF(AND($H108="opportunity",$BW108=0.3,$BV108=0.05),$D108 &amp; ";","")</f>
        <v/>
      </c>
      <c r="DS108" s="58">
        <f>IF(AND($H108="opportunity",$BW108=0.1,$BV108=0.8),$D108 &amp; ";","")</f>
        <v/>
      </c>
      <c r="DT108" s="58">
        <f>IF(AND($H108="opportunity",$BW108=0.1,$BV108=0.4),$D108 &amp; ";","")</f>
        <v/>
      </c>
      <c r="DU108" s="58">
        <f>IF(AND($H108="opportunity",$BW108=0.1,$BV108=0.2),$D108 &amp; ";","")</f>
        <v/>
      </c>
      <c r="DV108" s="58">
        <f>IF(AND($H108="opportunity",$BW108=0.1,$BV108=0.1),$D108 &amp; ";","")</f>
        <v/>
      </c>
      <c r="DW108" s="58">
        <f>IF(AND($H108="opportunity",$BW108=0.1,$BV108=0.05),$D108 &amp; ";","")</f>
        <v/>
      </c>
    </row>
    <row r="109">
      <c r="D109" s="60">
        <f>INDIRECT(ADDRESS(ROW()-22,COLUMN()-2,1,1,"Risk Register"))</f>
        <v/>
      </c>
      <c r="E109" s="143">
        <f>INDIRECT(ADDRESS(ROW()-22,COLUMN()-1,1,1,"Risk Register"))</f>
        <v/>
      </c>
      <c r="G109" s="56">
        <f>INDIRECT(ADDRESS(ROW()-22,COLUMN()+10,1,1,"Risk Register"))</f>
        <v/>
      </c>
      <c r="H109" s="60">
        <f>INDIRECT(ADDRESS(ROW()-22,COLUMN()+8,1,1,"Risk Register"))</f>
        <v/>
      </c>
      <c r="I109" s="54">
        <f>INDIRECT(ADDRESS(ROW()-22,COLUMN()+3,1,1,"Risk Register"))</f>
        <v/>
      </c>
      <c r="J109" s="143">
        <f>INDIRECT(ADDRESS(ROW()-22,COLUMN()+12,1,1,"Risk Register"))</f>
        <v/>
      </c>
      <c r="K109" s="143">
        <f>INDIRECT(ADDRESS(ROW()-22,COLUMN()-2,1,1,"Risk Register"))</f>
        <v/>
      </c>
      <c r="L109" s="176">
        <f>INDIRECT(ADDRESS(ROW()-22,COLUMN()+15,1,1,"Risk Register"))</f>
        <v/>
      </c>
      <c r="M109" s="54">
        <f>INDIRECT(ADDRESS(ROW()-22,COLUMN()+13,1,1,"Risk Register"))</f>
        <v/>
      </c>
      <c r="N109" s="143">
        <f>INDIRECT(ADDRESS(ROW()-22,COLUMN()-9,1,1,"Risk Register"))</f>
        <v/>
      </c>
      <c r="O109" s="143">
        <f>INDIRECT(ADDRESS(ROW()-22,COLUMN()-8,1,1,"Risk Register"))</f>
        <v/>
      </c>
      <c r="P109" s="56">
        <f>INDIRECT(ADDRESS(ROW()-22,COLUMN()+18,1,1,"Risk Register"))</f>
        <v/>
      </c>
      <c r="R109" s="57">
        <f>INDIRECT(ADDRESS(ROW()-22,COLUMN()-5,1,1,"Risk Register"))</f>
        <v/>
      </c>
      <c r="S109" s="58">
        <f>INDIRECT(ADDRESS(ROW()-22,COLUMN()-4,1,1,"Risk Register"))</f>
        <v/>
      </c>
      <c r="T109" s="59">
        <f>IF(AND($H109="threat",$G109&lt;=0.05),"gn",IF(AND($H109="threat",$G109&lt;=0.14),"y",IF(AND($H109="threat", $G109&gt;=0.15),"r",IF(AND($H109="opportunity",$G109&lt;=0.05),"gn",IF(AND($H109="opportunity",$G109&lt;=0.14),"lb",IF(AND($H109="opportunity",$G109&gt;=0.15),"db","z"))))))</f>
        <v/>
      </c>
      <c r="U109" s="58">
        <f>IF(AND($H109="threat",$S109=0.9,$R109=0.05),$D109 &amp; ";","")</f>
        <v/>
      </c>
      <c r="V109" s="58">
        <f>IF(AND($H109="threat",$S109=0.9,$R109=0.1),$D109 &amp; ";","")</f>
        <v/>
      </c>
      <c r="W109" s="58">
        <f>IF(AND($H109="threat",$S109=0.9,$R109=0.2),$D109 &amp; ";","")</f>
        <v/>
      </c>
      <c r="X109" s="58">
        <f>IF(AND($H109="threat",$S109=0.9,$R109=0.4),$D109 &amp; ";","")</f>
        <v/>
      </c>
      <c r="Y109" s="58">
        <f>IF(AND($H109="threat",$S109=0.9,$R109=0.8),$D109 &amp; ";","")</f>
        <v/>
      </c>
      <c r="Z109" s="58">
        <f>IF(AND($H109="threat",$S109=0.7,$R109=0.05),$D109 &amp; ";","")</f>
        <v/>
      </c>
      <c r="AA109" s="58">
        <f>IF(AND($H109="threat",$S109=0.7,$R109=0.1),$D109 &amp; ";","")</f>
        <v/>
      </c>
      <c r="AB109" s="58">
        <f>IF(AND($H109="threat",$S109=0.7,$R109=0.2),$D109 &amp; ";","")</f>
        <v/>
      </c>
      <c r="AC109" s="58">
        <f>IF(AND($H109="threat",$S109=0.7,$R109=0.4),$D109 &amp; ";","")</f>
        <v/>
      </c>
      <c r="AD109" s="58">
        <f>IF(AND($H109="threat",$S109=0.7,$R109=0.8),$D109 &amp; ";","")</f>
        <v/>
      </c>
      <c r="AE109" s="58">
        <f>IF(AND($H109="threat",$S109=0.5,$R109=0.05),$D109 &amp; ";","")</f>
        <v/>
      </c>
      <c r="AF109" s="58">
        <f>IF(AND($H109="threat",$S109=0.5,$R109=0.1),$D109 &amp; ";","")</f>
        <v/>
      </c>
      <c r="AG109" s="58">
        <f>IF(AND($H109="threat",$S109=0.5,$R109=0.2),$D109 &amp; ";","")</f>
        <v/>
      </c>
      <c r="AH109" s="58">
        <f>IF(AND($H109="threat",$S109=0.5,$R109=0.4),$D109 &amp; ";","")</f>
        <v/>
      </c>
      <c r="AI109" s="58">
        <f>IF(AND($H109="threat",$S109=0.5,$R109=0.8),$D109 &amp; ";","")</f>
        <v/>
      </c>
      <c r="AJ109" s="58">
        <f>IF(AND($H109="threat",$S109=0.3,$R109=0.05),$D109 &amp; ";","")</f>
        <v/>
      </c>
      <c r="AK109" s="58">
        <f>IF(AND($H109="threat",$S109=0.3,$R109=0.1),$D109 &amp; ";","")</f>
        <v/>
      </c>
      <c r="AL109" s="58">
        <f>IF(AND($H109="threat",$S109=0.3,$R109=0.2),$D109 &amp; ";","")</f>
        <v/>
      </c>
      <c r="AM109" s="58">
        <f>IF(AND($H109="threat",$S109=0.3,$R109=0.4),$D109 &amp; ";","")</f>
        <v/>
      </c>
      <c r="AN109" s="58">
        <f>IF(AND($H109="threat",$S109=0.3,$R109=0.8),$D109 &amp; ";","")</f>
        <v/>
      </c>
      <c r="AO109" s="58">
        <f>IF(AND($H109="threat",$S109=0.1,$R109=0.05),$D109 &amp; ";","")</f>
        <v/>
      </c>
      <c r="AP109" s="58">
        <f>IF(AND($H109="threat",$S109=0.1,$R109=0.1),$D109 &amp; ";","")</f>
        <v/>
      </c>
      <c r="AQ109" s="58">
        <f>IF(AND($H109="threat",$S109=0.1,$R109=0.2),$D109 &amp; ";","")</f>
        <v/>
      </c>
      <c r="AR109" s="58">
        <f>IF(AND($H109="threat",$S109=0.1,$R109=0.4),$D109 &amp; ";","")</f>
        <v/>
      </c>
      <c r="AS109" s="58">
        <f>IF(AND($H109="threat",$S109=0.1,$R109=0.8),$D109 &amp; ";","")</f>
        <v/>
      </c>
      <c r="AT109" s="39" t="n"/>
      <c r="AU109" s="58">
        <f>IF(AND($H109="opportunity",$S109=0.9,$R109=0.8),$D109 &amp; ";","")</f>
        <v/>
      </c>
      <c r="AV109" s="58">
        <f>IF(AND($H109="opportunity",$S109=0.9,$R109=0.4),$D109 &amp; ";","")</f>
        <v/>
      </c>
      <c r="AW109" s="58">
        <f>IF(AND($H109="opportunity",$S109=0.9,$R109=0.2),$D109 &amp; ";","")</f>
        <v/>
      </c>
      <c r="AX109" s="58">
        <f>IF(AND($H109="opportunity",$S109=0.9,$R109=0.1),$D109 &amp; ";","")</f>
        <v/>
      </c>
      <c r="AY109" s="58">
        <f>IF(AND($H109="opportunity",$S109=0.9,$R109=0.05),$D109 &amp; ";","")</f>
        <v/>
      </c>
      <c r="AZ109" s="58">
        <f>IF(AND($H109="opportunity",$S109=0.7,$R109=0.8),$D109 &amp; ";","")</f>
        <v/>
      </c>
      <c r="BA109" s="58">
        <f>IF(AND($H109="opportunity",$S109=0.7,$R109=0.4),$D109 &amp; ";","")</f>
        <v/>
      </c>
      <c r="BB109" s="58">
        <f>IF(AND($H109="opportunity",$S109=0.7,$R109=0.2),$D109 &amp; ";","")</f>
        <v/>
      </c>
      <c r="BC109" s="58">
        <f>IF(AND($H109="opportunity",$S109=0.7,$R109=0.1),$D109 &amp; ";","")</f>
        <v/>
      </c>
      <c r="BD109" s="58">
        <f>IF(AND($H109="opportunity",$S109=0.7,$R109=0.05),$D109 &amp; ";","")</f>
        <v/>
      </c>
      <c r="BE109" s="58">
        <f>IF(AND($H109="opportunity",$S109=0.5,$R109=0.8),$D109 &amp; ";","")</f>
        <v/>
      </c>
      <c r="BF109" s="58">
        <f>IF(AND($H109="opportunity",$S109=0.5,$R109=0.4),$D109 &amp; ";","")</f>
        <v/>
      </c>
      <c r="BG109" s="58">
        <f>IF(AND($H109="opportunity",$S109=0.5,$R109=0.2),$D109 &amp; ";","")</f>
        <v/>
      </c>
      <c r="BH109" s="58">
        <f>IF(AND($H109="opportunity",$S109=0.5,$R109=0.1),$D109 &amp; ";","")</f>
        <v/>
      </c>
      <c r="BI109" s="58">
        <f>IF(AND($H109="opportunity",$S109=0.5,$R109=0.05),$D109 &amp; ";","")</f>
        <v/>
      </c>
      <c r="BJ109" s="58">
        <f>IF(AND($H109="opportunity",$S109=0.3,$R109=0.8),$D109 &amp; ";","")</f>
        <v/>
      </c>
      <c r="BK109" s="58">
        <f>IF(AND($H109="opportunity",$S109=0.3,$R109=0.4),$D109 &amp; ";","")</f>
        <v/>
      </c>
      <c r="BL109" s="58">
        <f>IF(AND($H109="opportunity",$S109=0.3,$R109=0.2),$D109 &amp; ";","")</f>
        <v/>
      </c>
      <c r="BM109" s="58">
        <f>IF(AND($H109="opportunity",$S109=0.3,$R109=0.1),$D109 &amp; ";","")</f>
        <v/>
      </c>
      <c r="BN109" s="58">
        <f>IF(AND($H109="opportunity",$S109=0.3,$R109=0.05),$D109 &amp; ";","")</f>
        <v/>
      </c>
      <c r="BO109" s="58">
        <f>IF(AND($H109="opportunity",$S109=0.1,$R109=0.8),$D109 &amp; ";","")</f>
        <v/>
      </c>
      <c r="BP109" s="58">
        <f>IF(AND($H109="opportunity",$S109=0.1,$R109=0.4),$D109 &amp; ";","")</f>
        <v/>
      </c>
      <c r="BQ109" s="58">
        <f>IF(AND($H109="opportunity",$S109=0.1,$R109=0.2),$D109 &amp; ";","")</f>
        <v/>
      </c>
      <c r="BR109" s="58">
        <f>IF(AND($H109="opportunity",$S109=0.1,$R109=0.1),$D109 &amp; ";","")</f>
        <v/>
      </c>
      <c r="BS109" s="58">
        <f>IF(AND($H109="opportunity",$S109=0.1,$R109=0.05),$D109 &amp; ";","")</f>
        <v/>
      </c>
      <c r="BV109" s="57">
        <f>INDIRECT(ADDRESS(ROW()-22,COLUMN()-45,1,1,"Risk Register"))</f>
        <v/>
      </c>
      <c r="BW109" s="58">
        <f>INDIRECT(ADDRESS(ROW()-22,COLUMN()-44,1,1,"Risk Register"))</f>
        <v/>
      </c>
      <c r="BX109" s="59">
        <f>IF(AND($H109="threat",$P109&lt;=0.05),"gn",IF(AND($H109="threat",$P109&lt;=0.14),"y",IF(AND($H109="threat", $P109&gt;=0.15),"r",IF(AND($H109="opportunity",$P109&lt;=0.05),"gn",IF(AND($H109="opportunity",$P109&lt;=0.14),"lb",IF(AND($H109="opportunity",$P109&gt;=0.15),"db","z"))))))</f>
        <v/>
      </c>
      <c r="BY109" s="58">
        <f>IF(AND($H109="threat",$BW109=0.9,$BV109=0.05),$D109 &amp; ";","")</f>
        <v/>
      </c>
      <c r="BZ109" s="58">
        <f>IF(AND($H109="threat",$BW109=0.9,$BV109=0.1),$D109 &amp; ";","")</f>
        <v/>
      </c>
      <c r="CA109" s="58">
        <f>IF(AND($H109="threat",$BW109=0.9,$BV109=0.2),$D109 &amp; ";","")</f>
        <v/>
      </c>
      <c r="CB109" s="58">
        <f>IF(AND($H109="threat",$BW109=0.9,$BV109=0.4),$D109 &amp; ";","")</f>
        <v/>
      </c>
      <c r="CC109" s="58">
        <f>IF(AND($H109="threat",$BW109=0.9,$BV109=0.8),$D109 &amp; ";","")</f>
        <v/>
      </c>
      <c r="CD109" s="58">
        <f>IF(AND($H109="threat",$BW109=0.7,$BV109=0.05),$D109 &amp; ";","")</f>
        <v/>
      </c>
      <c r="CE109" s="58">
        <f>IF(AND($H109="threat",$BW109=0.7,$BV109=0.1),$D109 &amp; ";","")</f>
        <v/>
      </c>
      <c r="CF109" s="58">
        <f>IF(AND($H109="threat",$BW109=0.7,$BV109=0.2),$D109 &amp; ";","")</f>
        <v/>
      </c>
      <c r="CG109" s="58">
        <f>IF(AND($H109="threat",$BW109=0.7,$BV109=0.4),$D109 &amp; ";","")</f>
        <v/>
      </c>
      <c r="CH109" s="58">
        <f>IF(AND($H109="threat",$BW109=0.7,$BV109=0.8),$D109 &amp; ";","")</f>
        <v/>
      </c>
      <c r="CI109" s="58">
        <f>IF(AND($H109="threat",$BW109=0.5,$BV109=0.05),$D109 &amp; ";","")</f>
        <v/>
      </c>
      <c r="CJ109" s="58">
        <f>IF(AND($H109="threat",$BW109=0.5,$BV109=0.1),$D109 &amp; ";","")</f>
        <v/>
      </c>
      <c r="CK109" s="58">
        <f>IF(AND($H109="threat",$BW109=0.5,$BV109=0.2),$D109 &amp; ";","")</f>
        <v/>
      </c>
      <c r="CL109" s="58">
        <f>IF(AND($H109="threat",$BW109=0.5,$BV109=0.4),$D109 &amp; ";","")</f>
        <v/>
      </c>
      <c r="CM109" s="58">
        <f>IF(AND($H109="threat",$BW109=0.5,$BV109=0.8),$D109 &amp; ";","")</f>
        <v/>
      </c>
      <c r="CN109" s="58">
        <f>IF(AND($H109="threat",$BW109=0.3,$BV109=0.05),$D109 &amp; ";","")</f>
        <v/>
      </c>
      <c r="CO109" s="58">
        <f>IF(AND($H109="threat",$BW109=0.3,$BV109=0.1),$D109 &amp; ";","")</f>
        <v/>
      </c>
      <c r="CP109" s="58">
        <f>IF(AND($H109="threat",$BW109=0.3,$BV109=0.2),$D109 &amp; ";","")</f>
        <v/>
      </c>
      <c r="CQ109" s="58">
        <f>IF(AND($H109="threat",$BW109=0.3,$BV109=0.4),$D109 &amp; ";","")</f>
        <v/>
      </c>
      <c r="CR109" s="58">
        <f>IF(AND($H109="threat",$BW109=0.3,$BV109=0.8),$D109 &amp; ";","")</f>
        <v/>
      </c>
      <c r="CS109" s="58">
        <f>IF(AND($H109="threat",$BW109=0.1,$BV109=0.05),$D109 &amp; ";","")</f>
        <v/>
      </c>
      <c r="CT109" s="58">
        <f>IF(AND($H109="threat",$BW109=0.1,$BV109=0.1),$D109 &amp; ";","")</f>
        <v/>
      </c>
      <c r="CU109" s="58">
        <f>IF(AND($H109="threat",$BW109=0.1,$BV109=0.2),$D109 &amp; ";","")</f>
        <v/>
      </c>
      <c r="CV109" s="58">
        <f>IF(AND($H109="threat",$BW109=0.1,$BV109=0.4),$D109 &amp; ";","")</f>
        <v/>
      </c>
      <c r="CW109" s="58">
        <f>IF(AND($H109="threat",$BW109=0.1,$BV109=0.8),$D109 &amp; ";","")</f>
        <v/>
      </c>
      <c r="CX109" s="39" t="n"/>
      <c r="CY109" s="58">
        <f>IF(AND($H109="opportunity",$BW109=0.9,$BV109=0.8),$D109 &amp; ";","")</f>
        <v/>
      </c>
      <c r="CZ109" s="58">
        <f>IF(AND($H109="opportunity",$BW109=0.9,$BV109=0.4),$D109 &amp; ";","")</f>
        <v/>
      </c>
      <c r="DA109" s="58">
        <f>IF(AND($H109="opportunity",$BW109=0.9,$BV109=0.2),$D109 &amp; ";","")</f>
        <v/>
      </c>
      <c r="DB109" s="58">
        <f>IF(AND($H109="opportunity",$BW109=0.9,$BV109=0.1),$D109 &amp; ";","")</f>
        <v/>
      </c>
      <c r="DC109" s="58">
        <f>IF(AND($H109="opportunity",$BW109=0.9,$BV109=0.05),$D109 &amp; ";","")</f>
        <v/>
      </c>
      <c r="DD109" s="58">
        <f>IF(AND($H109="opportunity",$BW109=0.7,$BV109=0.8),$D109 &amp; ";","")</f>
        <v/>
      </c>
      <c r="DE109" s="58">
        <f>IF(AND($H109="opportunity",$BW109=0.7,$BV109=0.4),$D109 &amp; ";","")</f>
        <v/>
      </c>
      <c r="DF109" s="58">
        <f>IF(AND($H109="opportunity",$BW109=0.7,$BV109=0.2),$D109 &amp; ";","")</f>
        <v/>
      </c>
      <c r="DG109" s="58">
        <f>IF(AND($H109="opportunity",$BW109=0.7,$BV109=0.1),$D109 &amp; ";","")</f>
        <v/>
      </c>
      <c r="DH109" s="58">
        <f>IF(AND($H109="opportunity",$BW109=0.7,$BV109=0.05),$D109 &amp; ";","")</f>
        <v/>
      </c>
      <c r="DI109" s="58">
        <f>IF(AND($H109="opportunity",$BW109=0.5,$BV109=0.8),$D109 &amp; ";","")</f>
        <v/>
      </c>
      <c r="DJ109" s="58">
        <f>IF(AND($H109="opportunity",$BW109=0.5,$BV109=0.4),$D109 &amp; ";","")</f>
        <v/>
      </c>
      <c r="DK109" s="58">
        <f>IF(AND($H109="opportunity",$BW109=0.5,$BV109=0.2),$D109 &amp; ";","")</f>
        <v/>
      </c>
      <c r="DL109" s="58">
        <f>IF(AND($H109="opportunity",$BW109=0.5,$BV109=0.1),$D109 &amp; ";","")</f>
        <v/>
      </c>
      <c r="DM109" s="58">
        <f>IF(AND($H109="opportunity",$BW109=0.5,$BV109=0.05),$D109 &amp; ";","")</f>
        <v/>
      </c>
      <c r="DN109" s="58">
        <f>IF(AND($H109="opportunity",$BW109=0.3,$BV109=0.8),$D109 &amp; ";","")</f>
        <v/>
      </c>
      <c r="DO109" s="58">
        <f>IF(AND($H109="opportunity",$BW109=0.3,$BV109=0.4),$D109 &amp; ";","")</f>
        <v/>
      </c>
      <c r="DP109" s="58">
        <f>IF(AND($H109="opportunity",$BW109=0.3,$BV109=0.2),$D109 &amp; ";","")</f>
        <v/>
      </c>
      <c r="DQ109" s="58">
        <f>IF(AND($H109="opportunity",$BW109=0.3,$BV109=0.1),$D109 &amp; ";","")</f>
        <v/>
      </c>
      <c r="DR109" s="58">
        <f>IF(AND($H109="opportunity",$BW109=0.3,$BV109=0.05),$D109 &amp; ";","")</f>
        <v/>
      </c>
      <c r="DS109" s="58">
        <f>IF(AND($H109="opportunity",$BW109=0.1,$BV109=0.8),$D109 &amp; ";","")</f>
        <v/>
      </c>
      <c r="DT109" s="58">
        <f>IF(AND($H109="opportunity",$BW109=0.1,$BV109=0.4),$D109 &amp; ";","")</f>
        <v/>
      </c>
      <c r="DU109" s="58">
        <f>IF(AND($H109="opportunity",$BW109=0.1,$BV109=0.2),$D109 &amp; ";","")</f>
        <v/>
      </c>
      <c r="DV109" s="58">
        <f>IF(AND($H109="opportunity",$BW109=0.1,$BV109=0.1),$D109 &amp; ";","")</f>
        <v/>
      </c>
      <c r="DW109" s="58">
        <f>IF(AND($H109="opportunity",$BW109=0.1,$BV109=0.05),$D109 &amp; ";","")</f>
        <v/>
      </c>
    </row>
    <row r="110">
      <c r="D110" s="60">
        <f>INDIRECT(ADDRESS(ROW()-22,COLUMN()-2,1,1,"Risk Register"))</f>
        <v/>
      </c>
      <c r="E110" s="143">
        <f>INDIRECT(ADDRESS(ROW()-22,COLUMN()-1,1,1,"Risk Register"))</f>
        <v/>
      </c>
      <c r="G110" s="56">
        <f>INDIRECT(ADDRESS(ROW()-22,COLUMN()+10,1,1,"Risk Register"))</f>
        <v/>
      </c>
      <c r="H110" s="60">
        <f>INDIRECT(ADDRESS(ROW()-22,COLUMN()+8,1,1,"Risk Register"))</f>
        <v/>
      </c>
      <c r="I110" s="54">
        <f>INDIRECT(ADDRESS(ROW()-22,COLUMN()+3,1,1,"Risk Register"))</f>
        <v/>
      </c>
      <c r="J110" s="143">
        <f>INDIRECT(ADDRESS(ROW()-22,COLUMN()+12,1,1,"Risk Register"))</f>
        <v/>
      </c>
      <c r="K110" s="143">
        <f>INDIRECT(ADDRESS(ROW()-22,COLUMN()-2,1,1,"Risk Register"))</f>
        <v/>
      </c>
      <c r="L110" s="176">
        <f>INDIRECT(ADDRESS(ROW()-22,COLUMN()+15,1,1,"Risk Register"))</f>
        <v/>
      </c>
      <c r="M110" s="54">
        <f>INDIRECT(ADDRESS(ROW()-22,COLUMN()+13,1,1,"Risk Register"))</f>
        <v/>
      </c>
      <c r="N110" s="143">
        <f>INDIRECT(ADDRESS(ROW()-22,COLUMN()-9,1,1,"Risk Register"))</f>
        <v/>
      </c>
      <c r="O110" s="143">
        <f>INDIRECT(ADDRESS(ROW()-22,COLUMN()-8,1,1,"Risk Register"))</f>
        <v/>
      </c>
      <c r="P110" s="56">
        <f>INDIRECT(ADDRESS(ROW()-22,COLUMN()+18,1,1,"Risk Register"))</f>
        <v/>
      </c>
      <c r="R110" s="57">
        <f>INDIRECT(ADDRESS(ROW()-22,COLUMN()-5,1,1,"Risk Register"))</f>
        <v/>
      </c>
      <c r="S110" s="58">
        <f>INDIRECT(ADDRESS(ROW()-22,COLUMN()-4,1,1,"Risk Register"))</f>
        <v/>
      </c>
      <c r="T110" s="59">
        <f>IF(AND($H110="threat",$G110&lt;=0.05),"gn",IF(AND($H110="threat",$G110&lt;=0.14),"y",IF(AND($H110="threat", $G110&gt;=0.15),"r",IF(AND($H110="opportunity",$G110&lt;=0.05),"gn",IF(AND($H110="opportunity",$G110&lt;=0.14),"lb",IF(AND($H110="opportunity",$G110&gt;=0.15),"db","z"))))))</f>
        <v/>
      </c>
      <c r="U110" s="58">
        <f>IF(AND($H110="threat",$S110=0.9,$R110=0.05),$D110 &amp; ";","")</f>
        <v/>
      </c>
      <c r="V110" s="58">
        <f>IF(AND($H110="threat",$S110=0.9,$R110=0.1),$D110 &amp; ";","")</f>
        <v/>
      </c>
      <c r="W110" s="58">
        <f>IF(AND($H110="threat",$S110=0.9,$R110=0.2),$D110 &amp; ";","")</f>
        <v/>
      </c>
      <c r="X110" s="58">
        <f>IF(AND($H110="threat",$S110=0.9,$R110=0.4),$D110 &amp; ";","")</f>
        <v/>
      </c>
      <c r="Y110" s="58">
        <f>IF(AND($H110="threat",$S110=0.9,$R110=0.8),$D110 &amp; ";","")</f>
        <v/>
      </c>
      <c r="Z110" s="58">
        <f>IF(AND($H110="threat",$S110=0.7,$R110=0.05),$D110 &amp; ";","")</f>
        <v/>
      </c>
      <c r="AA110" s="58">
        <f>IF(AND($H110="threat",$S110=0.7,$R110=0.1),$D110 &amp; ";","")</f>
        <v/>
      </c>
      <c r="AB110" s="58">
        <f>IF(AND($H110="threat",$S110=0.7,$R110=0.2),$D110 &amp; ";","")</f>
        <v/>
      </c>
      <c r="AC110" s="58">
        <f>IF(AND($H110="threat",$S110=0.7,$R110=0.4),$D110 &amp; ";","")</f>
        <v/>
      </c>
      <c r="AD110" s="58">
        <f>IF(AND($H110="threat",$S110=0.7,$R110=0.8),$D110 &amp; ";","")</f>
        <v/>
      </c>
      <c r="AE110" s="58">
        <f>IF(AND($H110="threat",$S110=0.5,$R110=0.05),$D110 &amp; ";","")</f>
        <v/>
      </c>
      <c r="AF110" s="58">
        <f>IF(AND($H110="threat",$S110=0.5,$R110=0.1),$D110 &amp; ";","")</f>
        <v/>
      </c>
      <c r="AG110" s="58">
        <f>IF(AND($H110="threat",$S110=0.5,$R110=0.2),$D110 &amp; ";","")</f>
        <v/>
      </c>
      <c r="AH110" s="58">
        <f>IF(AND($H110="threat",$S110=0.5,$R110=0.4),$D110 &amp; ";","")</f>
        <v/>
      </c>
      <c r="AI110" s="58">
        <f>IF(AND($H110="threat",$S110=0.5,$R110=0.8),$D110 &amp; ";","")</f>
        <v/>
      </c>
      <c r="AJ110" s="58">
        <f>IF(AND($H110="threat",$S110=0.3,$R110=0.05),$D110 &amp; ";","")</f>
        <v/>
      </c>
      <c r="AK110" s="58">
        <f>IF(AND($H110="threat",$S110=0.3,$R110=0.1),$D110 &amp; ";","")</f>
        <v/>
      </c>
      <c r="AL110" s="58">
        <f>IF(AND($H110="threat",$S110=0.3,$R110=0.2),$D110 &amp; ";","")</f>
        <v/>
      </c>
      <c r="AM110" s="58">
        <f>IF(AND($H110="threat",$S110=0.3,$R110=0.4),$D110 &amp; ";","")</f>
        <v/>
      </c>
      <c r="AN110" s="58">
        <f>IF(AND($H110="threat",$S110=0.3,$R110=0.8),$D110 &amp; ";","")</f>
        <v/>
      </c>
      <c r="AO110" s="58">
        <f>IF(AND($H110="threat",$S110=0.1,$R110=0.05),$D110 &amp; ";","")</f>
        <v/>
      </c>
      <c r="AP110" s="58">
        <f>IF(AND($H110="threat",$S110=0.1,$R110=0.1),$D110 &amp; ";","")</f>
        <v/>
      </c>
      <c r="AQ110" s="58">
        <f>IF(AND($H110="threat",$S110=0.1,$R110=0.2),$D110 &amp; ";","")</f>
        <v/>
      </c>
      <c r="AR110" s="58">
        <f>IF(AND($H110="threat",$S110=0.1,$R110=0.4),$D110 &amp; ";","")</f>
        <v/>
      </c>
      <c r="AS110" s="58">
        <f>IF(AND($H110="threat",$S110=0.1,$R110=0.8),$D110 &amp; ";","")</f>
        <v/>
      </c>
      <c r="AT110" s="39" t="n"/>
      <c r="AU110" s="58">
        <f>IF(AND($H110="opportunity",$S110=0.9,$R110=0.8),$D110 &amp; ";","")</f>
        <v/>
      </c>
      <c r="AV110" s="58">
        <f>IF(AND($H110="opportunity",$S110=0.9,$R110=0.4),$D110 &amp; ";","")</f>
        <v/>
      </c>
      <c r="AW110" s="58">
        <f>IF(AND($H110="opportunity",$S110=0.9,$R110=0.2),$D110 &amp; ";","")</f>
        <v/>
      </c>
      <c r="AX110" s="58">
        <f>IF(AND($H110="opportunity",$S110=0.9,$R110=0.1),$D110 &amp; ";","")</f>
        <v/>
      </c>
      <c r="AY110" s="58">
        <f>IF(AND($H110="opportunity",$S110=0.9,$R110=0.05),$D110 &amp; ";","")</f>
        <v/>
      </c>
      <c r="AZ110" s="58">
        <f>IF(AND($H110="opportunity",$S110=0.7,$R110=0.8),$D110 &amp; ";","")</f>
        <v/>
      </c>
      <c r="BA110" s="58">
        <f>IF(AND($H110="opportunity",$S110=0.7,$R110=0.4),$D110 &amp; ";","")</f>
        <v/>
      </c>
      <c r="BB110" s="58">
        <f>IF(AND($H110="opportunity",$S110=0.7,$R110=0.2),$D110 &amp; ";","")</f>
        <v/>
      </c>
      <c r="BC110" s="58">
        <f>IF(AND($H110="opportunity",$S110=0.7,$R110=0.1),$D110 &amp; ";","")</f>
        <v/>
      </c>
      <c r="BD110" s="58">
        <f>IF(AND($H110="opportunity",$S110=0.7,$R110=0.05),$D110 &amp; ";","")</f>
        <v/>
      </c>
      <c r="BE110" s="58">
        <f>IF(AND($H110="opportunity",$S110=0.5,$R110=0.8),$D110 &amp; ";","")</f>
        <v/>
      </c>
      <c r="BF110" s="58">
        <f>IF(AND($H110="opportunity",$S110=0.5,$R110=0.4),$D110 &amp; ";","")</f>
        <v/>
      </c>
      <c r="BG110" s="58">
        <f>IF(AND($H110="opportunity",$S110=0.5,$R110=0.2),$D110 &amp; ";","")</f>
        <v/>
      </c>
      <c r="BH110" s="58">
        <f>IF(AND($H110="opportunity",$S110=0.5,$R110=0.1),$D110 &amp; ";","")</f>
        <v/>
      </c>
      <c r="BI110" s="58">
        <f>IF(AND($H110="opportunity",$S110=0.5,$R110=0.05),$D110 &amp; ";","")</f>
        <v/>
      </c>
      <c r="BJ110" s="58">
        <f>IF(AND($H110="opportunity",$S110=0.3,$R110=0.8),$D110 &amp; ";","")</f>
        <v/>
      </c>
      <c r="BK110" s="58">
        <f>IF(AND($H110="opportunity",$S110=0.3,$R110=0.4),$D110 &amp; ";","")</f>
        <v/>
      </c>
      <c r="BL110" s="58">
        <f>IF(AND($H110="opportunity",$S110=0.3,$R110=0.2),$D110 &amp; ";","")</f>
        <v/>
      </c>
      <c r="BM110" s="58">
        <f>IF(AND($H110="opportunity",$S110=0.3,$R110=0.1),$D110 &amp; ";","")</f>
        <v/>
      </c>
      <c r="BN110" s="58">
        <f>IF(AND($H110="opportunity",$S110=0.3,$R110=0.05),$D110 &amp; ";","")</f>
        <v/>
      </c>
      <c r="BO110" s="58">
        <f>IF(AND($H110="opportunity",$S110=0.1,$R110=0.8),$D110 &amp; ";","")</f>
        <v/>
      </c>
      <c r="BP110" s="58">
        <f>IF(AND($H110="opportunity",$S110=0.1,$R110=0.4),$D110 &amp; ";","")</f>
        <v/>
      </c>
      <c r="BQ110" s="58">
        <f>IF(AND($H110="opportunity",$S110=0.1,$R110=0.2),$D110 &amp; ";","")</f>
        <v/>
      </c>
      <c r="BR110" s="58">
        <f>IF(AND($H110="opportunity",$S110=0.1,$R110=0.1),$D110 &amp; ";","")</f>
        <v/>
      </c>
      <c r="BS110" s="58">
        <f>IF(AND($H110="opportunity",$S110=0.1,$R110=0.05),$D110 &amp; ";","")</f>
        <v/>
      </c>
      <c r="BV110" s="57">
        <f>INDIRECT(ADDRESS(ROW()-22,COLUMN()-45,1,1,"Risk Register"))</f>
        <v/>
      </c>
      <c r="BW110" s="58">
        <f>INDIRECT(ADDRESS(ROW()-22,COLUMN()-44,1,1,"Risk Register"))</f>
        <v/>
      </c>
      <c r="BX110" s="59">
        <f>IF(AND($H110="threat",$P110&lt;=0.05),"gn",IF(AND($H110="threat",$P110&lt;=0.14),"y",IF(AND($H110="threat", $P110&gt;=0.15),"r",IF(AND($H110="opportunity",$P110&lt;=0.05),"gn",IF(AND($H110="opportunity",$P110&lt;=0.14),"lb",IF(AND($H110="opportunity",$P110&gt;=0.15),"db","z"))))))</f>
        <v/>
      </c>
      <c r="BY110" s="58">
        <f>IF(AND($H110="threat",$BW110=0.9,$BV110=0.05),$D110 &amp; ";","")</f>
        <v/>
      </c>
      <c r="BZ110" s="58">
        <f>IF(AND($H110="threat",$BW110=0.9,$BV110=0.1),$D110 &amp; ";","")</f>
        <v/>
      </c>
      <c r="CA110" s="58">
        <f>IF(AND($H110="threat",$BW110=0.9,$BV110=0.2),$D110 &amp; ";","")</f>
        <v/>
      </c>
      <c r="CB110" s="58">
        <f>IF(AND($H110="threat",$BW110=0.9,$BV110=0.4),$D110 &amp; ";","")</f>
        <v/>
      </c>
      <c r="CC110" s="58">
        <f>IF(AND($H110="threat",$BW110=0.9,$BV110=0.8),$D110 &amp; ";","")</f>
        <v/>
      </c>
      <c r="CD110" s="58">
        <f>IF(AND($H110="threat",$BW110=0.7,$BV110=0.05),$D110 &amp; ";","")</f>
        <v/>
      </c>
      <c r="CE110" s="58">
        <f>IF(AND($H110="threat",$BW110=0.7,$BV110=0.1),$D110 &amp; ";","")</f>
        <v/>
      </c>
      <c r="CF110" s="58">
        <f>IF(AND($H110="threat",$BW110=0.7,$BV110=0.2),$D110 &amp; ";","")</f>
        <v/>
      </c>
      <c r="CG110" s="58">
        <f>IF(AND($H110="threat",$BW110=0.7,$BV110=0.4),$D110 &amp; ";","")</f>
        <v/>
      </c>
      <c r="CH110" s="58">
        <f>IF(AND($H110="threat",$BW110=0.7,$BV110=0.8),$D110 &amp; ";","")</f>
        <v/>
      </c>
      <c r="CI110" s="58">
        <f>IF(AND($H110="threat",$BW110=0.5,$BV110=0.05),$D110 &amp; ";","")</f>
        <v/>
      </c>
      <c r="CJ110" s="58">
        <f>IF(AND($H110="threat",$BW110=0.5,$BV110=0.1),$D110 &amp; ";","")</f>
        <v/>
      </c>
      <c r="CK110" s="58">
        <f>IF(AND($H110="threat",$BW110=0.5,$BV110=0.2),$D110 &amp; ";","")</f>
        <v/>
      </c>
      <c r="CL110" s="58">
        <f>IF(AND($H110="threat",$BW110=0.5,$BV110=0.4),$D110 &amp; ";","")</f>
        <v/>
      </c>
      <c r="CM110" s="58">
        <f>IF(AND($H110="threat",$BW110=0.5,$BV110=0.8),$D110 &amp; ";","")</f>
        <v/>
      </c>
      <c r="CN110" s="58">
        <f>IF(AND($H110="threat",$BW110=0.3,$BV110=0.05),$D110 &amp; ";","")</f>
        <v/>
      </c>
      <c r="CO110" s="58">
        <f>IF(AND($H110="threat",$BW110=0.3,$BV110=0.1),$D110 &amp; ";","")</f>
        <v/>
      </c>
      <c r="CP110" s="58">
        <f>IF(AND($H110="threat",$BW110=0.3,$BV110=0.2),$D110 &amp; ";","")</f>
        <v/>
      </c>
      <c r="CQ110" s="58">
        <f>IF(AND($H110="threat",$BW110=0.3,$BV110=0.4),$D110 &amp; ";","")</f>
        <v/>
      </c>
      <c r="CR110" s="58">
        <f>IF(AND($H110="threat",$BW110=0.3,$BV110=0.8),$D110 &amp; ";","")</f>
        <v/>
      </c>
      <c r="CS110" s="58">
        <f>IF(AND($H110="threat",$BW110=0.1,$BV110=0.05),$D110 &amp; ";","")</f>
        <v/>
      </c>
      <c r="CT110" s="58">
        <f>IF(AND($H110="threat",$BW110=0.1,$BV110=0.1),$D110 &amp; ";","")</f>
        <v/>
      </c>
      <c r="CU110" s="58">
        <f>IF(AND($H110="threat",$BW110=0.1,$BV110=0.2),$D110 &amp; ";","")</f>
        <v/>
      </c>
      <c r="CV110" s="58">
        <f>IF(AND($H110="threat",$BW110=0.1,$BV110=0.4),$D110 &amp; ";","")</f>
        <v/>
      </c>
      <c r="CW110" s="58">
        <f>IF(AND($H110="threat",$BW110=0.1,$BV110=0.8),$D110 &amp; ";","")</f>
        <v/>
      </c>
      <c r="CX110" s="39" t="n"/>
      <c r="CY110" s="58">
        <f>IF(AND($H110="opportunity",$BW110=0.9,$BV110=0.8),$D110 &amp; ";","")</f>
        <v/>
      </c>
      <c r="CZ110" s="58">
        <f>IF(AND($H110="opportunity",$BW110=0.9,$BV110=0.4),$D110 &amp; ";","")</f>
        <v/>
      </c>
      <c r="DA110" s="58">
        <f>IF(AND($H110="opportunity",$BW110=0.9,$BV110=0.2),$D110 &amp; ";","")</f>
        <v/>
      </c>
      <c r="DB110" s="58">
        <f>IF(AND($H110="opportunity",$BW110=0.9,$BV110=0.1),$D110 &amp; ";","")</f>
        <v/>
      </c>
      <c r="DC110" s="58">
        <f>IF(AND($H110="opportunity",$BW110=0.9,$BV110=0.05),$D110 &amp; ";","")</f>
        <v/>
      </c>
      <c r="DD110" s="58">
        <f>IF(AND($H110="opportunity",$BW110=0.7,$BV110=0.8),$D110 &amp; ";","")</f>
        <v/>
      </c>
      <c r="DE110" s="58">
        <f>IF(AND($H110="opportunity",$BW110=0.7,$BV110=0.4),$D110 &amp; ";","")</f>
        <v/>
      </c>
      <c r="DF110" s="58">
        <f>IF(AND($H110="opportunity",$BW110=0.7,$BV110=0.2),$D110 &amp; ";","")</f>
        <v/>
      </c>
      <c r="DG110" s="58">
        <f>IF(AND($H110="opportunity",$BW110=0.7,$BV110=0.1),$D110 &amp; ";","")</f>
        <v/>
      </c>
      <c r="DH110" s="58">
        <f>IF(AND($H110="opportunity",$BW110=0.7,$BV110=0.05),$D110 &amp; ";","")</f>
        <v/>
      </c>
      <c r="DI110" s="58">
        <f>IF(AND($H110="opportunity",$BW110=0.5,$BV110=0.8),$D110 &amp; ";","")</f>
        <v/>
      </c>
      <c r="DJ110" s="58">
        <f>IF(AND($H110="opportunity",$BW110=0.5,$BV110=0.4),$D110 &amp; ";","")</f>
        <v/>
      </c>
      <c r="DK110" s="58">
        <f>IF(AND($H110="opportunity",$BW110=0.5,$BV110=0.2),$D110 &amp; ";","")</f>
        <v/>
      </c>
      <c r="DL110" s="58">
        <f>IF(AND($H110="opportunity",$BW110=0.5,$BV110=0.1),$D110 &amp; ";","")</f>
        <v/>
      </c>
      <c r="DM110" s="58">
        <f>IF(AND($H110="opportunity",$BW110=0.5,$BV110=0.05),$D110 &amp; ";","")</f>
        <v/>
      </c>
      <c r="DN110" s="58">
        <f>IF(AND($H110="opportunity",$BW110=0.3,$BV110=0.8),$D110 &amp; ";","")</f>
        <v/>
      </c>
      <c r="DO110" s="58">
        <f>IF(AND($H110="opportunity",$BW110=0.3,$BV110=0.4),$D110 &amp; ";","")</f>
        <v/>
      </c>
      <c r="DP110" s="58">
        <f>IF(AND($H110="opportunity",$BW110=0.3,$BV110=0.2),$D110 &amp; ";","")</f>
        <v/>
      </c>
      <c r="DQ110" s="58">
        <f>IF(AND($H110="opportunity",$BW110=0.3,$BV110=0.1),$D110 &amp; ";","")</f>
        <v/>
      </c>
      <c r="DR110" s="58">
        <f>IF(AND($H110="opportunity",$BW110=0.3,$BV110=0.05),$D110 &amp; ";","")</f>
        <v/>
      </c>
      <c r="DS110" s="58">
        <f>IF(AND($H110="opportunity",$BW110=0.1,$BV110=0.8),$D110 &amp; ";","")</f>
        <v/>
      </c>
      <c r="DT110" s="58">
        <f>IF(AND($H110="opportunity",$BW110=0.1,$BV110=0.4),$D110 &amp; ";","")</f>
        <v/>
      </c>
      <c r="DU110" s="58">
        <f>IF(AND($H110="opportunity",$BW110=0.1,$BV110=0.2),$D110 &amp; ";","")</f>
        <v/>
      </c>
      <c r="DV110" s="58">
        <f>IF(AND($H110="opportunity",$BW110=0.1,$BV110=0.1),$D110 &amp; ";","")</f>
        <v/>
      </c>
      <c r="DW110" s="58">
        <f>IF(AND($H110="opportunity",$BW110=0.1,$BV110=0.05),$D110 &amp; ";","")</f>
        <v/>
      </c>
    </row>
    <row r="111">
      <c r="D111" s="60">
        <f>INDIRECT(ADDRESS(ROW()-22,COLUMN()-2,1,1,"Risk Register"))</f>
        <v/>
      </c>
      <c r="E111" s="143">
        <f>INDIRECT(ADDRESS(ROW()-22,COLUMN()-1,1,1,"Risk Register"))</f>
        <v/>
      </c>
      <c r="G111" s="56">
        <f>INDIRECT(ADDRESS(ROW()-22,COLUMN()+10,1,1,"Risk Register"))</f>
        <v/>
      </c>
      <c r="H111" s="60">
        <f>INDIRECT(ADDRESS(ROW()-22,COLUMN()+8,1,1,"Risk Register"))</f>
        <v/>
      </c>
      <c r="I111" s="54">
        <f>INDIRECT(ADDRESS(ROW()-22,COLUMN()+3,1,1,"Risk Register"))</f>
        <v/>
      </c>
      <c r="J111" s="143">
        <f>INDIRECT(ADDRESS(ROW()-22,COLUMN()+12,1,1,"Risk Register"))</f>
        <v/>
      </c>
      <c r="K111" s="143">
        <f>INDIRECT(ADDRESS(ROW()-22,COLUMN()-2,1,1,"Risk Register"))</f>
        <v/>
      </c>
      <c r="L111" s="176">
        <f>INDIRECT(ADDRESS(ROW()-22,COLUMN()+15,1,1,"Risk Register"))</f>
        <v/>
      </c>
      <c r="M111" s="54">
        <f>INDIRECT(ADDRESS(ROW()-22,COLUMN()+13,1,1,"Risk Register"))</f>
        <v/>
      </c>
      <c r="N111" s="143">
        <f>INDIRECT(ADDRESS(ROW()-22,COLUMN()-9,1,1,"Risk Register"))</f>
        <v/>
      </c>
      <c r="O111" s="143">
        <f>INDIRECT(ADDRESS(ROW()-22,COLUMN()-8,1,1,"Risk Register"))</f>
        <v/>
      </c>
      <c r="P111" s="56">
        <f>INDIRECT(ADDRESS(ROW()-22,COLUMN()+18,1,1,"Risk Register"))</f>
        <v/>
      </c>
      <c r="R111" s="57">
        <f>INDIRECT(ADDRESS(ROW()-22,COLUMN()-5,1,1,"Risk Register"))</f>
        <v/>
      </c>
      <c r="S111" s="58">
        <f>INDIRECT(ADDRESS(ROW()-22,COLUMN()-4,1,1,"Risk Register"))</f>
        <v/>
      </c>
      <c r="T111" s="59">
        <f>IF(AND($H111="threat",$G111&lt;=0.05),"gn",IF(AND($H111="threat",$G111&lt;=0.14),"y",IF(AND($H111="threat", $G111&gt;=0.15),"r",IF(AND($H111="opportunity",$G111&lt;=0.05),"gn",IF(AND($H111="opportunity",$G111&lt;=0.14),"lb",IF(AND($H111="opportunity",$G111&gt;=0.15),"db","z"))))))</f>
        <v/>
      </c>
      <c r="U111" s="58">
        <f>IF(AND($H111="threat",$S111=0.9,$R111=0.05),$D111 &amp; ";","")</f>
        <v/>
      </c>
      <c r="V111" s="58">
        <f>IF(AND($H111="threat",$S111=0.9,$R111=0.1),$D111 &amp; ";","")</f>
        <v/>
      </c>
      <c r="W111" s="58">
        <f>IF(AND($H111="threat",$S111=0.9,$R111=0.2),$D111 &amp; ";","")</f>
        <v/>
      </c>
      <c r="X111" s="58">
        <f>IF(AND($H111="threat",$S111=0.9,$R111=0.4),$D111 &amp; ";","")</f>
        <v/>
      </c>
      <c r="Y111" s="58">
        <f>IF(AND($H111="threat",$S111=0.9,$R111=0.8),$D111 &amp; ";","")</f>
        <v/>
      </c>
      <c r="Z111" s="58">
        <f>IF(AND($H111="threat",$S111=0.7,$R111=0.05),$D111 &amp; ";","")</f>
        <v/>
      </c>
      <c r="AA111" s="58">
        <f>IF(AND($H111="threat",$S111=0.7,$R111=0.1),$D111 &amp; ";","")</f>
        <v/>
      </c>
      <c r="AB111" s="58">
        <f>IF(AND($H111="threat",$S111=0.7,$R111=0.2),$D111 &amp; ";","")</f>
        <v/>
      </c>
      <c r="AC111" s="58">
        <f>IF(AND($H111="threat",$S111=0.7,$R111=0.4),$D111 &amp; ";","")</f>
        <v/>
      </c>
      <c r="AD111" s="58">
        <f>IF(AND($H111="threat",$S111=0.7,$R111=0.8),$D111 &amp; ";","")</f>
        <v/>
      </c>
      <c r="AE111" s="58">
        <f>IF(AND($H111="threat",$S111=0.5,$R111=0.05),$D111 &amp; ";","")</f>
        <v/>
      </c>
      <c r="AF111" s="58">
        <f>IF(AND($H111="threat",$S111=0.5,$R111=0.1),$D111 &amp; ";","")</f>
        <v/>
      </c>
      <c r="AG111" s="58">
        <f>IF(AND($H111="threat",$S111=0.5,$R111=0.2),$D111 &amp; ";","")</f>
        <v/>
      </c>
      <c r="AH111" s="58">
        <f>IF(AND($H111="threat",$S111=0.5,$R111=0.4),$D111 &amp; ";","")</f>
        <v/>
      </c>
      <c r="AI111" s="58">
        <f>IF(AND($H111="threat",$S111=0.5,$R111=0.8),$D111 &amp; ";","")</f>
        <v/>
      </c>
      <c r="AJ111" s="58">
        <f>IF(AND($H111="threat",$S111=0.3,$R111=0.05),$D111 &amp; ";","")</f>
        <v/>
      </c>
      <c r="AK111" s="58">
        <f>IF(AND($H111="threat",$S111=0.3,$R111=0.1),$D111 &amp; ";","")</f>
        <v/>
      </c>
      <c r="AL111" s="58">
        <f>IF(AND($H111="threat",$S111=0.3,$R111=0.2),$D111 &amp; ";","")</f>
        <v/>
      </c>
      <c r="AM111" s="58">
        <f>IF(AND($H111="threat",$S111=0.3,$R111=0.4),$D111 &amp; ";","")</f>
        <v/>
      </c>
      <c r="AN111" s="58">
        <f>IF(AND($H111="threat",$S111=0.3,$R111=0.8),$D111 &amp; ";","")</f>
        <v/>
      </c>
      <c r="AO111" s="58">
        <f>IF(AND($H111="threat",$S111=0.1,$R111=0.05),$D111 &amp; ";","")</f>
        <v/>
      </c>
      <c r="AP111" s="58">
        <f>IF(AND($H111="threat",$S111=0.1,$R111=0.1),$D111 &amp; ";","")</f>
        <v/>
      </c>
      <c r="AQ111" s="58">
        <f>IF(AND($H111="threat",$S111=0.1,$R111=0.2),$D111 &amp; ";","")</f>
        <v/>
      </c>
      <c r="AR111" s="58">
        <f>IF(AND($H111="threat",$S111=0.1,$R111=0.4),$D111 &amp; ";","")</f>
        <v/>
      </c>
      <c r="AS111" s="58">
        <f>IF(AND($H111="threat",$S111=0.1,$R111=0.8),$D111 &amp; ";","")</f>
        <v/>
      </c>
      <c r="AT111" s="39" t="n"/>
      <c r="AU111" s="58">
        <f>IF(AND($H111="opportunity",$S111=0.9,$R111=0.8),$D111 &amp; ";","")</f>
        <v/>
      </c>
      <c r="AV111" s="58">
        <f>IF(AND($H111="opportunity",$S111=0.9,$R111=0.4),$D111 &amp; ";","")</f>
        <v/>
      </c>
      <c r="AW111" s="58">
        <f>IF(AND($H111="opportunity",$S111=0.9,$R111=0.2),$D111 &amp; ";","")</f>
        <v/>
      </c>
      <c r="AX111" s="58">
        <f>IF(AND($H111="opportunity",$S111=0.9,$R111=0.1),$D111 &amp; ";","")</f>
        <v/>
      </c>
      <c r="AY111" s="58">
        <f>IF(AND($H111="opportunity",$S111=0.9,$R111=0.05),$D111 &amp; ";","")</f>
        <v/>
      </c>
      <c r="AZ111" s="58">
        <f>IF(AND($H111="opportunity",$S111=0.7,$R111=0.8),$D111 &amp; ";","")</f>
        <v/>
      </c>
      <c r="BA111" s="58">
        <f>IF(AND($H111="opportunity",$S111=0.7,$R111=0.4),$D111 &amp; ";","")</f>
        <v/>
      </c>
      <c r="BB111" s="58">
        <f>IF(AND($H111="opportunity",$S111=0.7,$R111=0.2),$D111 &amp; ";","")</f>
        <v/>
      </c>
      <c r="BC111" s="58">
        <f>IF(AND($H111="opportunity",$S111=0.7,$R111=0.1),$D111 &amp; ";","")</f>
        <v/>
      </c>
      <c r="BD111" s="58">
        <f>IF(AND($H111="opportunity",$S111=0.7,$R111=0.05),$D111 &amp; ";","")</f>
        <v/>
      </c>
      <c r="BE111" s="58">
        <f>IF(AND($H111="opportunity",$S111=0.5,$R111=0.8),$D111 &amp; ";","")</f>
        <v/>
      </c>
      <c r="BF111" s="58">
        <f>IF(AND($H111="opportunity",$S111=0.5,$R111=0.4),$D111 &amp; ";","")</f>
        <v/>
      </c>
      <c r="BG111" s="58">
        <f>IF(AND($H111="opportunity",$S111=0.5,$R111=0.2),$D111 &amp; ";","")</f>
        <v/>
      </c>
      <c r="BH111" s="58">
        <f>IF(AND($H111="opportunity",$S111=0.5,$R111=0.1),$D111 &amp; ";","")</f>
        <v/>
      </c>
      <c r="BI111" s="58">
        <f>IF(AND($H111="opportunity",$S111=0.5,$R111=0.05),$D111 &amp; ";","")</f>
        <v/>
      </c>
      <c r="BJ111" s="58">
        <f>IF(AND($H111="opportunity",$S111=0.3,$R111=0.8),$D111 &amp; ";","")</f>
        <v/>
      </c>
      <c r="BK111" s="58">
        <f>IF(AND($H111="opportunity",$S111=0.3,$R111=0.4),$D111 &amp; ";","")</f>
        <v/>
      </c>
      <c r="BL111" s="58">
        <f>IF(AND($H111="opportunity",$S111=0.3,$R111=0.2),$D111 &amp; ";","")</f>
        <v/>
      </c>
      <c r="BM111" s="58">
        <f>IF(AND($H111="opportunity",$S111=0.3,$R111=0.1),$D111 &amp; ";","")</f>
        <v/>
      </c>
      <c r="BN111" s="58">
        <f>IF(AND($H111="opportunity",$S111=0.3,$R111=0.05),$D111 &amp; ";","")</f>
        <v/>
      </c>
      <c r="BO111" s="58">
        <f>IF(AND($H111="opportunity",$S111=0.1,$R111=0.8),$D111 &amp; ";","")</f>
        <v/>
      </c>
      <c r="BP111" s="58">
        <f>IF(AND($H111="opportunity",$S111=0.1,$R111=0.4),$D111 &amp; ";","")</f>
        <v/>
      </c>
      <c r="BQ111" s="58">
        <f>IF(AND($H111="opportunity",$S111=0.1,$R111=0.2),$D111 &amp; ";","")</f>
        <v/>
      </c>
      <c r="BR111" s="58">
        <f>IF(AND($H111="opportunity",$S111=0.1,$R111=0.1),$D111 &amp; ";","")</f>
        <v/>
      </c>
      <c r="BS111" s="58">
        <f>IF(AND($H111="opportunity",$S111=0.1,$R111=0.05),$D111 &amp; ";","")</f>
        <v/>
      </c>
      <c r="BV111" s="57">
        <f>INDIRECT(ADDRESS(ROW()-22,COLUMN()-45,1,1,"Risk Register"))</f>
        <v/>
      </c>
      <c r="BW111" s="58">
        <f>INDIRECT(ADDRESS(ROW()-22,COLUMN()-44,1,1,"Risk Register"))</f>
        <v/>
      </c>
      <c r="BX111" s="59">
        <f>IF(AND($H111="threat",$P111&lt;=0.05),"gn",IF(AND($H111="threat",$P111&lt;=0.14),"y",IF(AND($H111="threat", $P111&gt;=0.15),"r",IF(AND($H111="opportunity",$P111&lt;=0.05),"gn",IF(AND($H111="opportunity",$P111&lt;=0.14),"lb",IF(AND($H111="opportunity",$P111&gt;=0.15),"db","z"))))))</f>
        <v/>
      </c>
      <c r="BY111" s="58">
        <f>IF(AND($H111="threat",$BW111=0.9,$BV111=0.05),$D111 &amp; ";","")</f>
        <v/>
      </c>
      <c r="BZ111" s="58">
        <f>IF(AND($H111="threat",$BW111=0.9,$BV111=0.1),$D111 &amp; ";","")</f>
        <v/>
      </c>
      <c r="CA111" s="58">
        <f>IF(AND($H111="threat",$BW111=0.9,$BV111=0.2),$D111 &amp; ";","")</f>
        <v/>
      </c>
      <c r="CB111" s="58">
        <f>IF(AND($H111="threat",$BW111=0.9,$BV111=0.4),$D111 &amp; ";","")</f>
        <v/>
      </c>
      <c r="CC111" s="58">
        <f>IF(AND($H111="threat",$BW111=0.9,$BV111=0.8),$D111 &amp; ";","")</f>
        <v/>
      </c>
      <c r="CD111" s="58">
        <f>IF(AND($H111="threat",$BW111=0.7,$BV111=0.05),$D111 &amp; ";","")</f>
        <v/>
      </c>
      <c r="CE111" s="58">
        <f>IF(AND($H111="threat",$BW111=0.7,$BV111=0.1),$D111 &amp; ";","")</f>
        <v/>
      </c>
      <c r="CF111" s="58">
        <f>IF(AND($H111="threat",$BW111=0.7,$BV111=0.2),$D111 &amp; ";","")</f>
        <v/>
      </c>
      <c r="CG111" s="58">
        <f>IF(AND($H111="threat",$BW111=0.7,$BV111=0.4),$D111 &amp; ";","")</f>
        <v/>
      </c>
      <c r="CH111" s="58">
        <f>IF(AND($H111="threat",$BW111=0.7,$BV111=0.8),$D111 &amp; ";","")</f>
        <v/>
      </c>
      <c r="CI111" s="58">
        <f>IF(AND($H111="threat",$BW111=0.5,$BV111=0.05),$D111 &amp; ";","")</f>
        <v/>
      </c>
      <c r="CJ111" s="58">
        <f>IF(AND($H111="threat",$BW111=0.5,$BV111=0.1),$D111 &amp; ";","")</f>
        <v/>
      </c>
      <c r="CK111" s="58">
        <f>IF(AND($H111="threat",$BW111=0.5,$BV111=0.2),$D111 &amp; ";","")</f>
        <v/>
      </c>
      <c r="CL111" s="58">
        <f>IF(AND($H111="threat",$BW111=0.5,$BV111=0.4),$D111 &amp; ";","")</f>
        <v/>
      </c>
      <c r="CM111" s="58">
        <f>IF(AND($H111="threat",$BW111=0.5,$BV111=0.8),$D111 &amp; ";","")</f>
        <v/>
      </c>
      <c r="CN111" s="58">
        <f>IF(AND($H111="threat",$BW111=0.3,$BV111=0.05),$D111 &amp; ";","")</f>
        <v/>
      </c>
      <c r="CO111" s="58">
        <f>IF(AND($H111="threat",$BW111=0.3,$BV111=0.1),$D111 &amp; ";","")</f>
        <v/>
      </c>
      <c r="CP111" s="58">
        <f>IF(AND($H111="threat",$BW111=0.3,$BV111=0.2),$D111 &amp; ";","")</f>
        <v/>
      </c>
      <c r="CQ111" s="58">
        <f>IF(AND($H111="threat",$BW111=0.3,$BV111=0.4),$D111 &amp; ";","")</f>
        <v/>
      </c>
      <c r="CR111" s="58">
        <f>IF(AND($H111="threat",$BW111=0.3,$BV111=0.8),$D111 &amp; ";","")</f>
        <v/>
      </c>
      <c r="CS111" s="58">
        <f>IF(AND($H111="threat",$BW111=0.1,$BV111=0.05),$D111 &amp; ";","")</f>
        <v/>
      </c>
      <c r="CT111" s="58">
        <f>IF(AND($H111="threat",$BW111=0.1,$BV111=0.1),$D111 &amp; ";","")</f>
        <v/>
      </c>
      <c r="CU111" s="58">
        <f>IF(AND($H111="threat",$BW111=0.1,$BV111=0.2),$D111 &amp; ";","")</f>
        <v/>
      </c>
      <c r="CV111" s="58">
        <f>IF(AND($H111="threat",$BW111=0.1,$BV111=0.4),$D111 &amp; ";","")</f>
        <v/>
      </c>
      <c r="CW111" s="58">
        <f>IF(AND($H111="threat",$BW111=0.1,$BV111=0.8),$D111 &amp; ";","")</f>
        <v/>
      </c>
      <c r="CX111" s="39" t="n"/>
      <c r="CY111" s="58">
        <f>IF(AND($H111="opportunity",$BW111=0.9,$BV111=0.8),$D111 &amp; ";","")</f>
        <v/>
      </c>
      <c r="CZ111" s="58">
        <f>IF(AND($H111="opportunity",$BW111=0.9,$BV111=0.4),$D111 &amp; ";","")</f>
        <v/>
      </c>
      <c r="DA111" s="58">
        <f>IF(AND($H111="opportunity",$BW111=0.9,$BV111=0.2),$D111 &amp; ";","")</f>
        <v/>
      </c>
      <c r="DB111" s="58">
        <f>IF(AND($H111="opportunity",$BW111=0.9,$BV111=0.1),$D111 &amp; ";","")</f>
        <v/>
      </c>
      <c r="DC111" s="58">
        <f>IF(AND($H111="opportunity",$BW111=0.9,$BV111=0.05),$D111 &amp; ";","")</f>
        <v/>
      </c>
      <c r="DD111" s="58">
        <f>IF(AND($H111="opportunity",$BW111=0.7,$BV111=0.8),$D111 &amp; ";","")</f>
        <v/>
      </c>
      <c r="DE111" s="58">
        <f>IF(AND($H111="opportunity",$BW111=0.7,$BV111=0.4),$D111 &amp; ";","")</f>
        <v/>
      </c>
      <c r="DF111" s="58">
        <f>IF(AND($H111="opportunity",$BW111=0.7,$BV111=0.2),$D111 &amp; ";","")</f>
        <v/>
      </c>
      <c r="DG111" s="58">
        <f>IF(AND($H111="opportunity",$BW111=0.7,$BV111=0.1),$D111 &amp; ";","")</f>
        <v/>
      </c>
      <c r="DH111" s="58">
        <f>IF(AND($H111="opportunity",$BW111=0.7,$BV111=0.05),$D111 &amp; ";","")</f>
        <v/>
      </c>
      <c r="DI111" s="58">
        <f>IF(AND($H111="opportunity",$BW111=0.5,$BV111=0.8),$D111 &amp; ";","")</f>
        <v/>
      </c>
      <c r="DJ111" s="58">
        <f>IF(AND($H111="opportunity",$BW111=0.5,$BV111=0.4),$D111 &amp; ";","")</f>
        <v/>
      </c>
      <c r="DK111" s="58">
        <f>IF(AND($H111="opportunity",$BW111=0.5,$BV111=0.2),$D111 &amp; ";","")</f>
        <v/>
      </c>
      <c r="DL111" s="58">
        <f>IF(AND($H111="opportunity",$BW111=0.5,$BV111=0.1),$D111 &amp; ";","")</f>
        <v/>
      </c>
      <c r="DM111" s="58">
        <f>IF(AND($H111="opportunity",$BW111=0.5,$BV111=0.05),$D111 &amp; ";","")</f>
        <v/>
      </c>
      <c r="DN111" s="58">
        <f>IF(AND($H111="opportunity",$BW111=0.3,$BV111=0.8),$D111 &amp; ";","")</f>
        <v/>
      </c>
      <c r="DO111" s="58">
        <f>IF(AND($H111="opportunity",$BW111=0.3,$BV111=0.4),$D111 &amp; ";","")</f>
        <v/>
      </c>
      <c r="DP111" s="58">
        <f>IF(AND($H111="opportunity",$BW111=0.3,$BV111=0.2),$D111 &amp; ";","")</f>
        <v/>
      </c>
      <c r="DQ111" s="58">
        <f>IF(AND($H111="opportunity",$BW111=0.3,$BV111=0.1),$D111 &amp; ";","")</f>
        <v/>
      </c>
      <c r="DR111" s="58">
        <f>IF(AND($H111="opportunity",$BW111=0.3,$BV111=0.05),$D111 &amp; ";","")</f>
        <v/>
      </c>
      <c r="DS111" s="58">
        <f>IF(AND($H111="opportunity",$BW111=0.1,$BV111=0.8),$D111 &amp; ";","")</f>
        <v/>
      </c>
      <c r="DT111" s="58">
        <f>IF(AND($H111="opportunity",$BW111=0.1,$BV111=0.4),$D111 &amp; ";","")</f>
        <v/>
      </c>
      <c r="DU111" s="58">
        <f>IF(AND($H111="opportunity",$BW111=0.1,$BV111=0.2),$D111 &amp; ";","")</f>
        <v/>
      </c>
      <c r="DV111" s="58">
        <f>IF(AND($H111="opportunity",$BW111=0.1,$BV111=0.1),$D111 &amp; ";","")</f>
        <v/>
      </c>
      <c r="DW111" s="58">
        <f>IF(AND($H111="opportunity",$BW111=0.1,$BV111=0.05),$D111 &amp; ";","")</f>
        <v/>
      </c>
    </row>
    <row r="112">
      <c r="D112" s="60">
        <f>INDIRECT(ADDRESS(ROW()-22,COLUMN()-2,1,1,"Risk Register"))</f>
        <v/>
      </c>
      <c r="E112" s="143">
        <f>INDIRECT(ADDRESS(ROW()-22,COLUMN()-1,1,1,"Risk Register"))</f>
        <v/>
      </c>
      <c r="G112" s="56">
        <f>INDIRECT(ADDRESS(ROW()-22,COLUMN()+10,1,1,"Risk Register"))</f>
        <v/>
      </c>
      <c r="H112" s="60">
        <f>INDIRECT(ADDRESS(ROW()-22,COLUMN()+8,1,1,"Risk Register"))</f>
        <v/>
      </c>
      <c r="I112" s="54">
        <f>INDIRECT(ADDRESS(ROW()-22,COLUMN()+3,1,1,"Risk Register"))</f>
        <v/>
      </c>
      <c r="J112" s="143">
        <f>INDIRECT(ADDRESS(ROW()-22,COLUMN()+12,1,1,"Risk Register"))</f>
        <v/>
      </c>
      <c r="K112" s="143">
        <f>INDIRECT(ADDRESS(ROW()-22,COLUMN()-2,1,1,"Risk Register"))</f>
        <v/>
      </c>
      <c r="L112" s="176">
        <f>INDIRECT(ADDRESS(ROW()-22,COLUMN()+15,1,1,"Risk Register"))</f>
        <v/>
      </c>
      <c r="M112" s="54">
        <f>INDIRECT(ADDRESS(ROW()-22,COLUMN()+13,1,1,"Risk Register"))</f>
        <v/>
      </c>
      <c r="N112" s="143">
        <f>INDIRECT(ADDRESS(ROW()-22,COLUMN()-9,1,1,"Risk Register"))</f>
        <v/>
      </c>
      <c r="O112" s="143">
        <f>INDIRECT(ADDRESS(ROW()-22,COLUMN()-8,1,1,"Risk Register"))</f>
        <v/>
      </c>
      <c r="P112" s="56">
        <f>INDIRECT(ADDRESS(ROW()-22,COLUMN()+18,1,1,"Risk Register"))</f>
        <v/>
      </c>
      <c r="R112" s="57">
        <f>INDIRECT(ADDRESS(ROW()-22,COLUMN()-5,1,1,"Risk Register"))</f>
        <v/>
      </c>
      <c r="S112" s="58">
        <f>INDIRECT(ADDRESS(ROW()-22,COLUMN()-4,1,1,"Risk Register"))</f>
        <v/>
      </c>
      <c r="T112" s="59">
        <f>IF(AND($H112="threat",$G112&lt;=0.05),"gn",IF(AND($H112="threat",$G112&lt;=0.14),"y",IF(AND($H112="threat", $G112&gt;=0.15),"r",IF(AND($H112="opportunity",$G112&lt;=0.05),"gn",IF(AND($H112="opportunity",$G112&lt;=0.14),"lb",IF(AND($H112="opportunity",$G112&gt;=0.15),"db","z"))))))</f>
        <v/>
      </c>
      <c r="U112" s="58">
        <f>IF(AND($H112="threat",$S112=0.9,$R112=0.05),$D112 &amp; ";","")</f>
        <v/>
      </c>
      <c r="V112" s="58">
        <f>IF(AND($H112="threat",$S112=0.9,$R112=0.1),$D112 &amp; ";","")</f>
        <v/>
      </c>
      <c r="W112" s="58">
        <f>IF(AND($H112="threat",$S112=0.9,$R112=0.2),$D112 &amp; ";","")</f>
        <v/>
      </c>
      <c r="X112" s="58">
        <f>IF(AND($H112="threat",$S112=0.9,$R112=0.4),$D112 &amp; ";","")</f>
        <v/>
      </c>
      <c r="Y112" s="58">
        <f>IF(AND($H112="threat",$S112=0.9,$R112=0.8),$D112 &amp; ";","")</f>
        <v/>
      </c>
      <c r="Z112" s="58">
        <f>IF(AND($H112="threat",$S112=0.7,$R112=0.05),$D112 &amp; ";","")</f>
        <v/>
      </c>
      <c r="AA112" s="58">
        <f>IF(AND($H112="threat",$S112=0.7,$R112=0.1),$D112 &amp; ";","")</f>
        <v/>
      </c>
      <c r="AB112" s="58">
        <f>IF(AND($H112="threat",$S112=0.7,$R112=0.2),$D112 &amp; ";","")</f>
        <v/>
      </c>
      <c r="AC112" s="58">
        <f>IF(AND($H112="threat",$S112=0.7,$R112=0.4),$D112 &amp; ";","")</f>
        <v/>
      </c>
      <c r="AD112" s="58">
        <f>IF(AND($H112="threat",$S112=0.7,$R112=0.8),$D112 &amp; ";","")</f>
        <v/>
      </c>
      <c r="AE112" s="58">
        <f>IF(AND($H112="threat",$S112=0.5,$R112=0.05),$D112 &amp; ";","")</f>
        <v/>
      </c>
      <c r="AF112" s="58">
        <f>IF(AND($H112="threat",$S112=0.5,$R112=0.1),$D112 &amp; ";","")</f>
        <v/>
      </c>
      <c r="AG112" s="58">
        <f>IF(AND($H112="threat",$S112=0.5,$R112=0.2),$D112 &amp; ";","")</f>
        <v/>
      </c>
      <c r="AH112" s="58">
        <f>IF(AND($H112="threat",$S112=0.5,$R112=0.4),$D112 &amp; ";","")</f>
        <v/>
      </c>
      <c r="AI112" s="58">
        <f>IF(AND($H112="threat",$S112=0.5,$R112=0.8),$D112 &amp; ";","")</f>
        <v/>
      </c>
      <c r="AJ112" s="58">
        <f>IF(AND($H112="threat",$S112=0.3,$R112=0.05),$D112 &amp; ";","")</f>
        <v/>
      </c>
      <c r="AK112" s="58">
        <f>IF(AND($H112="threat",$S112=0.3,$R112=0.1),$D112 &amp; ";","")</f>
        <v/>
      </c>
      <c r="AL112" s="58">
        <f>IF(AND($H112="threat",$S112=0.3,$R112=0.2),$D112 &amp; ";","")</f>
        <v/>
      </c>
      <c r="AM112" s="58">
        <f>IF(AND($H112="threat",$S112=0.3,$R112=0.4),$D112 &amp; ";","")</f>
        <v/>
      </c>
      <c r="AN112" s="58">
        <f>IF(AND($H112="threat",$S112=0.3,$R112=0.8),$D112 &amp; ";","")</f>
        <v/>
      </c>
      <c r="AO112" s="58">
        <f>IF(AND($H112="threat",$S112=0.1,$R112=0.05),$D112 &amp; ";","")</f>
        <v/>
      </c>
      <c r="AP112" s="58">
        <f>IF(AND($H112="threat",$S112=0.1,$R112=0.1),$D112 &amp; ";","")</f>
        <v/>
      </c>
      <c r="AQ112" s="58">
        <f>IF(AND($H112="threat",$S112=0.1,$R112=0.2),$D112 &amp; ";","")</f>
        <v/>
      </c>
      <c r="AR112" s="58">
        <f>IF(AND($H112="threat",$S112=0.1,$R112=0.4),$D112 &amp; ";","")</f>
        <v/>
      </c>
      <c r="AS112" s="58">
        <f>IF(AND($H112="threat",$S112=0.1,$R112=0.8),$D112 &amp; ";","")</f>
        <v/>
      </c>
      <c r="AT112" s="39" t="n"/>
      <c r="AU112" s="58">
        <f>IF(AND($H112="opportunity",$S112=0.9,$R112=0.8),$D112 &amp; ";","")</f>
        <v/>
      </c>
      <c r="AV112" s="58">
        <f>IF(AND($H112="opportunity",$S112=0.9,$R112=0.4),$D112 &amp; ";","")</f>
        <v/>
      </c>
      <c r="AW112" s="58">
        <f>IF(AND($H112="opportunity",$S112=0.9,$R112=0.2),$D112 &amp; ";","")</f>
        <v/>
      </c>
      <c r="AX112" s="58">
        <f>IF(AND($H112="opportunity",$S112=0.9,$R112=0.1),$D112 &amp; ";","")</f>
        <v/>
      </c>
      <c r="AY112" s="58">
        <f>IF(AND($H112="opportunity",$S112=0.9,$R112=0.05),$D112 &amp; ";","")</f>
        <v/>
      </c>
      <c r="AZ112" s="58">
        <f>IF(AND($H112="opportunity",$S112=0.7,$R112=0.8),$D112 &amp; ";","")</f>
        <v/>
      </c>
      <c r="BA112" s="58">
        <f>IF(AND($H112="opportunity",$S112=0.7,$R112=0.4),$D112 &amp; ";","")</f>
        <v/>
      </c>
      <c r="BB112" s="58">
        <f>IF(AND($H112="opportunity",$S112=0.7,$R112=0.2),$D112 &amp; ";","")</f>
        <v/>
      </c>
      <c r="BC112" s="58">
        <f>IF(AND($H112="opportunity",$S112=0.7,$R112=0.1),$D112 &amp; ";","")</f>
        <v/>
      </c>
      <c r="BD112" s="58">
        <f>IF(AND($H112="opportunity",$S112=0.7,$R112=0.05),$D112 &amp; ";","")</f>
        <v/>
      </c>
      <c r="BE112" s="58">
        <f>IF(AND($H112="opportunity",$S112=0.5,$R112=0.8),$D112 &amp; ";","")</f>
        <v/>
      </c>
      <c r="BF112" s="58">
        <f>IF(AND($H112="opportunity",$S112=0.5,$R112=0.4),$D112 &amp; ";","")</f>
        <v/>
      </c>
      <c r="BG112" s="58">
        <f>IF(AND($H112="opportunity",$S112=0.5,$R112=0.2),$D112 &amp; ";","")</f>
        <v/>
      </c>
      <c r="BH112" s="58">
        <f>IF(AND($H112="opportunity",$S112=0.5,$R112=0.1),$D112 &amp; ";","")</f>
        <v/>
      </c>
      <c r="BI112" s="58">
        <f>IF(AND($H112="opportunity",$S112=0.5,$R112=0.05),$D112 &amp; ";","")</f>
        <v/>
      </c>
      <c r="BJ112" s="58">
        <f>IF(AND($H112="opportunity",$S112=0.3,$R112=0.8),$D112 &amp; ";","")</f>
        <v/>
      </c>
      <c r="BK112" s="58">
        <f>IF(AND($H112="opportunity",$S112=0.3,$R112=0.4),$D112 &amp; ";","")</f>
        <v/>
      </c>
      <c r="BL112" s="58">
        <f>IF(AND($H112="opportunity",$S112=0.3,$R112=0.2),$D112 &amp; ";","")</f>
        <v/>
      </c>
      <c r="BM112" s="58">
        <f>IF(AND($H112="opportunity",$S112=0.3,$R112=0.1),$D112 &amp; ";","")</f>
        <v/>
      </c>
      <c r="BN112" s="58">
        <f>IF(AND($H112="opportunity",$S112=0.3,$R112=0.05),$D112 &amp; ";","")</f>
        <v/>
      </c>
      <c r="BO112" s="58">
        <f>IF(AND($H112="opportunity",$S112=0.1,$R112=0.8),$D112 &amp; ";","")</f>
        <v/>
      </c>
      <c r="BP112" s="58">
        <f>IF(AND($H112="opportunity",$S112=0.1,$R112=0.4),$D112 &amp; ";","")</f>
        <v/>
      </c>
      <c r="BQ112" s="58">
        <f>IF(AND($H112="opportunity",$S112=0.1,$R112=0.2),$D112 &amp; ";","")</f>
        <v/>
      </c>
      <c r="BR112" s="58">
        <f>IF(AND($H112="opportunity",$S112=0.1,$R112=0.1),$D112 &amp; ";","")</f>
        <v/>
      </c>
      <c r="BS112" s="58">
        <f>IF(AND($H112="opportunity",$S112=0.1,$R112=0.05),$D112 &amp; ";","")</f>
        <v/>
      </c>
      <c r="BV112" s="57">
        <f>INDIRECT(ADDRESS(ROW()-22,COLUMN()-45,1,1,"Risk Register"))</f>
        <v/>
      </c>
      <c r="BW112" s="58">
        <f>INDIRECT(ADDRESS(ROW()-22,COLUMN()-44,1,1,"Risk Register"))</f>
        <v/>
      </c>
      <c r="BX112" s="59">
        <f>IF(AND($H112="threat",$P112&lt;=0.05),"gn",IF(AND($H112="threat",$P112&lt;=0.14),"y",IF(AND($H112="threat", $P112&gt;=0.15),"r",IF(AND($H112="opportunity",$P112&lt;=0.05),"gn",IF(AND($H112="opportunity",$P112&lt;=0.14),"lb",IF(AND($H112="opportunity",$P112&gt;=0.15),"db","z"))))))</f>
        <v/>
      </c>
      <c r="BY112" s="58">
        <f>IF(AND($H112="threat",$BW112=0.9,$BV112=0.05),$D112 &amp; ";","")</f>
        <v/>
      </c>
      <c r="BZ112" s="58">
        <f>IF(AND($H112="threat",$BW112=0.9,$BV112=0.1),$D112 &amp; ";","")</f>
        <v/>
      </c>
      <c r="CA112" s="58">
        <f>IF(AND($H112="threat",$BW112=0.9,$BV112=0.2),$D112 &amp; ";","")</f>
        <v/>
      </c>
      <c r="CB112" s="58">
        <f>IF(AND($H112="threat",$BW112=0.9,$BV112=0.4),$D112 &amp; ";","")</f>
        <v/>
      </c>
      <c r="CC112" s="58">
        <f>IF(AND($H112="threat",$BW112=0.9,$BV112=0.8),$D112 &amp; ";","")</f>
        <v/>
      </c>
      <c r="CD112" s="58">
        <f>IF(AND($H112="threat",$BW112=0.7,$BV112=0.05),$D112 &amp; ";","")</f>
        <v/>
      </c>
      <c r="CE112" s="58">
        <f>IF(AND($H112="threat",$BW112=0.7,$BV112=0.1),$D112 &amp; ";","")</f>
        <v/>
      </c>
      <c r="CF112" s="58">
        <f>IF(AND($H112="threat",$BW112=0.7,$BV112=0.2),$D112 &amp; ";","")</f>
        <v/>
      </c>
      <c r="CG112" s="58">
        <f>IF(AND($H112="threat",$BW112=0.7,$BV112=0.4),$D112 &amp; ";","")</f>
        <v/>
      </c>
      <c r="CH112" s="58">
        <f>IF(AND($H112="threat",$BW112=0.7,$BV112=0.8),$D112 &amp; ";","")</f>
        <v/>
      </c>
      <c r="CI112" s="58">
        <f>IF(AND($H112="threat",$BW112=0.5,$BV112=0.05),$D112 &amp; ";","")</f>
        <v/>
      </c>
      <c r="CJ112" s="58">
        <f>IF(AND($H112="threat",$BW112=0.5,$BV112=0.1),$D112 &amp; ";","")</f>
        <v/>
      </c>
      <c r="CK112" s="58">
        <f>IF(AND($H112="threat",$BW112=0.5,$BV112=0.2),$D112 &amp; ";","")</f>
        <v/>
      </c>
      <c r="CL112" s="58">
        <f>IF(AND($H112="threat",$BW112=0.5,$BV112=0.4),$D112 &amp; ";","")</f>
        <v/>
      </c>
      <c r="CM112" s="58">
        <f>IF(AND($H112="threat",$BW112=0.5,$BV112=0.8),$D112 &amp; ";","")</f>
        <v/>
      </c>
      <c r="CN112" s="58">
        <f>IF(AND($H112="threat",$BW112=0.3,$BV112=0.05),$D112 &amp; ";","")</f>
        <v/>
      </c>
      <c r="CO112" s="58">
        <f>IF(AND($H112="threat",$BW112=0.3,$BV112=0.1),$D112 &amp; ";","")</f>
        <v/>
      </c>
      <c r="CP112" s="58">
        <f>IF(AND($H112="threat",$BW112=0.3,$BV112=0.2),$D112 &amp; ";","")</f>
        <v/>
      </c>
      <c r="CQ112" s="58">
        <f>IF(AND($H112="threat",$BW112=0.3,$BV112=0.4),$D112 &amp; ";","")</f>
        <v/>
      </c>
      <c r="CR112" s="58">
        <f>IF(AND($H112="threat",$BW112=0.3,$BV112=0.8),$D112 &amp; ";","")</f>
        <v/>
      </c>
      <c r="CS112" s="58">
        <f>IF(AND($H112="threat",$BW112=0.1,$BV112=0.05),$D112 &amp; ";","")</f>
        <v/>
      </c>
      <c r="CT112" s="58">
        <f>IF(AND($H112="threat",$BW112=0.1,$BV112=0.1),$D112 &amp; ";","")</f>
        <v/>
      </c>
      <c r="CU112" s="58">
        <f>IF(AND($H112="threat",$BW112=0.1,$BV112=0.2),$D112 &amp; ";","")</f>
        <v/>
      </c>
      <c r="CV112" s="58">
        <f>IF(AND($H112="threat",$BW112=0.1,$BV112=0.4),$D112 &amp; ";","")</f>
        <v/>
      </c>
      <c r="CW112" s="58">
        <f>IF(AND($H112="threat",$BW112=0.1,$BV112=0.8),$D112 &amp; ";","")</f>
        <v/>
      </c>
      <c r="CX112" s="39" t="n"/>
      <c r="CY112" s="58">
        <f>IF(AND($H112="opportunity",$BW112=0.9,$BV112=0.8),$D112 &amp; ";","")</f>
        <v/>
      </c>
      <c r="CZ112" s="58">
        <f>IF(AND($H112="opportunity",$BW112=0.9,$BV112=0.4),$D112 &amp; ";","")</f>
        <v/>
      </c>
      <c r="DA112" s="58">
        <f>IF(AND($H112="opportunity",$BW112=0.9,$BV112=0.2),$D112 &amp; ";","")</f>
        <v/>
      </c>
      <c r="DB112" s="58">
        <f>IF(AND($H112="opportunity",$BW112=0.9,$BV112=0.1),$D112 &amp; ";","")</f>
        <v/>
      </c>
      <c r="DC112" s="58">
        <f>IF(AND($H112="opportunity",$BW112=0.9,$BV112=0.05),$D112 &amp; ";","")</f>
        <v/>
      </c>
      <c r="DD112" s="58">
        <f>IF(AND($H112="opportunity",$BW112=0.7,$BV112=0.8),$D112 &amp; ";","")</f>
        <v/>
      </c>
      <c r="DE112" s="58">
        <f>IF(AND($H112="opportunity",$BW112=0.7,$BV112=0.4),$D112 &amp; ";","")</f>
        <v/>
      </c>
      <c r="DF112" s="58">
        <f>IF(AND($H112="opportunity",$BW112=0.7,$BV112=0.2),$D112 &amp; ";","")</f>
        <v/>
      </c>
      <c r="DG112" s="58">
        <f>IF(AND($H112="opportunity",$BW112=0.7,$BV112=0.1),$D112 &amp; ";","")</f>
        <v/>
      </c>
      <c r="DH112" s="58">
        <f>IF(AND($H112="opportunity",$BW112=0.7,$BV112=0.05),$D112 &amp; ";","")</f>
        <v/>
      </c>
      <c r="DI112" s="58">
        <f>IF(AND($H112="opportunity",$BW112=0.5,$BV112=0.8),$D112 &amp; ";","")</f>
        <v/>
      </c>
      <c r="DJ112" s="58">
        <f>IF(AND($H112="opportunity",$BW112=0.5,$BV112=0.4),$D112 &amp; ";","")</f>
        <v/>
      </c>
      <c r="DK112" s="58">
        <f>IF(AND($H112="opportunity",$BW112=0.5,$BV112=0.2),$D112 &amp; ";","")</f>
        <v/>
      </c>
      <c r="DL112" s="58">
        <f>IF(AND($H112="opportunity",$BW112=0.5,$BV112=0.1),$D112 &amp; ";","")</f>
        <v/>
      </c>
      <c r="DM112" s="58">
        <f>IF(AND($H112="opportunity",$BW112=0.5,$BV112=0.05),$D112 &amp; ";","")</f>
        <v/>
      </c>
      <c r="DN112" s="58">
        <f>IF(AND($H112="opportunity",$BW112=0.3,$BV112=0.8),$D112 &amp; ";","")</f>
        <v/>
      </c>
      <c r="DO112" s="58">
        <f>IF(AND($H112="opportunity",$BW112=0.3,$BV112=0.4),$D112 &amp; ";","")</f>
        <v/>
      </c>
      <c r="DP112" s="58">
        <f>IF(AND($H112="opportunity",$BW112=0.3,$BV112=0.2),$D112 &amp; ";","")</f>
        <v/>
      </c>
      <c r="DQ112" s="58">
        <f>IF(AND($H112="opportunity",$BW112=0.3,$BV112=0.1),$D112 &amp; ";","")</f>
        <v/>
      </c>
      <c r="DR112" s="58">
        <f>IF(AND($H112="opportunity",$BW112=0.3,$BV112=0.05),$D112 &amp; ";","")</f>
        <v/>
      </c>
      <c r="DS112" s="58">
        <f>IF(AND($H112="opportunity",$BW112=0.1,$BV112=0.8),$D112 &amp; ";","")</f>
        <v/>
      </c>
      <c r="DT112" s="58">
        <f>IF(AND($H112="opportunity",$BW112=0.1,$BV112=0.4),$D112 &amp; ";","")</f>
        <v/>
      </c>
      <c r="DU112" s="58">
        <f>IF(AND($H112="opportunity",$BW112=0.1,$BV112=0.2),$D112 &amp; ";","")</f>
        <v/>
      </c>
      <c r="DV112" s="58">
        <f>IF(AND($H112="opportunity",$BW112=0.1,$BV112=0.1),$D112 &amp; ";","")</f>
        <v/>
      </c>
      <c r="DW112" s="58">
        <f>IF(AND($H112="opportunity",$BW112=0.1,$BV112=0.05),$D112 &amp; ";","")</f>
        <v/>
      </c>
    </row>
    <row r="113">
      <c r="D113" s="60">
        <f>INDIRECT(ADDRESS(ROW()-22,COLUMN()-2,1,1,"Risk Register"))</f>
        <v/>
      </c>
      <c r="E113" s="143">
        <f>INDIRECT(ADDRESS(ROW()-22,COLUMN()-1,1,1,"Risk Register"))</f>
        <v/>
      </c>
      <c r="G113" s="56">
        <f>INDIRECT(ADDRESS(ROW()-22,COLUMN()+10,1,1,"Risk Register"))</f>
        <v/>
      </c>
      <c r="H113" s="60">
        <f>INDIRECT(ADDRESS(ROW()-22,COLUMN()+8,1,1,"Risk Register"))</f>
        <v/>
      </c>
      <c r="I113" s="54">
        <f>INDIRECT(ADDRESS(ROW()-22,COLUMN()+3,1,1,"Risk Register"))</f>
        <v/>
      </c>
      <c r="J113" s="143">
        <f>INDIRECT(ADDRESS(ROW()-22,COLUMN()+12,1,1,"Risk Register"))</f>
        <v/>
      </c>
      <c r="K113" s="143">
        <f>INDIRECT(ADDRESS(ROW()-22,COLUMN()-2,1,1,"Risk Register"))</f>
        <v/>
      </c>
      <c r="L113" s="176">
        <f>INDIRECT(ADDRESS(ROW()-22,COLUMN()+15,1,1,"Risk Register"))</f>
        <v/>
      </c>
      <c r="M113" s="54">
        <f>INDIRECT(ADDRESS(ROW()-22,COLUMN()+13,1,1,"Risk Register"))</f>
        <v/>
      </c>
      <c r="N113" s="143">
        <f>INDIRECT(ADDRESS(ROW()-22,COLUMN()-9,1,1,"Risk Register"))</f>
        <v/>
      </c>
      <c r="O113" s="143">
        <f>INDIRECT(ADDRESS(ROW()-22,COLUMN()-8,1,1,"Risk Register"))</f>
        <v/>
      </c>
      <c r="P113" s="56">
        <f>INDIRECT(ADDRESS(ROW()-22,COLUMN()+18,1,1,"Risk Register"))</f>
        <v/>
      </c>
      <c r="R113" s="57">
        <f>INDIRECT(ADDRESS(ROW()-22,COLUMN()-5,1,1,"Risk Register"))</f>
        <v/>
      </c>
      <c r="S113" s="58">
        <f>INDIRECT(ADDRESS(ROW()-22,COLUMN()-4,1,1,"Risk Register"))</f>
        <v/>
      </c>
      <c r="T113" s="59">
        <f>IF(AND($H113="threat",$G113&lt;=0.05),"gn",IF(AND($H113="threat",$G113&lt;=0.14),"y",IF(AND($H113="threat", $G113&gt;=0.15),"r",IF(AND($H113="opportunity",$G113&lt;=0.05),"gn",IF(AND($H113="opportunity",$G113&lt;=0.14),"lb",IF(AND($H113="opportunity",$G113&gt;=0.15),"db","z"))))))</f>
        <v/>
      </c>
      <c r="U113" s="58">
        <f>IF(AND($H113="threat",$S113=0.9,$R113=0.05),$D113 &amp; ";","")</f>
        <v/>
      </c>
      <c r="V113" s="58">
        <f>IF(AND($H113="threat",$S113=0.9,$R113=0.1),$D113 &amp; ";","")</f>
        <v/>
      </c>
      <c r="W113" s="58">
        <f>IF(AND($H113="threat",$S113=0.9,$R113=0.2),$D113 &amp; ";","")</f>
        <v/>
      </c>
      <c r="X113" s="58">
        <f>IF(AND($H113="threat",$S113=0.9,$R113=0.4),$D113 &amp; ";","")</f>
        <v/>
      </c>
      <c r="Y113" s="58">
        <f>IF(AND($H113="threat",$S113=0.9,$R113=0.8),$D113 &amp; ";","")</f>
        <v/>
      </c>
      <c r="Z113" s="58">
        <f>IF(AND($H113="threat",$S113=0.7,$R113=0.05),$D113 &amp; ";","")</f>
        <v/>
      </c>
      <c r="AA113" s="58">
        <f>IF(AND($H113="threat",$S113=0.7,$R113=0.1),$D113 &amp; ";","")</f>
        <v/>
      </c>
      <c r="AB113" s="58">
        <f>IF(AND($H113="threat",$S113=0.7,$R113=0.2),$D113 &amp; ";","")</f>
        <v/>
      </c>
      <c r="AC113" s="58">
        <f>IF(AND($H113="threat",$S113=0.7,$R113=0.4),$D113 &amp; ";","")</f>
        <v/>
      </c>
      <c r="AD113" s="58">
        <f>IF(AND($H113="threat",$S113=0.7,$R113=0.8),$D113 &amp; ";","")</f>
        <v/>
      </c>
      <c r="AE113" s="58">
        <f>IF(AND($H113="threat",$S113=0.5,$R113=0.05),$D113 &amp; ";","")</f>
        <v/>
      </c>
      <c r="AF113" s="58">
        <f>IF(AND($H113="threat",$S113=0.5,$R113=0.1),$D113 &amp; ";","")</f>
        <v/>
      </c>
      <c r="AG113" s="58">
        <f>IF(AND($H113="threat",$S113=0.5,$R113=0.2),$D113 &amp; ";","")</f>
        <v/>
      </c>
      <c r="AH113" s="58">
        <f>IF(AND($H113="threat",$S113=0.5,$R113=0.4),$D113 &amp; ";","")</f>
        <v/>
      </c>
      <c r="AI113" s="58">
        <f>IF(AND($H113="threat",$S113=0.5,$R113=0.8),$D113 &amp; ";","")</f>
        <v/>
      </c>
      <c r="AJ113" s="58">
        <f>IF(AND($H113="threat",$S113=0.3,$R113=0.05),$D113 &amp; ";","")</f>
        <v/>
      </c>
      <c r="AK113" s="58">
        <f>IF(AND($H113="threat",$S113=0.3,$R113=0.1),$D113 &amp; ";","")</f>
        <v/>
      </c>
      <c r="AL113" s="58">
        <f>IF(AND($H113="threat",$S113=0.3,$R113=0.2),$D113 &amp; ";","")</f>
        <v/>
      </c>
      <c r="AM113" s="58">
        <f>IF(AND($H113="threat",$S113=0.3,$R113=0.4),$D113 &amp; ";","")</f>
        <v/>
      </c>
      <c r="AN113" s="58">
        <f>IF(AND($H113="threat",$S113=0.3,$R113=0.8),$D113 &amp; ";","")</f>
        <v/>
      </c>
      <c r="AO113" s="58">
        <f>IF(AND($H113="threat",$S113=0.1,$R113=0.05),$D113 &amp; ";","")</f>
        <v/>
      </c>
      <c r="AP113" s="58">
        <f>IF(AND($H113="threat",$S113=0.1,$R113=0.1),$D113 &amp; ";","")</f>
        <v/>
      </c>
      <c r="AQ113" s="58">
        <f>IF(AND($H113="threat",$S113=0.1,$R113=0.2),$D113 &amp; ";","")</f>
        <v/>
      </c>
      <c r="AR113" s="58">
        <f>IF(AND($H113="threat",$S113=0.1,$R113=0.4),$D113 &amp; ";","")</f>
        <v/>
      </c>
      <c r="AS113" s="58">
        <f>IF(AND($H113="threat",$S113=0.1,$R113=0.8),$D113 &amp; ";","")</f>
        <v/>
      </c>
      <c r="AT113" s="39" t="n"/>
      <c r="AU113" s="58">
        <f>IF(AND($H113="opportunity",$S113=0.9,$R113=0.8),$D113 &amp; ";","")</f>
        <v/>
      </c>
      <c r="AV113" s="58">
        <f>IF(AND($H113="opportunity",$S113=0.9,$R113=0.4),$D113 &amp; ";","")</f>
        <v/>
      </c>
      <c r="AW113" s="58">
        <f>IF(AND($H113="opportunity",$S113=0.9,$R113=0.2),$D113 &amp; ";","")</f>
        <v/>
      </c>
      <c r="AX113" s="58">
        <f>IF(AND($H113="opportunity",$S113=0.9,$R113=0.1),$D113 &amp; ";","")</f>
        <v/>
      </c>
      <c r="AY113" s="58">
        <f>IF(AND($H113="opportunity",$S113=0.9,$R113=0.05),$D113 &amp; ";","")</f>
        <v/>
      </c>
      <c r="AZ113" s="58">
        <f>IF(AND($H113="opportunity",$S113=0.7,$R113=0.8),$D113 &amp; ";","")</f>
        <v/>
      </c>
      <c r="BA113" s="58">
        <f>IF(AND($H113="opportunity",$S113=0.7,$R113=0.4),$D113 &amp; ";","")</f>
        <v/>
      </c>
      <c r="BB113" s="58">
        <f>IF(AND($H113="opportunity",$S113=0.7,$R113=0.2),$D113 &amp; ";","")</f>
        <v/>
      </c>
      <c r="BC113" s="58">
        <f>IF(AND($H113="opportunity",$S113=0.7,$R113=0.1),$D113 &amp; ";","")</f>
        <v/>
      </c>
      <c r="BD113" s="58">
        <f>IF(AND($H113="opportunity",$S113=0.7,$R113=0.05),$D113 &amp; ";","")</f>
        <v/>
      </c>
      <c r="BE113" s="58">
        <f>IF(AND($H113="opportunity",$S113=0.5,$R113=0.8),$D113 &amp; ";","")</f>
        <v/>
      </c>
      <c r="BF113" s="58">
        <f>IF(AND($H113="opportunity",$S113=0.5,$R113=0.4),$D113 &amp; ";","")</f>
        <v/>
      </c>
      <c r="BG113" s="58">
        <f>IF(AND($H113="opportunity",$S113=0.5,$R113=0.2),$D113 &amp; ";","")</f>
        <v/>
      </c>
      <c r="BH113" s="58">
        <f>IF(AND($H113="opportunity",$S113=0.5,$R113=0.1),$D113 &amp; ";","")</f>
        <v/>
      </c>
      <c r="BI113" s="58">
        <f>IF(AND($H113="opportunity",$S113=0.5,$R113=0.05),$D113 &amp; ";","")</f>
        <v/>
      </c>
      <c r="BJ113" s="58">
        <f>IF(AND($H113="opportunity",$S113=0.3,$R113=0.8),$D113 &amp; ";","")</f>
        <v/>
      </c>
      <c r="BK113" s="58">
        <f>IF(AND($H113="opportunity",$S113=0.3,$R113=0.4),$D113 &amp; ";","")</f>
        <v/>
      </c>
      <c r="BL113" s="58">
        <f>IF(AND($H113="opportunity",$S113=0.3,$R113=0.2),$D113 &amp; ";","")</f>
        <v/>
      </c>
      <c r="BM113" s="58">
        <f>IF(AND($H113="opportunity",$S113=0.3,$R113=0.1),$D113 &amp; ";","")</f>
        <v/>
      </c>
      <c r="BN113" s="58">
        <f>IF(AND($H113="opportunity",$S113=0.3,$R113=0.05),$D113 &amp; ";","")</f>
        <v/>
      </c>
      <c r="BO113" s="58">
        <f>IF(AND($H113="opportunity",$S113=0.1,$R113=0.8),$D113 &amp; ";","")</f>
        <v/>
      </c>
      <c r="BP113" s="58">
        <f>IF(AND($H113="opportunity",$S113=0.1,$R113=0.4),$D113 &amp; ";","")</f>
        <v/>
      </c>
      <c r="BQ113" s="58">
        <f>IF(AND($H113="opportunity",$S113=0.1,$R113=0.2),$D113 &amp; ";","")</f>
        <v/>
      </c>
      <c r="BR113" s="58">
        <f>IF(AND($H113="opportunity",$S113=0.1,$R113=0.1),$D113 &amp; ";","")</f>
        <v/>
      </c>
      <c r="BS113" s="58">
        <f>IF(AND($H113="opportunity",$S113=0.1,$R113=0.05),$D113 &amp; ";","")</f>
        <v/>
      </c>
      <c r="BV113" s="57">
        <f>INDIRECT(ADDRESS(ROW()-22,COLUMN()-45,1,1,"Risk Register"))</f>
        <v/>
      </c>
      <c r="BW113" s="58">
        <f>INDIRECT(ADDRESS(ROW()-22,COLUMN()-44,1,1,"Risk Register"))</f>
        <v/>
      </c>
      <c r="BX113" s="59">
        <f>IF(AND($H113="threat",$P113&lt;=0.05),"gn",IF(AND($H113="threat",$P113&lt;=0.14),"y",IF(AND($H113="threat", $P113&gt;=0.15),"r",IF(AND($H113="opportunity",$P113&lt;=0.05),"gn",IF(AND($H113="opportunity",$P113&lt;=0.14),"lb",IF(AND($H113="opportunity",$P113&gt;=0.15),"db","z"))))))</f>
        <v/>
      </c>
      <c r="BY113" s="58">
        <f>IF(AND($H113="threat",$BW113=0.9,$BV113=0.05),$D113 &amp; ";","")</f>
        <v/>
      </c>
      <c r="BZ113" s="58">
        <f>IF(AND($H113="threat",$BW113=0.9,$BV113=0.1),$D113 &amp; ";","")</f>
        <v/>
      </c>
      <c r="CA113" s="58">
        <f>IF(AND($H113="threat",$BW113=0.9,$BV113=0.2),$D113 &amp; ";","")</f>
        <v/>
      </c>
      <c r="CB113" s="58">
        <f>IF(AND($H113="threat",$BW113=0.9,$BV113=0.4),$D113 &amp; ";","")</f>
        <v/>
      </c>
      <c r="CC113" s="58">
        <f>IF(AND($H113="threat",$BW113=0.9,$BV113=0.8),$D113 &amp; ";","")</f>
        <v/>
      </c>
      <c r="CD113" s="58">
        <f>IF(AND($H113="threat",$BW113=0.7,$BV113=0.05),$D113 &amp; ";","")</f>
        <v/>
      </c>
      <c r="CE113" s="58">
        <f>IF(AND($H113="threat",$BW113=0.7,$BV113=0.1),$D113 &amp; ";","")</f>
        <v/>
      </c>
      <c r="CF113" s="58">
        <f>IF(AND($H113="threat",$BW113=0.7,$BV113=0.2),$D113 &amp; ";","")</f>
        <v/>
      </c>
      <c r="CG113" s="58">
        <f>IF(AND($H113="threat",$BW113=0.7,$BV113=0.4),$D113 &amp; ";","")</f>
        <v/>
      </c>
      <c r="CH113" s="58">
        <f>IF(AND($H113="threat",$BW113=0.7,$BV113=0.8),$D113 &amp; ";","")</f>
        <v/>
      </c>
      <c r="CI113" s="58">
        <f>IF(AND($H113="threat",$BW113=0.5,$BV113=0.05),$D113 &amp; ";","")</f>
        <v/>
      </c>
      <c r="CJ113" s="58">
        <f>IF(AND($H113="threat",$BW113=0.5,$BV113=0.1),$D113 &amp; ";","")</f>
        <v/>
      </c>
      <c r="CK113" s="58">
        <f>IF(AND($H113="threat",$BW113=0.5,$BV113=0.2),$D113 &amp; ";","")</f>
        <v/>
      </c>
      <c r="CL113" s="58">
        <f>IF(AND($H113="threat",$BW113=0.5,$BV113=0.4),$D113 &amp; ";","")</f>
        <v/>
      </c>
      <c r="CM113" s="58">
        <f>IF(AND($H113="threat",$BW113=0.5,$BV113=0.8),$D113 &amp; ";","")</f>
        <v/>
      </c>
      <c r="CN113" s="58">
        <f>IF(AND($H113="threat",$BW113=0.3,$BV113=0.05),$D113 &amp; ";","")</f>
        <v/>
      </c>
      <c r="CO113" s="58">
        <f>IF(AND($H113="threat",$BW113=0.3,$BV113=0.1),$D113 &amp; ";","")</f>
        <v/>
      </c>
      <c r="CP113" s="58">
        <f>IF(AND($H113="threat",$BW113=0.3,$BV113=0.2),$D113 &amp; ";","")</f>
        <v/>
      </c>
      <c r="CQ113" s="58">
        <f>IF(AND($H113="threat",$BW113=0.3,$BV113=0.4),$D113 &amp; ";","")</f>
        <v/>
      </c>
      <c r="CR113" s="58">
        <f>IF(AND($H113="threat",$BW113=0.3,$BV113=0.8),$D113 &amp; ";","")</f>
        <v/>
      </c>
      <c r="CS113" s="58">
        <f>IF(AND($H113="threat",$BW113=0.1,$BV113=0.05),$D113 &amp; ";","")</f>
        <v/>
      </c>
      <c r="CT113" s="58">
        <f>IF(AND($H113="threat",$BW113=0.1,$BV113=0.1),$D113 &amp; ";","")</f>
        <v/>
      </c>
      <c r="CU113" s="58">
        <f>IF(AND($H113="threat",$BW113=0.1,$BV113=0.2),$D113 &amp; ";","")</f>
        <v/>
      </c>
      <c r="CV113" s="58">
        <f>IF(AND($H113="threat",$BW113=0.1,$BV113=0.4),$D113 &amp; ";","")</f>
        <v/>
      </c>
      <c r="CW113" s="58">
        <f>IF(AND($H113="threat",$BW113=0.1,$BV113=0.8),$D113 &amp; ";","")</f>
        <v/>
      </c>
      <c r="CX113" s="39" t="n"/>
      <c r="CY113" s="58">
        <f>IF(AND($H113="opportunity",$BW113=0.9,$BV113=0.8),$D113 &amp; ";","")</f>
        <v/>
      </c>
      <c r="CZ113" s="58">
        <f>IF(AND($H113="opportunity",$BW113=0.9,$BV113=0.4),$D113 &amp; ";","")</f>
        <v/>
      </c>
      <c r="DA113" s="58">
        <f>IF(AND($H113="opportunity",$BW113=0.9,$BV113=0.2),$D113 &amp; ";","")</f>
        <v/>
      </c>
      <c r="DB113" s="58">
        <f>IF(AND($H113="opportunity",$BW113=0.9,$BV113=0.1),$D113 &amp; ";","")</f>
        <v/>
      </c>
      <c r="DC113" s="58">
        <f>IF(AND($H113="opportunity",$BW113=0.9,$BV113=0.05),$D113 &amp; ";","")</f>
        <v/>
      </c>
      <c r="DD113" s="58">
        <f>IF(AND($H113="opportunity",$BW113=0.7,$BV113=0.8),$D113 &amp; ";","")</f>
        <v/>
      </c>
      <c r="DE113" s="58">
        <f>IF(AND($H113="opportunity",$BW113=0.7,$BV113=0.4),$D113 &amp; ";","")</f>
        <v/>
      </c>
      <c r="DF113" s="58">
        <f>IF(AND($H113="opportunity",$BW113=0.7,$BV113=0.2),$D113 &amp; ";","")</f>
        <v/>
      </c>
      <c r="DG113" s="58">
        <f>IF(AND($H113="opportunity",$BW113=0.7,$BV113=0.1),$D113 &amp; ";","")</f>
        <v/>
      </c>
      <c r="DH113" s="58">
        <f>IF(AND($H113="opportunity",$BW113=0.7,$BV113=0.05),$D113 &amp; ";","")</f>
        <v/>
      </c>
      <c r="DI113" s="58">
        <f>IF(AND($H113="opportunity",$BW113=0.5,$BV113=0.8),$D113 &amp; ";","")</f>
        <v/>
      </c>
      <c r="DJ113" s="58">
        <f>IF(AND($H113="opportunity",$BW113=0.5,$BV113=0.4),$D113 &amp; ";","")</f>
        <v/>
      </c>
      <c r="DK113" s="58">
        <f>IF(AND($H113="opportunity",$BW113=0.5,$BV113=0.2),$D113 &amp; ";","")</f>
        <v/>
      </c>
      <c r="DL113" s="58">
        <f>IF(AND($H113="opportunity",$BW113=0.5,$BV113=0.1),$D113 &amp; ";","")</f>
        <v/>
      </c>
      <c r="DM113" s="58">
        <f>IF(AND($H113="opportunity",$BW113=0.5,$BV113=0.05),$D113 &amp; ";","")</f>
        <v/>
      </c>
      <c r="DN113" s="58">
        <f>IF(AND($H113="opportunity",$BW113=0.3,$BV113=0.8),$D113 &amp; ";","")</f>
        <v/>
      </c>
      <c r="DO113" s="58">
        <f>IF(AND($H113="opportunity",$BW113=0.3,$BV113=0.4),$D113 &amp; ";","")</f>
        <v/>
      </c>
      <c r="DP113" s="58">
        <f>IF(AND($H113="opportunity",$BW113=0.3,$BV113=0.2),$D113 &amp; ";","")</f>
        <v/>
      </c>
      <c r="DQ113" s="58">
        <f>IF(AND($H113="opportunity",$BW113=0.3,$BV113=0.1),$D113 &amp; ";","")</f>
        <v/>
      </c>
      <c r="DR113" s="58">
        <f>IF(AND($H113="opportunity",$BW113=0.3,$BV113=0.05),$D113 &amp; ";","")</f>
        <v/>
      </c>
      <c r="DS113" s="58">
        <f>IF(AND($H113="opportunity",$BW113=0.1,$BV113=0.8),$D113 &amp; ";","")</f>
        <v/>
      </c>
      <c r="DT113" s="58">
        <f>IF(AND($H113="opportunity",$BW113=0.1,$BV113=0.4),$D113 &amp; ";","")</f>
        <v/>
      </c>
      <c r="DU113" s="58">
        <f>IF(AND($H113="opportunity",$BW113=0.1,$BV113=0.2),$D113 &amp; ";","")</f>
        <v/>
      </c>
      <c r="DV113" s="58">
        <f>IF(AND($H113="opportunity",$BW113=0.1,$BV113=0.1),$D113 &amp; ";","")</f>
        <v/>
      </c>
      <c r="DW113" s="58">
        <f>IF(AND($H113="opportunity",$BW113=0.1,$BV113=0.05),$D113 &amp; ";","")</f>
        <v/>
      </c>
    </row>
    <row r="114">
      <c r="D114" s="60">
        <f>INDIRECT(ADDRESS(ROW()-22,COLUMN()-2,1,1,"Risk Register"))</f>
        <v/>
      </c>
      <c r="E114" s="143">
        <f>INDIRECT(ADDRESS(ROW()-22,COLUMN()-1,1,1,"Risk Register"))</f>
        <v/>
      </c>
      <c r="G114" s="56">
        <f>INDIRECT(ADDRESS(ROW()-22,COLUMN()+10,1,1,"Risk Register"))</f>
        <v/>
      </c>
      <c r="H114" s="60">
        <f>INDIRECT(ADDRESS(ROW()-22,COLUMN()+8,1,1,"Risk Register"))</f>
        <v/>
      </c>
      <c r="I114" s="54">
        <f>INDIRECT(ADDRESS(ROW()-22,COLUMN()+3,1,1,"Risk Register"))</f>
        <v/>
      </c>
      <c r="J114" s="143">
        <f>INDIRECT(ADDRESS(ROW()-22,COLUMN()+12,1,1,"Risk Register"))</f>
        <v/>
      </c>
      <c r="K114" s="143">
        <f>INDIRECT(ADDRESS(ROW()-22,COLUMN()-2,1,1,"Risk Register"))</f>
        <v/>
      </c>
      <c r="L114" s="176">
        <f>INDIRECT(ADDRESS(ROW()-22,COLUMN()+15,1,1,"Risk Register"))</f>
        <v/>
      </c>
      <c r="M114" s="54">
        <f>INDIRECT(ADDRESS(ROW()-22,COLUMN()+13,1,1,"Risk Register"))</f>
        <v/>
      </c>
      <c r="N114" s="143">
        <f>INDIRECT(ADDRESS(ROW()-22,COLUMN()-9,1,1,"Risk Register"))</f>
        <v/>
      </c>
      <c r="O114" s="143">
        <f>INDIRECT(ADDRESS(ROW()-22,COLUMN()-8,1,1,"Risk Register"))</f>
        <v/>
      </c>
      <c r="P114" s="56">
        <f>INDIRECT(ADDRESS(ROW()-22,COLUMN()+18,1,1,"Risk Register"))</f>
        <v/>
      </c>
      <c r="R114" s="57">
        <f>INDIRECT(ADDRESS(ROW()-22,COLUMN()-5,1,1,"Risk Register"))</f>
        <v/>
      </c>
      <c r="S114" s="58">
        <f>INDIRECT(ADDRESS(ROW()-22,COLUMN()-4,1,1,"Risk Register"))</f>
        <v/>
      </c>
      <c r="T114" s="59">
        <f>IF(AND($H114="threat",$G114&lt;=0.05),"gn",IF(AND($H114="threat",$G114&lt;=0.14),"y",IF(AND($H114="threat", $G114&gt;=0.15),"r",IF(AND($H114="opportunity",$G114&lt;=0.05),"gn",IF(AND($H114="opportunity",$G114&lt;=0.14),"lb",IF(AND($H114="opportunity",$G114&gt;=0.15),"db","z"))))))</f>
        <v/>
      </c>
      <c r="U114" s="58">
        <f>IF(AND($H114="threat",$S114=0.9,$R114=0.05),$D114 &amp; ";","")</f>
        <v/>
      </c>
      <c r="V114" s="58">
        <f>IF(AND($H114="threat",$S114=0.9,$R114=0.1),$D114 &amp; ";","")</f>
        <v/>
      </c>
      <c r="W114" s="58">
        <f>IF(AND($H114="threat",$S114=0.9,$R114=0.2),$D114 &amp; ";","")</f>
        <v/>
      </c>
      <c r="X114" s="58">
        <f>IF(AND($H114="threat",$S114=0.9,$R114=0.4),$D114 &amp; ";","")</f>
        <v/>
      </c>
      <c r="Y114" s="58">
        <f>IF(AND($H114="threat",$S114=0.9,$R114=0.8),$D114 &amp; ";","")</f>
        <v/>
      </c>
      <c r="Z114" s="58">
        <f>IF(AND($H114="threat",$S114=0.7,$R114=0.05),$D114 &amp; ";","")</f>
        <v/>
      </c>
      <c r="AA114" s="58">
        <f>IF(AND($H114="threat",$S114=0.7,$R114=0.1),$D114 &amp; ";","")</f>
        <v/>
      </c>
      <c r="AB114" s="58">
        <f>IF(AND($H114="threat",$S114=0.7,$R114=0.2),$D114 &amp; ";","")</f>
        <v/>
      </c>
      <c r="AC114" s="58">
        <f>IF(AND($H114="threat",$S114=0.7,$R114=0.4),$D114 &amp; ";","")</f>
        <v/>
      </c>
      <c r="AD114" s="58">
        <f>IF(AND($H114="threat",$S114=0.7,$R114=0.8),$D114 &amp; ";","")</f>
        <v/>
      </c>
      <c r="AE114" s="58">
        <f>IF(AND($H114="threat",$S114=0.5,$R114=0.05),$D114 &amp; ";","")</f>
        <v/>
      </c>
      <c r="AF114" s="58">
        <f>IF(AND($H114="threat",$S114=0.5,$R114=0.1),$D114 &amp; ";","")</f>
        <v/>
      </c>
      <c r="AG114" s="58">
        <f>IF(AND($H114="threat",$S114=0.5,$R114=0.2),$D114 &amp; ";","")</f>
        <v/>
      </c>
      <c r="AH114" s="58">
        <f>IF(AND($H114="threat",$S114=0.5,$R114=0.4),$D114 &amp; ";","")</f>
        <v/>
      </c>
      <c r="AI114" s="58">
        <f>IF(AND($H114="threat",$S114=0.5,$R114=0.8),$D114 &amp; ";","")</f>
        <v/>
      </c>
      <c r="AJ114" s="58">
        <f>IF(AND($H114="threat",$S114=0.3,$R114=0.05),$D114 &amp; ";","")</f>
        <v/>
      </c>
      <c r="AK114" s="58">
        <f>IF(AND($H114="threat",$S114=0.3,$R114=0.1),$D114 &amp; ";","")</f>
        <v/>
      </c>
      <c r="AL114" s="58">
        <f>IF(AND($H114="threat",$S114=0.3,$R114=0.2),$D114 &amp; ";","")</f>
        <v/>
      </c>
      <c r="AM114" s="58">
        <f>IF(AND($H114="threat",$S114=0.3,$R114=0.4),$D114 &amp; ";","")</f>
        <v/>
      </c>
      <c r="AN114" s="58">
        <f>IF(AND($H114="threat",$S114=0.3,$R114=0.8),$D114 &amp; ";","")</f>
        <v/>
      </c>
      <c r="AO114" s="58">
        <f>IF(AND($H114="threat",$S114=0.1,$R114=0.05),$D114 &amp; ";","")</f>
        <v/>
      </c>
      <c r="AP114" s="58">
        <f>IF(AND($H114="threat",$S114=0.1,$R114=0.1),$D114 &amp; ";","")</f>
        <v/>
      </c>
      <c r="AQ114" s="58">
        <f>IF(AND($H114="threat",$S114=0.1,$R114=0.2),$D114 &amp; ";","")</f>
        <v/>
      </c>
      <c r="AR114" s="58">
        <f>IF(AND($H114="threat",$S114=0.1,$R114=0.4),$D114 &amp; ";","")</f>
        <v/>
      </c>
      <c r="AS114" s="58">
        <f>IF(AND($H114="threat",$S114=0.1,$R114=0.8),$D114 &amp; ";","")</f>
        <v/>
      </c>
      <c r="AT114" s="39" t="n"/>
      <c r="AU114" s="58">
        <f>IF(AND($H114="opportunity",$S114=0.9,$R114=0.8),$D114 &amp; ";","")</f>
        <v/>
      </c>
      <c r="AV114" s="58">
        <f>IF(AND($H114="opportunity",$S114=0.9,$R114=0.4),$D114 &amp; ";","")</f>
        <v/>
      </c>
      <c r="AW114" s="58">
        <f>IF(AND($H114="opportunity",$S114=0.9,$R114=0.2),$D114 &amp; ";","")</f>
        <v/>
      </c>
      <c r="AX114" s="58">
        <f>IF(AND($H114="opportunity",$S114=0.9,$R114=0.1),$D114 &amp; ";","")</f>
        <v/>
      </c>
      <c r="AY114" s="58">
        <f>IF(AND($H114="opportunity",$S114=0.9,$R114=0.05),$D114 &amp; ";","")</f>
        <v/>
      </c>
      <c r="AZ114" s="58">
        <f>IF(AND($H114="opportunity",$S114=0.7,$R114=0.8),$D114 &amp; ";","")</f>
        <v/>
      </c>
      <c r="BA114" s="58">
        <f>IF(AND($H114="opportunity",$S114=0.7,$R114=0.4),$D114 &amp; ";","")</f>
        <v/>
      </c>
      <c r="BB114" s="58">
        <f>IF(AND($H114="opportunity",$S114=0.7,$R114=0.2),$D114 &amp; ";","")</f>
        <v/>
      </c>
      <c r="BC114" s="58">
        <f>IF(AND($H114="opportunity",$S114=0.7,$R114=0.1),$D114 &amp; ";","")</f>
        <v/>
      </c>
      <c r="BD114" s="58">
        <f>IF(AND($H114="opportunity",$S114=0.7,$R114=0.05),$D114 &amp; ";","")</f>
        <v/>
      </c>
      <c r="BE114" s="58">
        <f>IF(AND($H114="opportunity",$S114=0.5,$R114=0.8),$D114 &amp; ";","")</f>
        <v/>
      </c>
      <c r="BF114" s="58">
        <f>IF(AND($H114="opportunity",$S114=0.5,$R114=0.4),$D114 &amp; ";","")</f>
        <v/>
      </c>
      <c r="BG114" s="58">
        <f>IF(AND($H114="opportunity",$S114=0.5,$R114=0.2),$D114 &amp; ";","")</f>
        <v/>
      </c>
      <c r="BH114" s="58">
        <f>IF(AND($H114="opportunity",$S114=0.5,$R114=0.1),$D114 &amp; ";","")</f>
        <v/>
      </c>
      <c r="BI114" s="58">
        <f>IF(AND($H114="opportunity",$S114=0.5,$R114=0.05),$D114 &amp; ";","")</f>
        <v/>
      </c>
      <c r="BJ114" s="58">
        <f>IF(AND($H114="opportunity",$S114=0.3,$R114=0.8),$D114 &amp; ";","")</f>
        <v/>
      </c>
      <c r="BK114" s="58">
        <f>IF(AND($H114="opportunity",$S114=0.3,$R114=0.4),$D114 &amp; ";","")</f>
        <v/>
      </c>
      <c r="BL114" s="58">
        <f>IF(AND($H114="opportunity",$S114=0.3,$R114=0.2),$D114 &amp; ";","")</f>
        <v/>
      </c>
      <c r="BM114" s="58">
        <f>IF(AND($H114="opportunity",$S114=0.3,$R114=0.1),$D114 &amp; ";","")</f>
        <v/>
      </c>
      <c r="BN114" s="58">
        <f>IF(AND($H114="opportunity",$S114=0.3,$R114=0.05),$D114 &amp; ";","")</f>
        <v/>
      </c>
      <c r="BO114" s="58">
        <f>IF(AND($H114="opportunity",$S114=0.1,$R114=0.8),$D114 &amp; ";","")</f>
        <v/>
      </c>
      <c r="BP114" s="58">
        <f>IF(AND($H114="opportunity",$S114=0.1,$R114=0.4),$D114 &amp; ";","")</f>
        <v/>
      </c>
      <c r="BQ114" s="58">
        <f>IF(AND($H114="opportunity",$S114=0.1,$R114=0.2),$D114 &amp; ";","")</f>
        <v/>
      </c>
      <c r="BR114" s="58">
        <f>IF(AND($H114="opportunity",$S114=0.1,$R114=0.1),$D114 &amp; ";","")</f>
        <v/>
      </c>
      <c r="BS114" s="58">
        <f>IF(AND($H114="opportunity",$S114=0.1,$R114=0.05),$D114 &amp; ";","")</f>
        <v/>
      </c>
      <c r="BV114" s="57">
        <f>INDIRECT(ADDRESS(ROW()-22,COLUMN()-45,1,1,"Risk Register"))</f>
        <v/>
      </c>
      <c r="BW114" s="58">
        <f>INDIRECT(ADDRESS(ROW()-22,COLUMN()-44,1,1,"Risk Register"))</f>
        <v/>
      </c>
      <c r="BX114" s="59">
        <f>IF(AND($H114="threat",$P114&lt;=0.05),"gn",IF(AND($H114="threat",$P114&lt;=0.14),"y",IF(AND($H114="threat", $P114&gt;=0.15),"r",IF(AND($H114="opportunity",$P114&lt;=0.05),"gn",IF(AND($H114="opportunity",$P114&lt;=0.14),"lb",IF(AND($H114="opportunity",$P114&gt;=0.15),"db","z"))))))</f>
        <v/>
      </c>
      <c r="BY114" s="58">
        <f>IF(AND($H114="threat",$BW114=0.9,$BV114=0.05),$D114 &amp; ";","")</f>
        <v/>
      </c>
      <c r="BZ114" s="58">
        <f>IF(AND($H114="threat",$BW114=0.9,$BV114=0.1),$D114 &amp; ";","")</f>
        <v/>
      </c>
      <c r="CA114" s="58">
        <f>IF(AND($H114="threat",$BW114=0.9,$BV114=0.2),$D114 &amp; ";","")</f>
        <v/>
      </c>
      <c r="CB114" s="58">
        <f>IF(AND($H114="threat",$BW114=0.9,$BV114=0.4),$D114 &amp; ";","")</f>
        <v/>
      </c>
      <c r="CC114" s="58">
        <f>IF(AND($H114="threat",$BW114=0.9,$BV114=0.8),$D114 &amp; ";","")</f>
        <v/>
      </c>
      <c r="CD114" s="58">
        <f>IF(AND($H114="threat",$BW114=0.7,$BV114=0.05),$D114 &amp; ";","")</f>
        <v/>
      </c>
      <c r="CE114" s="58">
        <f>IF(AND($H114="threat",$BW114=0.7,$BV114=0.1),$D114 &amp; ";","")</f>
        <v/>
      </c>
      <c r="CF114" s="58">
        <f>IF(AND($H114="threat",$BW114=0.7,$BV114=0.2),$D114 &amp; ";","")</f>
        <v/>
      </c>
      <c r="CG114" s="58">
        <f>IF(AND($H114="threat",$BW114=0.7,$BV114=0.4),$D114 &amp; ";","")</f>
        <v/>
      </c>
      <c r="CH114" s="58">
        <f>IF(AND($H114="threat",$BW114=0.7,$BV114=0.8),$D114 &amp; ";","")</f>
        <v/>
      </c>
      <c r="CI114" s="58">
        <f>IF(AND($H114="threat",$BW114=0.5,$BV114=0.05),$D114 &amp; ";","")</f>
        <v/>
      </c>
      <c r="CJ114" s="58">
        <f>IF(AND($H114="threat",$BW114=0.5,$BV114=0.1),$D114 &amp; ";","")</f>
        <v/>
      </c>
      <c r="CK114" s="58">
        <f>IF(AND($H114="threat",$BW114=0.5,$BV114=0.2),$D114 &amp; ";","")</f>
        <v/>
      </c>
      <c r="CL114" s="58">
        <f>IF(AND($H114="threat",$BW114=0.5,$BV114=0.4),$D114 &amp; ";","")</f>
        <v/>
      </c>
      <c r="CM114" s="58">
        <f>IF(AND($H114="threat",$BW114=0.5,$BV114=0.8),$D114 &amp; ";","")</f>
        <v/>
      </c>
      <c r="CN114" s="58">
        <f>IF(AND($H114="threat",$BW114=0.3,$BV114=0.05),$D114 &amp; ";","")</f>
        <v/>
      </c>
      <c r="CO114" s="58">
        <f>IF(AND($H114="threat",$BW114=0.3,$BV114=0.1),$D114 &amp; ";","")</f>
        <v/>
      </c>
      <c r="CP114" s="58">
        <f>IF(AND($H114="threat",$BW114=0.3,$BV114=0.2),$D114 &amp; ";","")</f>
        <v/>
      </c>
      <c r="CQ114" s="58">
        <f>IF(AND($H114="threat",$BW114=0.3,$BV114=0.4),$D114 &amp; ";","")</f>
        <v/>
      </c>
      <c r="CR114" s="58">
        <f>IF(AND($H114="threat",$BW114=0.3,$BV114=0.8),$D114 &amp; ";","")</f>
        <v/>
      </c>
      <c r="CS114" s="58">
        <f>IF(AND($H114="threat",$BW114=0.1,$BV114=0.05),$D114 &amp; ";","")</f>
        <v/>
      </c>
      <c r="CT114" s="58">
        <f>IF(AND($H114="threat",$BW114=0.1,$BV114=0.1),$D114 &amp; ";","")</f>
        <v/>
      </c>
      <c r="CU114" s="58">
        <f>IF(AND($H114="threat",$BW114=0.1,$BV114=0.2),$D114 &amp; ";","")</f>
        <v/>
      </c>
      <c r="CV114" s="58">
        <f>IF(AND($H114="threat",$BW114=0.1,$BV114=0.4),$D114 &amp; ";","")</f>
        <v/>
      </c>
      <c r="CW114" s="58">
        <f>IF(AND($H114="threat",$BW114=0.1,$BV114=0.8),$D114 &amp; ";","")</f>
        <v/>
      </c>
      <c r="CX114" s="39" t="n"/>
      <c r="CY114" s="58">
        <f>IF(AND($H114="opportunity",$BW114=0.9,$BV114=0.8),$D114 &amp; ";","")</f>
        <v/>
      </c>
      <c r="CZ114" s="58">
        <f>IF(AND($H114="opportunity",$BW114=0.9,$BV114=0.4),$D114 &amp; ";","")</f>
        <v/>
      </c>
      <c r="DA114" s="58">
        <f>IF(AND($H114="opportunity",$BW114=0.9,$BV114=0.2),$D114 &amp; ";","")</f>
        <v/>
      </c>
      <c r="DB114" s="58">
        <f>IF(AND($H114="opportunity",$BW114=0.9,$BV114=0.1),$D114 &amp; ";","")</f>
        <v/>
      </c>
      <c r="DC114" s="58">
        <f>IF(AND($H114="opportunity",$BW114=0.9,$BV114=0.05),$D114 &amp; ";","")</f>
        <v/>
      </c>
      <c r="DD114" s="58">
        <f>IF(AND($H114="opportunity",$BW114=0.7,$BV114=0.8),$D114 &amp; ";","")</f>
        <v/>
      </c>
      <c r="DE114" s="58">
        <f>IF(AND($H114="opportunity",$BW114=0.7,$BV114=0.4),$D114 &amp; ";","")</f>
        <v/>
      </c>
      <c r="DF114" s="58">
        <f>IF(AND($H114="opportunity",$BW114=0.7,$BV114=0.2),$D114 &amp; ";","")</f>
        <v/>
      </c>
      <c r="DG114" s="58">
        <f>IF(AND($H114="opportunity",$BW114=0.7,$BV114=0.1),$D114 &amp; ";","")</f>
        <v/>
      </c>
      <c r="DH114" s="58">
        <f>IF(AND($H114="opportunity",$BW114=0.7,$BV114=0.05),$D114 &amp; ";","")</f>
        <v/>
      </c>
      <c r="DI114" s="58">
        <f>IF(AND($H114="opportunity",$BW114=0.5,$BV114=0.8),$D114 &amp; ";","")</f>
        <v/>
      </c>
      <c r="DJ114" s="58">
        <f>IF(AND($H114="opportunity",$BW114=0.5,$BV114=0.4),$D114 &amp; ";","")</f>
        <v/>
      </c>
      <c r="DK114" s="58">
        <f>IF(AND($H114="opportunity",$BW114=0.5,$BV114=0.2),$D114 &amp; ";","")</f>
        <v/>
      </c>
      <c r="DL114" s="58">
        <f>IF(AND($H114="opportunity",$BW114=0.5,$BV114=0.1),$D114 &amp; ";","")</f>
        <v/>
      </c>
      <c r="DM114" s="58">
        <f>IF(AND($H114="opportunity",$BW114=0.5,$BV114=0.05),$D114 &amp; ";","")</f>
        <v/>
      </c>
      <c r="DN114" s="58">
        <f>IF(AND($H114="opportunity",$BW114=0.3,$BV114=0.8),$D114 &amp; ";","")</f>
        <v/>
      </c>
      <c r="DO114" s="58">
        <f>IF(AND($H114="opportunity",$BW114=0.3,$BV114=0.4),$D114 &amp; ";","")</f>
        <v/>
      </c>
      <c r="DP114" s="58">
        <f>IF(AND($H114="opportunity",$BW114=0.3,$BV114=0.2),$D114 &amp; ";","")</f>
        <v/>
      </c>
      <c r="DQ114" s="58">
        <f>IF(AND($H114="opportunity",$BW114=0.3,$BV114=0.1),$D114 &amp; ";","")</f>
        <v/>
      </c>
      <c r="DR114" s="58">
        <f>IF(AND($H114="opportunity",$BW114=0.3,$BV114=0.05),$D114 &amp; ";","")</f>
        <v/>
      </c>
      <c r="DS114" s="58">
        <f>IF(AND($H114="opportunity",$BW114=0.1,$BV114=0.8),$D114 &amp; ";","")</f>
        <v/>
      </c>
      <c r="DT114" s="58">
        <f>IF(AND($H114="opportunity",$BW114=0.1,$BV114=0.4),$D114 &amp; ";","")</f>
        <v/>
      </c>
      <c r="DU114" s="58">
        <f>IF(AND($H114="opportunity",$BW114=0.1,$BV114=0.2),$D114 &amp; ";","")</f>
        <v/>
      </c>
      <c r="DV114" s="58">
        <f>IF(AND($H114="opportunity",$BW114=0.1,$BV114=0.1),$D114 &amp; ";","")</f>
        <v/>
      </c>
      <c r="DW114" s="58">
        <f>IF(AND($H114="opportunity",$BW114=0.1,$BV114=0.05),$D114 &amp; ";","")</f>
        <v/>
      </c>
    </row>
    <row r="115">
      <c r="D115" s="60">
        <f>INDIRECT(ADDRESS(ROW()-22,COLUMN()-2,1,1,"Risk Register"))</f>
        <v/>
      </c>
      <c r="E115" s="143">
        <f>INDIRECT(ADDRESS(ROW()-22,COLUMN()-1,1,1,"Risk Register"))</f>
        <v/>
      </c>
      <c r="G115" s="56">
        <f>INDIRECT(ADDRESS(ROW()-22,COLUMN()+10,1,1,"Risk Register"))</f>
        <v/>
      </c>
      <c r="H115" s="60">
        <f>INDIRECT(ADDRESS(ROW()-22,COLUMN()+8,1,1,"Risk Register"))</f>
        <v/>
      </c>
      <c r="I115" s="54">
        <f>INDIRECT(ADDRESS(ROW()-22,COLUMN()+3,1,1,"Risk Register"))</f>
        <v/>
      </c>
      <c r="J115" s="143">
        <f>INDIRECT(ADDRESS(ROW()-22,COLUMN()+12,1,1,"Risk Register"))</f>
        <v/>
      </c>
      <c r="K115" s="143">
        <f>INDIRECT(ADDRESS(ROW()-22,COLUMN()-2,1,1,"Risk Register"))</f>
        <v/>
      </c>
      <c r="L115" s="176">
        <f>INDIRECT(ADDRESS(ROW()-22,COLUMN()+15,1,1,"Risk Register"))</f>
        <v/>
      </c>
      <c r="M115" s="54">
        <f>INDIRECT(ADDRESS(ROW()-22,COLUMN()+13,1,1,"Risk Register"))</f>
        <v/>
      </c>
      <c r="N115" s="143">
        <f>INDIRECT(ADDRESS(ROW()-22,COLUMN()-9,1,1,"Risk Register"))</f>
        <v/>
      </c>
      <c r="O115" s="143">
        <f>INDIRECT(ADDRESS(ROW()-22,COLUMN()-8,1,1,"Risk Register"))</f>
        <v/>
      </c>
      <c r="P115" s="56">
        <f>INDIRECT(ADDRESS(ROW()-22,COLUMN()+18,1,1,"Risk Register"))</f>
        <v/>
      </c>
      <c r="R115" s="57">
        <f>INDIRECT(ADDRESS(ROW()-22,COLUMN()-5,1,1,"Risk Register"))</f>
        <v/>
      </c>
      <c r="S115" s="58">
        <f>INDIRECT(ADDRESS(ROW()-22,COLUMN()-4,1,1,"Risk Register"))</f>
        <v/>
      </c>
      <c r="T115" s="59">
        <f>IF(AND($H115="threat",$G115&lt;=0.05),"gn",IF(AND($H115="threat",$G115&lt;=0.14),"y",IF(AND($H115="threat", $G115&gt;=0.15),"r",IF(AND($H115="opportunity",$G115&lt;=0.05),"gn",IF(AND($H115="opportunity",$G115&lt;=0.14),"lb",IF(AND($H115="opportunity",$G115&gt;=0.15),"db","z"))))))</f>
        <v/>
      </c>
      <c r="U115" s="58">
        <f>IF(AND($H115="threat",$S115=0.9,$R115=0.05),$D115 &amp; ";","")</f>
        <v/>
      </c>
      <c r="V115" s="58">
        <f>IF(AND($H115="threat",$S115=0.9,$R115=0.1),$D115 &amp; ";","")</f>
        <v/>
      </c>
      <c r="W115" s="58">
        <f>IF(AND($H115="threat",$S115=0.9,$R115=0.2),$D115 &amp; ";","")</f>
        <v/>
      </c>
      <c r="X115" s="58">
        <f>IF(AND($H115="threat",$S115=0.9,$R115=0.4),$D115 &amp; ";","")</f>
        <v/>
      </c>
      <c r="Y115" s="58">
        <f>IF(AND($H115="threat",$S115=0.9,$R115=0.8),$D115 &amp; ";","")</f>
        <v/>
      </c>
      <c r="Z115" s="58">
        <f>IF(AND($H115="threat",$S115=0.7,$R115=0.05),$D115 &amp; ";","")</f>
        <v/>
      </c>
      <c r="AA115" s="58">
        <f>IF(AND($H115="threat",$S115=0.7,$R115=0.1),$D115 &amp; ";","")</f>
        <v/>
      </c>
      <c r="AB115" s="58">
        <f>IF(AND($H115="threat",$S115=0.7,$R115=0.2),$D115 &amp; ";","")</f>
        <v/>
      </c>
      <c r="AC115" s="58">
        <f>IF(AND($H115="threat",$S115=0.7,$R115=0.4),$D115 &amp; ";","")</f>
        <v/>
      </c>
      <c r="AD115" s="58">
        <f>IF(AND($H115="threat",$S115=0.7,$R115=0.8),$D115 &amp; ";","")</f>
        <v/>
      </c>
      <c r="AE115" s="58">
        <f>IF(AND($H115="threat",$S115=0.5,$R115=0.05),$D115 &amp; ";","")</f>
        <v/>
      </c>
      <c r="AF115" s="58">
        <f>IF(AND($H115="threat",$S115=0.5,$R115=0.1),$D115 &amp; ";","")</f>
        <v/>
      </c>
      <c r="AG115" s="58">
        <f>IF(AND($H115="threat",$S115=0.5,$R115=0.2),$D115 &amp; ";","")</f>
        <v/>
      </c>
      <c r="AH115" s="58">
        <f>IF(AND($H115="threat",$S115=0.5,$R115=0.4),$D115 &amp; ";","")</f>
        <v/>
      </c>
      <c r="AI115" s="58">
        <f>IF(AND($H115="threat",$S115=0.5,$R115=0.8),$D115 &amp; ";","")</f>
        <v/>
      </c>
      <c r="AJ115" s="58">
        <f>IF(AND($H115="threat",$S115=0.3,$R115=0.05),$D115 &amp; ";","")</f>
        <v/>
      </c>
      <c r="AK115" s="58">
        <f>IF(AND($H115="threat",$S115=0.3,$R115=0.1),$D115 &amp; ";","")</f>
        <v/>
      </c>
      <c r="AL115" s="58">
        <f>IF(AND($H115="threat",$S115=0.3,$R115=0.2),$D115 &amp; ";","")</f>
        <v/>
      </c>
      <c r="AM115" s="58">
        <f>IF(AND($H115="threat",$S115=0.3,$R115=0.4),$D115 &amp; ";","")</f>
        <v/>
      </c>
      <c r="AN115" s="58">
        <f>IF(AND($H115="threat",$S115=0.3,$R115=0.8),$D115 &amp; ";","")</f>
        <v/>
      </c>
      <c r="AO115" s="58">
        <f>IF(AND($H115="threat",$S115=0.1,$R115=0.05),$D115 &amp; ";","")</f>
        <v/>
      </c>
      <c r="AP115" s="58">
        <f>IF(AND($H115="threat",$S115=0.1,$R115=0.1),$D115 &amp; ";","")</f>
        <v/>
      </c>
      <c r="AQ115" s="58">
        <f>IF(AND($H115="threat",$S115=0.1,$R115=0.2),$D115 &amp; ";","")</f>
        <v/>
      </c>
      <c r="AR115" s="58">
        <f>IF(AND($H115="threat",$S115=0.1,$R115=0.4),$D115 &amp; ";","")</f>
        <v/>
      </c>
      <c r="AS115" s="58">
        <f>IF(AND($H115="threat",$S115=0.1,$R115=0.8),$D115 &amp; ";","")</f>
        <v/>
      </c>
      <c r="AT115" s="39" t="n"/>
      <c r="AU115" s="58">
        <f>IF(AND($H115="opportunity",$S115=0.9,$R115=0.8),$D115 &amp; ";","")</f>
        <v/>
      </c>
      <c r="AV115" s="58">
        <f>IF(AND($H115="opportunity",$S115=0.9,$R115=0.4),$D115 &amp; ";","")</f>
        <v/>
      </c>
      <c r="AW115" s="58">
        <f>IF(AND($H115="opportunity",$S115=0.9,$R115=0.2),$D115 &amp; ";","")</f>
        <v/>
      </c>
      <c r="AX115" s="58">
        <f>IF(AND($H115="opportunity",$S115=0.9,$R115=0.1),$D115 &amp; ";","")</f>
        <v/>
      </c>
      <c r="AY115" s="58">
        <f>IF(AND($H115="opportunity",$S115=0.9,$R115=0.05),$D115 &amp; ";","")</f>
        <v/>
      </c>
      <c r="AZ115" s="58">
        <f>IF(AND($H115="opportunity",$S115=0.7,$R115=0.8),$D115 &amp; ";","")</f>
        <v/>
      </c>
      <c r="BA115" s="58">
        <f>IF(AND($H115="opportunity",$S115=0.7,$R115=0.4),$D115 &amp; ";","")</f>
        <v/>
      </c>
      <c r="BB115" s="58">
        <f>IF(AND($H115="opportunity",$S115=0.7,$R115=0.2),$D115 &amp; ";","")</f>
        <v/>
      </c>
      <c r="BC115" s="58">
        <f>IF(AND($H115="opportunity",$S115=0.7,$R115=0.1),$D115 &amp; ";","")</f>
        <v/>
      </c>
      <c r="BD115" s="58">
        <f>IF(AND($H115="opportunity",$S115=0.7,$R115=0.05),$D115 &amp; ";","")</f>
        <v/>
      </c>
      <c r="BE115" s="58">
        <f>IF(AND($H115="opportunity",$S115=0.5,$R115=0.8),$D115 &amp; ";","")</f>
        <v/>
      </c>
      <c r="BF115" s="58">
        <f>IF(AND($H115="opportunity",$S115=0.5,$R115=0.4),$D115 &amp; ";","")</f>
        <v/>
      </c>
      <c r="BG115" s="58">
        <f>IF(AND($H115="opportunity",$S115=0.5,$R115=0.2),$D115 &amp; ";","")</f>
        <v/>
      </c>
      <c r="BH115" s="58">
        <f>IF(AND($H115="opportunity",$S115=0.5,$R115=0.1),$D115 &amp; ";","")</f>
        <v/>
      </c>
      <c r="BI115" s="58">
        <f>IF(AND($H115="opportunity",$S115=0.5,$R115=0.05),$D115 &amp; ";","")</f>
        <v/>
      </c>
      <c r="BJ115" s="58">
        <f>IF(AND($H115="opportunity",$S115=0.3,$R115=0.8),$D115 &amp; ";","")</f>
        <v/>
      </c>
      <c r="BK115" s="58">
        <f>IF(AND($H115="opportunity",$S115=0.3,$R115=0.4),$D115 &amp; ";","")</f>
        <v/>
      </c>
      <c r="BL115" s="58">
        <f>IF(AND($H115="opportunity",$S115=0.3,$R115=0.2),$D115 &amp; ";","")</f>
        <v/>
      </c>
      <c r="BM115" s="58">
        <f>IF(AND($H115="opportunity",$S115=0.3,$R115=0.1),$D115 &amp; ";","")</f>
        <v/>
      </c>
      <c r="BN115" s="58">
        <f>IF(AND($H115="opportunity",$S115=0.3,$R115=0.05),$D115 &amp; ";","")</f>
        <v/>
      </c>
      <c r="BO115" s="58">
        <f>IF(AND($H115="opportunity",$S115=0.1,$R115=0.8),$D115 &amp; ";","")</f>
        <v/>
      </c>
      <c r="BP115" s="58">
        <f>IF(AND($H115="opportunity",$S115=0.1,$R115=0.4),$D115 &amp; ";","")</f>
        <v/>
      </c>
      <c r="BQ115" s="58">
        <f>IF(AND($H115="opportunity",$S115=0.1,$R115=0.2),$D115 &amp; ";","")</f>
        <v/>
      </c>
      <c r="BR115" s="58">
        <f>IF(AND($H115="opportunity",$S115=0.1,$R115=0.1),$D115 &amp; ";","")</f>
        <v/>
      </c>
      <c r="BS115" s="58">
        <f>IF(AND($H115="opportunity",$S115=0.1,$R115=0.05),$D115 &amp; ";","")</f>
        <v/>
      </c>
      <c r="BV115" s="57">
        <f>INDIRECT(ADDRESS(ROW()-22,COLUMN()-45,1,1,"Risk Register"))</f>
        <v/>
      </c>
      <c r="BW115" s="58">
        <f>INDIRECT(ADDRESS(ROW()-22,COLUMN()-44,1,1,"Risk Register"))</f>
        <v/>
      </c>
      <c r="BX115" s="59">
        <f>IF(AND($H115="threat",$P115&lt;=0.05),"gn",IF(AND($H115="threat",$P115&lt;=0.14),"y",IF(AND($H115="threat", $P115&gt;=0.15),"r",IF(AND($H115="opportunity",$P115&lt;=0.05),"gn",IF(AND($H115="opportunity",$P115&lt;=0.14),"lb",IF(AND($H115="opportunity",$P115&gt;=0.15),"db","z"))))))</f>
        <v/>
      </c>
      <c r="BY115" s="58">
        <f>IF(AND($H115="threat",$BW115=0.9,$BV115=0.05),$D115 &amp; ";","")</f>
        <v/>
      </c>
      <c r="BZ115" s="58">
        <f>IF(AND($H115="threat",$BW115=0.9,$BV115=0.1),$D115 &amp; ";","")</f>
        <v/>
      </c>
      <c r="CA115" s="58">
        <f>IF(AND($H115="threat",$BW115=0.9,$BV115=0.2),$D115 &amp; ";","")</f>
        <v/>
      </c>
      <c r="CB115" s="58">
        <f>IF(AND($H115="threat",$BW115=0.9,$BV115=0.4),$D115 &amp; ";","")</f>
        <v/>
      </c>
      <c r="CC115" s="58">
        <f>IF(AND($H115="threat",$BW115=0.9,$BV115=0.8),$D115 &amp; ";","")</f>
        <v/>
      </c>
      <c r="CD115" s="58">
        <f>IF(AND($H115="threat",$BW115=0.7,$BV115=0.05),$D115 &amp; ";","")</f>
        <v/>
      </c>
      <c r="CE115" s="58">
        <f>IF(AND($H115="threat",$BW115=0.7,$BV115=0.1),$D115 &amp; ";","")</f>
        <v/>
      </c>
      <c r="CF115" s="58">
        <f>IF(AND($H115="threat",$BW115=0.7,$BV115=0.2),$D115 &amp; ";","")</f>
        <v/>
      </c>
      <c r="CG115" s="58">
        <f>IF(AND($H115="threat",$BW115=0.7,$BV115=0.4),$D115 &amp; ";","")</f>
        <v/>
      </c>
      <c r="CH115" s="58">
        <f>IF(AND($H115="threat",$BW115=0.7,$BV115=0.8),$D115 &amp; ";","")</f>
        <v/>
      </c>
      <c r="CI115" s="58">
        <f>IF(AND($H115="threat",$BW115=0.5,$BV115=0.05),$D115 &amp; ";","")</f>
        <v/>
      </c>
      <c r="CJ115" s="58">
        <f>IF(AND($H115="threat",$BW115=0.5,$BV115=0.1),$D115 &amp; ";","")</f>
        <v/>
      </c>
      <c r="CK115" s="58">
        <f>IF(AND($H115="threat",$BW115=0.5,$BV115=0.2),$D115 &amp; ";","")</f>
        <v/>
      </c>
      <c r="CL115" s="58">
        <f>IF(AND($H115="threat",$BW115=0.5,$BV115=0.4),$D115 &amp; ";","")</f>
        <v/>
      </c>
      <c r="CM115" s="58">
        <f>IF(AND($H115="threat",$BW115=0.5,$BV115=0.8),$D115 &amp; ";","")</f>
        <v/>
      </c>
      <c r="CN115" s="58">
        <f>IF(AND($H115="threat",$BW115=0.3,$BV115=0.05),$D115 &amp; ";","")</f>
        <v/>
      </c>
      <c r="CO115" s="58">
        <f>IF(AND($H115="threat",$BW115=0.3,$BV115=0.1),$D115 &amp; ";","")</f>
        <v/>
      </c>
      <c r="CP115" s="58">
        <f>IF(AND($H115="threat",$BW115=0.3,$BV115=0.2),$D115 &amp; ";","")</f>
        <v/>
      </c>
      <c r="CQ115" s="58">
        <f>IF(AND($H115="threat",$BW115=0.3,$BV115=0.4),$D115 &amp; ";","")</f>
        <v/>
      </c>
      <c r="CR115" s="58">
        <f>IF(AND($H115="threat",$BW115=0.3,$BV115=0.8),$D115 &amp; ";","")</f>
        <v/>
      </c>
      <c r="CS115" s="58">
        <f>IF(AND($H115="threat",$BW115=0.1,$BV115=0.05),$D115 &amp; ";","")</f>
        <v/>
      </c>
      <c r="CT115" s="58">
        <f>IF(AND($H115="threat",$BW115=0.1,$BV115=0.1),$D115 &amp; ";","")</f>
        <v/>
      </c>
      <c r="CU115" s="58">
        <f>IF(AND($H115="threat",$BW115=0.1,$BV115=0.2),$D115 &amp; ";","")</f>
        <v/>
      </c>
      <c r="CV115" s="58">
        <f>IF(AND($H115="threat",$BW115=0.1,$BV115=0.4),$D115 &amp; ";","")</f>
        <v/>
      </c>
      <c r="CW115" s="58">
        <f>IF(AND($H115="threat",$BW115=0.1,$BV115=0.8),$D115 &amp; ";","")</f>
        <v/>
      </c>
      <c r="CX115" s="39" t="n"/>
      <c r="CY115" s="58">
        <f>IF(AND($H115="opportunity",$BW115=0.9,$BV115=0.8),$D115 &amp; ";","")</f>
        <v/>
      </c>
      <c r="CZ115" s="58">
        <f>IF(AND($H115="opportunity",$BW115=0.9,$BV115=0.4),$D115 &amp; ";","")</f>
        <v/>
      </c>
      <c r="DA115" s="58">
        <f>IF(AND($H115="opportunity",$BW115=0.9,$BV115=0.2),$D115 &amp; ";","")</f>
        <v/>
      </c>
      <c r="DB115" s="58">
        <f>IF(AND($H115="opportunity",$BW115=0.9,$BV115=0.1),$D115 &amp; ";","")</f>
        <v/>
      </c>
      <c r="DC115" s="58">
        <f>IF(AND($H115="opportunity",$BW115=0.9,$BV115=0.05),$D115 &amp; ";","")</f>
        <v/>
      </c>
      <c r="DD115" s="58">
        <f>IF(AND($H115="opportunity",$BW115=0.7,$BV115=0.8),$D115 &amp; ";","")</f>
        <v/>
      </c>
      <c r="DE115" s="58">
        <f>IF(AND($H115="opportunity",$BW115=0.7,$BV115=0.4),$D115 &amp; ";","")</f>
        <v/>
      </c>
      <c r="DF115" s="58">
        <f>IF(AND($H115="opportunity",$BW115=0.7,$BV115=0.2),$D115 &amp; ";","")</f>
        <v/>
      </c>
      <c r="DG115" s="58">
        <f>IF(AND($H115="opportunity",$BW115=0.7,$BV115=0.1),$D115 &amp; ";","")</f>
        <v/>
      </c>
      <c r="DH115" s="58">
        <f>IF(AND($H115="opportunity",$BW115=0.7,$BV115=0.05),$D115 &amp; ";","")</f>
        <v/>
      </c>
      <c r="DI115" s="58">
        <f>IF(AND($H115="opportunity",$BW115=0.5,$BV115=0.8),$D115 &amp; ";","")</f>
        <v/>
      </c>
      <c r="DJ115" s="58">
        <f>IF(AND($H115="opportunity",$BW115=0.5,$BV115=0.4),$D115 &amp; ";","")</f>
        <v/>
      </c>
      <c r="DK115" s="58">
        <f>IF(AND($H115="opportunity",$BW115=0.5,$BV115=0.2),$D115 &amp; ";","")</f>
        <v/>
      </c>
      <c r="DL115" s="58">
        <f>IF(AND($H115="opportunity",$BW115=0.5,$BV115=0.1),$D115 &amp; ";","")</f>
        <v/>
      </c>
      <c r="DM115" s="58">
        <f>IF(AND($H115="opportunity",$BW115=0.5,$BV115=0.05),$D115 &amp; ";","")</f>
        <v/>
      </c>
      <c r="DN115" s="58">
        <f>IF(AND($H115="opportunity",$BW115=0.3,$BV115=0.8),$D115 &amp; ";","")</f>
        <v/>
      </c>
      <c r="DO115" s="58">
        <f>IF(AND($H115="opportunity",$BW115=0.3,$BV115=0.4),$D115 &amp; ";","")</f>
        <v/>
      </c>
      <c r="DP115" s="58">
        <f>IF(AND($H115="opportunity",$BW115=0.3,$BV115=0.2),$D115 &amp; ";","")</f>
        <v/>
      </c>
      <c r="DQ115" s="58">
        <f>IF(AND($H115="opportunity",$BW115=0.3,$BV115=0.1),$D115 &amp; ";","")</f>
        <v/>
      </c>
      <c r="DR115" s="58">
        <f>IF(AND($H115="opportunity",$BW115=0.3,$BV115=0.05),$D115 &amp; ";","")</f>
        <v/>
      </c>
      <c r="DS115" s="58">
        <f>IF(AND($H115="opportunity",$BW115=0.1,$BV115=0.8),$D115 &amp; ";","")</f>
        <v/>
      </c>
      <c r="DT115" s="58">
        <f>IF(AND($H115="opportunity",$BW115=0.1,$BV115=0.4),$D115 &amp; ";","")</f>
        <v/>
      </c>
      <c r="DU115" s="58">
        <f>IF(AND($H115="opportunity",$BW115=0.1,$BV115=0.2),$D115 &amp; ";","")</f>
        <v/>
      </c>
      <c r="DV115" s="58">
        <f>IF(AND($H115="opportunity",$BW115=0.1,$BV115=0.1),$D115 &amp; ";","")</f>
        <v/>
      </c>
      <c r="DW115" s="58">
        <f>IF(AND($H115="opportunity",$BW115=0.1,$BV115=0.05),$D115 &amp; ";","")</f>
        <v/>
      </c>
    </row>
    <row r="116">
      <c r="D116" s="60">
        <f>INDIRECT(ADDRESS(ROW()-22,COLUMN()-2,1,1,"Risk Register"))</f>
        <v/>
      </c>
      <c r="E116" s="143">
        <f>INDIRECT(ADDRESS(ROW()-22,COLUMN()-1,1,1,"Risk Register"))</f>
        <v/>
      </c>
      <c r="G116" s="56">
        <f>INDIRECT(ADDRESS(ROW()-22,COLUMN()+10,1,1,"Risk Register"))</f>
        <v/>
      </c>
      <c r="H116" s="60">
        <f>INDIRECT(ADDRESS(ROW()-22,COLUMN()+8,1,1,"Risk Register"))</f>
        <v/>
      </c>
      <c r="I116" s="54">
        <f>INDIRECT(ADDRESS(ROW()-22,COLUMN()+3,1,1,"Risk Register"))</f>
        <v/>
      </c>
      <c r="J116" s="143">
        <f>INDIRECT(ADDRESS(ROW()-22,COLUMN()+12,1,1,"Risk Register"))</f>
        <v/>
      </c>
      <c r="K116" s="143">
        <f>INDIRECT(ADDRESS(ROW()-22,COLUMN()-2,1,1,"Risk Register"))</f>
        <v/>
      </c>
      <c r="L116" s="176">
        <f>INDIRECT(ADDRESS(ROW()-22,COLUMN()+15,1,1,"Risk Register"))</f>
        <v/>
      </c>
      <c r="M116" s="54">
        <f>INDIRECT(ADDRESS(ROW()-22,COLUMN()+13,1,1,"Risk Register"))</f>
        <v/>
      </c>
      <c r="N116" s="143">
        <f>INDIRECT(ADDRESS(ROW()-22,COLUMN()-9,1,1,"Risk Register"))</f>
        <v/>
      </c>
      <c r="O116" s="143">
        <f>INDIRECT(ADDRESS(ROW()-22,COLUMN()-8,1,1,"Risk Register"))</f>
        <v/>
      </c>
      <c r="P116" s="56">
        <f>INDIRECT(ADDRESS(ROW()-22,COLUMN()+18,1,1,"Risk Register"))</f>
        <v/>
      </c>
      <c r="R116" s="57">
        <f>INDIRECT(ADDRESS(ROW()-22,COLUMN()-5,1,1,"Risk Register"))</f>
        <v/>
      </c>
      <c r="S116" s="58">
        <f>INDIRECT(ADDRESS(ROW()-22,COLUMN()-4,1,1,"Risk Register"))</f>
        <v/>
      </c>
      <c r="T116" s="59">
        <f>IF(AND($H116="threat",$G116&lt;=0.05),"gn",IF(AND($H116="threat",$G116&lt;=0.14),"y",IF(AND($H116="threat", $G116&gt;=0.15),"r",IF(AND($H116="opportunity",$G116&lt;=0.05),"gn",IF(AND($H116="opportunity",$G116&lt;=0.14),"lb",IF(AND($H116="opportunity",$G116&gt;=0.15),"db","z"))))))</f>
        <v/>
      </c>
      <c r="U116" s="58">
        <f>IF(AND($H116="threat",$S116=0.9,$R116=0.05),$D116 &amp; ";","")</f>
        <v/>
      </c>
      <c r="V116" s="58">
        <f>IF(AND($H116="threat",$S116=0.9,$R116=0.1),$D116 &amp; ";","")</f>
        <v/>
      </c>
      <c r="W116" s="58">
        <f>IF(AND($H116="threat",$S116=0.9,$R116=0.2),$D116 &amp; ";","")</f>
        <v/>
      </c>
      <c r="X116" s="58">
        <f>IF(AND($H116="threat",$S116=0.9,$R116=0.4),$D116 &amp; ";","")</f>
        <v/>
      </c>
      <c r="Y116" s="58">
        <f>IF(AND($H116="threat",$S116=0.9,$R116=0.8),$D116 &amp; ";","")</f>
        <v/>
      </c>
      <c r="Z116" s="58">
        <f>IF(AND($H116="threat",$S116=0.7,$R116=0.05),$D116 &amp; ";","")</f>
        <v/>
      </c>
      <c r="AA116" s="58">
        <f>IF(AND($H116="threat",$S116=0.7,$R116=0.1),$D116 &amp; ";","")</f>
        <v/>
      </c>
      <c r="AB116" s="58">
        <f>IF(AND($H116="threat",$S116=0.7,$R116=0.2),$D116 &amp; ";","")</f>
        <v/>
      </c>
      <c r="AC116" s="58">
        <f>IF(AND($H116="threat",$S116=0.7,$R116=0.4),$D116 &amp; ";","")</f>
        <v/>
      </c>
      <c r="AD116" s="58">
        <f>IF(AND($H116="threat",$S116=0.7,$R116=0.8),$D116 &amp; ";","")</f>
        <v/>
      </c>
      <c r="AE116" s="58">
        <f>IF(AND($H116="threat",$S116=0.5,$R116=0.05),$D116 &amp; ";","")</f>
        <v/>
      </c>
      <c r="AF116" s="58">
        <f>IF(AND($H116="threat",$S116=0.5,$R116=0.1),$D116 &amp; ";","")</f>
        <v/>
      </c>
      <c r="AG116" s="58">
        <f>IF(AND($H116="threat",$S116=0.5,$R116=0.2),$D116 &amp; ";","")</f>
        <v/>
      </c>
      <c r="AH116" s="58">
        <f>IF(AND($H116="threat",$S116=0.5,$R116=0.4),$D116 &amp; ";","")</f>
        <v/>
      </c>
      <c r="AI116" s="58">
        <f>IF(AND($H116="threat",$S116=0.5,$R116=0.8),$D116 &amp; ";","")</f>
        <v/>
      </c>
      <c r="AJ116" s="58">
        <f>IF(AND($H116="threat",$S116=0.3,$R116=0.05),$D116 &amp; ";","")</f>
        <v/>
      </c>
      <c r="AK116" s="58">
        <f>IF(AND($H116="threat",$S116=0.3,$R116=0.1),$D116 &amp; ";","")</f>
        <v/>
      </c>
      <c r="AL116" s="58">
        <f>IF(AND($H116="threat",$S116=0.3,$R116=0.2),$D116 &amp; ";","")</f>
        <v/>
      </c>
      <c r="AM116" s="58">
        <f>IF(AND($H116="threat",$S116=0.3,$R116=0.4),$D116 &amp; ";","")</f>
        <v/>
      </c>
      <c r="AN116" s="58">
        <f>IF(AND($H116="threat",$S116=0.3,$R116=0.8),$D116 &amp; ";","")</f>
        <v/>
      </c>
      <c r="AO116" s="58">
        <f>IF(AND($H116="threat",$S116=0.1,$R116=0.05),$D116 &amp; ";","")</f>
        <v/>
      </c>
      <c r="AP116" s="58">
        <f>IF(AND($H116="threat",$S116=0.1,$R116=0.1),$D116 &amp; ";","")</f>
        <v/>
      </c>
      <c r="AQ116" s="58">
        <f>IF(AND($H116="threat",$S116=0.1,$R116=0.2),$D116 &amp; ";","")</f>
        <v/>
      </c>
      <c r="AR116" s="58">
        <f>IF(AND($H116="threat",$S116=0.1,$R116=0.4),$D116 &amp; ";","")</f>
        <v/>
      </c>
      <c r="AS116" s="58">
        <f>IF(AND($H116="threat",$S116=0.1,$R116=0.8),$D116 &amp; ";","")</f>
        <v/>
      </c>
      <c r="AT116" s="39" t="n"/>
      <c r="AU116" s="58">
        <f>IF(AND($H116="opportunity",$S116=0.9,$R116=0.8),$D116 &amp; ";","")</f>
        <v/>
      </c>
      <c r="AV116" s="58">
        <f>IF(AND($H116="opportunity",$S116=0.9,$R116=0.4),$D116 &amp; ";","")</f>
        <v/>
      </c>
      <c r="AW116" s="58">
        <f>IF(AND($H116="opportunity",$S116=0.9,$R116=0.2),$D116 &amp; ";","")</f>
        <v/>
      </c>
      <c r="AX116" s="58">
        <f>IF(AND($H116="opportunity",$S116=0.9,$R116=0.1),$D116 &amp; ";","")</f>
        <v/>
      </c>
      <c r="AY116" s="58">
        <f>IF(AND($H116="opportunity",$S116=0.9,$R116=0.05),$D116 &amp; ";","")</f>
        <v/>
      </c>
      <c r="AZ116" s="58">
        <f>IF(AND($H116="opportunity",$S116=0.7,$R116=0.8),$D116 &amp; ";","")</f>
        <v/>
      </c>
      <c r="BA116" s="58">
        <f>IF(AND($H116="opportunity",$S116=0.7,$R116=0.4),$D116 &amp; ";","")</f>
        <v/>
      </c>
      <c r="BB116" s="58">
        <f>IF(AND($H116="opportunity",$S116=0.7,$R116=0.2),$D116 &amp; ";","")</f>
        <v/>
      </c>
      <c r="BC116" s="58">
        <f>IF(AND($H116="opportunity",$S116=0.7,$R116=0.1),$D116 &amp; ";","")</f>
        <v/>
      </c>
      <c r="BD116" s="58">
        <f>IF(AND($H116="opportunity",$S116=0.7,$R116=0.05),$D116 &amp; ";","")</f>
        <v/>
      </c>
      <c r="BE116" s="58">
        <f>IF(AND($H116="opportunity",$S116=0.5,$R116=0.8),$D116 &amp; ";","")</f>
        <v/>
      </c>
      <c r="BF116" s="58">
        <f>IF(AND($H116="opportunity",$S116=0.5,$R116=0.4),$D116 &amp; ";","")</f>
        <v/>
      </c>
      <c r="BG116" s="58">
        <f>IF(AND($H116="opportunity",$S116=0.5,$R116=0.2),$D116 &amp; ";","")</f>
        <v/>
      </c>
      <c r="BH116" s="58">
        <f>IF(AND($H116="opportunity",$S116=0.5,$R116=0.1),$D116 &amp; ";","")</f>
        <v/>
      </c>
      <c r="BI116" s="58">
        <f>IF(AND($H116="opportunity",$S116=0.5,$R116=0.05),$D116 &amp; ";","")</f>
        <v/>
      </c>
      <c r="BJ116" s="58">
        <f>IF(AND($H116="opportunity",$S116=0.3,$R116=0.8),$D116 &amp; ";","")</f>
        <v/>
      </c>
      <c r="BK116" s="58">
        <f>IF(AND($H116="opportunity",$S116=0.3,$R116=0.4),$D116 &amp; ";","")</f>
        <v/>
      </c>
      <c r="BL116" s="58">
        <f>IF(AND($H116="opportunity",$S116=0.3,$R116=0.2),$D116 &amp; ";","")</f>
        <v/>
      </c>
      <c r="BM116" s="58">
        <f>IF(AND($H116="opportunity",$S116=0.3,$R116=0.1),$D116 &amp; ";","")</f>
        <v/>
      </c>
      <c r="BN116" s="58">
        <f>IF(AND($H116="opportunity",$S116=0.3,$R116=0.05),$D116 &amp; ";","")</f>
        <v/>
      </c>
      <c r="BO116" s="58">
        <f>IF(AND($H116="opportunity",$S116=0.1,$R116=0.8),$D116 &amp; ";","")</f>
        <v/>
      </c>
      <c r="BP116" s="58">
        <f>IF(AND($H116="opportunity",$S116=0.1,$R116=0.4),$D116 &amp; ";","")</f>
        <v/>
      </c>
      <c r="BQ116" s="58">
        <f>IF(AND($H116="opportunity",$S116=0.1,$R116=0.2),$D116 &amp; ";","")</f>
        <v/>
      </c>
      <c r="BR116" s="58">
        <f>IF(AND($H116="opportunity",$S116=0.1,$R116=0.1),$D116 &amp; ";","")</f>
        <v/>
      </c>
      <c r="BS116" s="58">
        <f>IF(AND($H116="opportunity",$S116=0.1,$R116=0.05),$D116 &amp; ";","")</f>
        <v/>
      </c>
      <c r="BV116" s="57">
        <f>INDIRECT(ADDRESS(ROW()-22,COLUMN()-45,1,1,"Risk Register"))</f>
        <v/>
      </c>
      <c r="BW116" s="58">
        <f>INDIRECT(ADDRESS(ROW()-22,COLUMN()-44,1,1,"Risk Register"))</f>
        <v/>
      </c>
      <c r="BX116" s="59">
        <f>IF(AND($H116="threat",$P116&lt;=0.05),"gn",IF(AND($H116="threat",$P116&lt;=0.14),"y",IF(AND($H116="threat", $P116&gt;=0.15),"r",IF(AND($H116="opportunity",$P116&lt;=0.05),"gn",IF(AND($H116="opportunity",$P116&lt;=0.14),"lb",IF(AND($H116="opportunity",$P116&gt;=0.15),"db","z"))))))</f>
        <v/>
      </c>
      <c r="BY116" s="58">
        <f>IF(AND($H116="threat",$BW116=0.9,$BV116=0.05),$D116 &amp; ";","")</f>
        <v/>
      </c>
      <c r="BZ116" s="58">
        <f>IF(AND($H116="threat",$BW116=0.9,$BV116=0.1),$D116 &amp; ";","")</f>
        <v/>
      </c>
      <c r="CA116" s="58">
        <f>IF(AND($H116="threat",$BW116=0.9,$BV116=0.2),$D116 &amp; ";","")</f>
        <v/>
      </c>
      <c r="CB116" s="58">
        <f>IF(AND($H116="threat",$BW116=0.9,$BV116=0.4),$D116 &amp; ";","")</f>
        <v/>
      </c>
      <c r="CC116" s="58">
        <f>IF(AND($H116="threat",$BW116=0.9,$BV116=0.8),$D116 &amp; ";","")</f>
        <v/>
      </c>
      <c r="CD116" s="58">
        <f>IF(AND($H116="threat",$BW116=0.7,$BV116=0.05),$D116 &amp; ";","")</f>
        <v/>
      </c>
      <c r="CE116" s="58">
        <f>IF(AND($H116="threat",$BW116=0.7,$BV116=0.1),$D116 &amp; ";","")</f>
        <v/>
      </c>
      <c r="CF116" s="58">
        <f>IF(AND($H116="threat",$BW116=0.7,$BV116=0.2),$D116 &amp; ";","")</f>
        <v/>
      </c>
      <c r="CG116" s="58">
        <f>IF(AND($H116="threat",$BW116=0.7,$BV116=0.4),$D116 &amp; ";","")</f>
        <v/>
      </c>
      <c r="CH116" s="58">
        <f>IF(AND($H116="threat",$BW116=0.7,$BV116=0.8),$D116 &amp; ";","")</f>
        <v/>
      </c>
      <c r="CI116" s="58">
        <f>IF(AND($H116="threat",$BW116=0.5,$BV116=0.05),$D116 &amp; ";","")</f>
        <v/>
      </c>
      <c r="CJ116" s="58">
        <f>IF(AND($H116="threat",$BW116=0.5,$BV116=0.1),$D116 &amp; ";","")</f>
        <v/>
      </c>
      <c r="CK116" s="58">
        <f>IF(AND($H116="threat",$BW116=0.5,$BV116=0.2),$D116 &amp; ";","")</f>
        <v/>
      </c>
      <c r="CL116" s="58">
        <f>IF(AND($H116="threat",$BW116=0.5,$BV116=0.4),$D116 &amp; ";","")</f>
        <v/>
      </c>
      <c r="CM116" s="58">
        <f>IF(AND($H116="threat",$BW116=0.5,$BV116=0.8),$D116 &amp; ";","")</f>
        <v/>
      </c>
      <c r="CN116" s="58">
        <f>IF(AND($H116="threat",$BW116=0.3,$BV116=0.05),$D116 &amp; ";","")</f>
        <v/>
      </c>
      <c r="CO116" s="58">
        <f>IF(AND($H116="threat",$BW116=0.3,$BV116=0.1),$D116 &amp; ";","")</f>
        <v/>
      </c>
      <c r="CP116" s="58">
        <f>IF(AND($H116="threat",$BW116=0.3,$BV116=0.2),$D116 &amp; ";","")</f>
        <v/>
      </c>
      <c r="CQ116" s="58">
        <f>IF(AND($H116="threat",$BW116=0.3,$BV116=0.4),$D116 &amp; ";","")</f>
        <v/>
      </c>
      <c r="CR116" s="58">
        <f>IF(AND($H116="threat",$BW116=0.3,$BV116=0.8),$D116 &amp; ";","")</f>
        <v/>
      </c>
      <c r="CS116" s="58">
        <f>IF(AND($H116="threat",$BW116=0.1,$BV116=0.05),$D116 &amp; ";","")</f>
        <v/>
      </c>
      <c r="CT116" s="58">
        <f>IF(AND($H116="threat",$BW116=0.1,$BV116=0.1),$D116 &amp; ";","")</f>
        <v/>
      </c>
      <c r="CU116" s="58">
        <f>IF(AND($H116="threat",$BW116=0.1,$BV116=0.2),$D116 &amp; ";","")</f>
        <v/>
      </c>
      <c r="CV116" s="58">
        <f>IF(AND($H116="threat",$BW116=0.1,$BV116=0.4),$D116 &amp; ";","")</f>
        <v/>
      </c>
      <c r="CW116" s="58">
        <f>IF(AND($H116="threat",$BW116=0.1,$BV116=0.8),$D116 &amp; ";","")</f>
        <v/>
      </c>
      <c r="CX116" s="39" t="n"/>
      <c r="CY116" s="58">
        <f>IF(AND($H116="opportunity",$BW116=0.9,$BV116=0.8),$D116 &amp; ";","")</f>
        <v/>
      </c>
      <c r="CZ116" s="58">
        <f>IF(AND($H116="opportunity",$BW116=0.9,$BV116=0.4),$D116 &amp; ";","")</f>
        <v/>
      </c>
      <c r="DA116" s="58">
        <f>IF(AND($H116="opportunity",$BW116=0.9,$BV116=0.2),$D116 &amp; ";","")</f>
        <v/>
      </c>
      <c r="DB116" s="58">
        <f>IF(AND($H116="opportunity",$BW116=0.9,$BV116=0.1),$D116 &amp; ";","")</f>
        <v/>
      </c>
      <c r="DC116" s="58">
        <f>IF(AND($H116="opportunity",$BW116=0.9,$BV116=0.05),$D116 &amp; ";","")</f>
        <v/>
      </c>
      <c r="DD116" s="58">
        <f>IF(AND($H116="opportunity",$BW116=0.7,$BV116=0.8),$D116 &amp; ";","")</f>
        <v/>
      </c>
      <c r="DE116" s="58">
        <f>IF(AND($H116="opportunity",$BW116=0.7,$BV116=0.4),$D116 &amp; ";","")</f>
        <v/>
      </c>
      <c r="DF116" s="58">
        <f>IF(AND($H116="opportunity",$BW116=0.7,$BV116=0.2),$D116 &amp; ";","")</f>
        <v/>
      </c>
      <c r="DG116" s="58">
        <f>IF(AND($H116="opportunity",$BW116=0.7,$BV116=0.1),$D116 &amp; ";","")</f>
        <v/>
      </c>
      <c r="DH116" s="58">
        <f>IF(AND($H116="opportunity",$BW116=0.7,$BV116=0.05),$D116 &amp; ";","")</f>
        <v/>
      </c>
      <c r="DI116" s="58">
        <f>IF(AND($H116="opportunity",$BW116=0.5,$BV116=0.8),$D116 &amp; ";","")</f>
        <v/>
      </c>
      <c r="DJ116" s="58">
        <f>IF(AND($H116="opportunity",$BW116=0.5,$BV116=0.4),$D116 &amp; ";","")</f>
        <v/>
      </c>
      <c r="DK116" s="58">
        <f>IF(AND($H116="opportunity",$BW116=0.5,$BV116=0.2),$D116 &amp; ";","")</f>
        <v/>
      </c>
      <c r="DL116" s="58">
        <f>IF(AND($H116="opportunity",$BW116=0.5,$BV116=0.1),$D116 &amp; ";","")</f>
        <v/>
      </c>
      <c r="DM116" s="58">
        <f>IF(AND($H116="opportunity",$BW116=0.5,$BV116=0.05),$D116 &amp; ";","")</f>
        <v/>
      </c>
      <c r="DN116" s="58">
        <f>IF(AND($H116="opportunity",$BW116=0.3,$BV116=0.8),$D116 &amp; ";","")</f>
        <v/>
      </c>
      <c r="DO116" s="58">
        <f>IF(AND($H116="opportunity",$BW116=0.3,$BV116=0.4),$D116 &amp; ";","")</f>
        <v/>
      </c>
      <c r="DP116" s="58">
        <f>IF(AND($H116="opportunity",$BW116=0.3,$BV116=0.2),$D116 &amp; ";","")</f>
        <v/>
      </c>
      <c r="DQ116" s="58">
        <f>IF(AND($H116="opportunity",$BW116=0.3,$BV116=0.1),$D116 &amp; ";","")</f>
        <v/>
      </c>
      <c r="DR116" s="58">
        <f>IF(AND($H116="opportunity",$BW116=0.3,$BV116=0.05),$D116 &amp; ";","")</f>
        <v/>
      </c>
      <c r="DS116" s="58">
        <f>IF(AND($H116="opportunity",$BW116=0.1,$BV116=0.8),$D116 &amp; ";","")</f>
        <v/>
      </c>
      <c r="DT116" s="58">
        <f>IF(AND($H116="opportunity",$BW116=0.1,$BV116=0.4),$D116 &amp; ";","")</f>
        <v/>
      </c>
      <c r="DU116" s="58">
        <f>IF(AND($H116="opportunity",$BW116=0.1,$BV116=0.2),$D116 &amp; ";","")</f>
        <v/>
      </c>
      <c r="DV116" s="58">
        <f>IF(AND($H116="opportunity",$BW116=0.1,$BV116=0.1),$D116 &amp; ";","")</f>
        <v/>
      </c>
      <c r="DW116" s="58">
        <f>IF(AND($H116="opportunity",$BW116=0.1,$BV116=0.05),$D116 &amp; ";","")</f>
        <v/>
      </c>
    </row>
    <row r="117">
      <c r="D117" s="60">
        <f>INDIRECT(ADDRESS(ROW()-22,COLUMN()-2,1,1,"Risk Register"))</f>
        <v/>
      </c>
      <c r="E117" s="143">
        <f>INDIRECT(ADDRESS(ROW()-22,COLUMN()-1,1,1,"Risk Register"))</f>
        <v/>
      </c>
      <c r="G117" s="56">
        <f>INDIRECT(ADDRESS(ROW()-22,COLUMN()+10,1,1,"Risk Register"))</f>
        <v/>
      </c>
      <c r="H117" s="60">
        <f>INDIRECT(ADDRESS(ROW()-22,COLUMN()+8,1,1,"Risk Register"))</f>
        <v/>
      </c>
      <c r="I117" s="54">
        <f>INDIRECT(ADDRESS(ROW()-22,COLUMN()+3,1,1,"Risk Register"))</f>
        <v/>
      </c>
      <c r="J117" s="143">
        <f>INDIRECT(ADDRESS(ROW()-22,COLUMN()+12,1,1,"Risk Register"))</f>
        <v/>
      </c>
      <c r="K117" s="143">
        <f>INDIRECT(ADDRESS(ROW()-22,COLUMN()-2,1,1,"Risk Register"))</f>
        <v/>
      </c>
      <c r="L117" s="176">
        <f>INDIRECT(ADDRESS(ROW()-22,COLUMN()+15,1,1,"Risk Register"))</f>
        <v/>
      </c>
      <c r="M117" s="54">
        <f>INDIRECT(ADDRESS(ROW()-22,COLUMN()+13,1,1,"Risk Register"))</f>
        <v/>
      </c>
      <c r="N117" s="143">
        <f>INDIRECT(ADDRESS(ROW()-22,COLUMN()-9,1,1,"Risk Register"))</f>
        <v/>
      </c>
      <c r="O117" s="143">
        <f>INDIRECT(ADDRESS(ROW()-22,COLUMN()-8,1,1,"Risk Register"))</f>
        <v/>
      </c>
      <c r="P117" s="56">
        <f>INDIRECT(ADDRESS(ROW()-22,COLUMN()+18,1,1,"Risk Register"))</f>
        <v/>
      </c>
      <c r="R117" s="57">
        <f>INDIRECT(ADDRESS(ROW()-22,COLUMN()-5,1,1,"Risk Register"))</f>
        <v/>
      </c>
      <c r="S117" s="58">
        <f>INDIRECT(ADDRESS(ROW()-22,COLUMN()-4,1,1,"Risk Register"))</f>
        <v/>
      </c>
      <c r="T117" s="59">
        <f>IF(AND($H117="threat",$G117&lt;=0.05),"gn",IF(AND($H117="threat",$G117&lt;=0.14),"y",IF(AND($H117="threat", $G117&gt;=0.15),"r",IF(AND($H117="opportunity",$G117&lt;=0.05),"gn",IF(AND($H117="opportunity",$G117&lt;=0.14),"lb",IF(AND($H117="opportunity",$G117&gt;=0.15),"db","z"))))))</f>
        <v/>
      </c>
      <c r="U117" s="58">
        <f>IF(AND($H117="threat",$S117=0.9,$R117=0.05),$D117 &amp; ";","")</f>
        <v/>
      </c>
      <c r="V117" s="58">
        <f>IF(AND($H117="threat",$S117=0.9,$R117=0.1),$D117 &amp; ";","")</f>
        <v/>
      </c>
      <c r="W117" s="58">
        <f>IF(AND($H117="threat",$S117=0.9,$R117=0.2),$D117 &amp; ";","")</f>
        <v/>
      </c>
      <c r="X117" s="58">
        <f>IF(AND($H117="threat",$S117=0.9,$R117=0.4),$D117 &amp; ";","")</f>
        <v/>
      </c>
      <c r="Y117" s="58">
        <f>IF(AND($H117="threat",$S117=0.9,$R117=0.8),$D117 &amp; ";","")</f>
        <v/>
      </c>
      <c r="Z117" s="58">
        <f>IF(AND($H117="threat",$S117=0.7,$R117=0.05),$D117 &amp; ";","")</f>
        <v/>
      </c>
      <c r="AA117" s="58">
        <f>IF(AND($H117="threat",$S117=0.7,$R117=0.1),$D117 &amp; ";","")</f>
        <v/>
      </c>
      <c r="AB117" s="58">
        <f>IF(AND($H117="threat",$S117=0.7,$R117=0.2),$D117 &amp; ";","")</f>
        <v/>
      </c>
      <c r="AC117" s="58">
        <f>IF(AND($H117="threat",$S117=0.7,$R117=0.4),$D117 &amp; ";","")</f>
        <v/>
      </c>
      <c r="AD117" s="58">
        <f>IF(AND($H117="threat",$S117=0.7,$R117=0.8),$D117 &amp; ";","")</f>
        <v/>
      </c>
      <c r="AE117" s="58">
        <f>IF(AND($H117="threat",$S117=0.5,$R117=0.05),$D117 &amp; ";","")</f>
        <v/>
      </c>
      <c r="AF117" s="58">
        <f>IF(AND($H117="threat",$S117=0.5,$R117=0.1),$D117 &amp; ";","")</f>
        <v/>
      </c>
      <c r="AG117" s="58">
        <f>IF(AND($H117="threat",$S117=0.5,$R117=0.2),$D117 &amp; ";","")</f>
        <v/>
      </c>
      <c r="AH117" s="58">
        <f>IF(AND($H117="threat",$S117=0.5,$R117=0.4),$D117 &amp; ";","")</f>
        <v/>
      </c>
      <c r="AI117" s="58">
        <f>IF(AND($H117="threat",$S117=0.5,$R117=0.8),$D117 &amp; ";","")</f>
        <v/>
      </c>
      <c r="AJ117" s="58">
        <f>IF(AND($H117="threat",$S117=0.3,$R117=0.05),$D117 &amp; ";","")</f>
        <v/>
      </c>
      <c r="AK117" s="58">
        <f>IF(AND($H117="threat",$S117=0.3,$R117=0.1),$D117 &amp; ";","")</f>
        <v/>
      </c>
      <c r="AL117" s="58">
        <f>IF(AND($H117="threat",$S117=0.3,$R117=0.2),$D117 &amp; ";","")</f>
        <v/>
      </c>
      <c r="AM117" s="58">
        <f>IF(AND($H117="threat",$S117=0.3,$R117=0.4),$D117 &amp; ";","")</f>
        <v/>
      </c>
      <c r="AN117" s="58">
        <f>IF(AND($H117="threat",$S117=0.3,$R117=0.8),$D117 &amp; ";","")</f>
        <v/>
      </c>
      <c r="AO117" s="58">
        <f>IF(AND($H117="threat",$S117=0.1,$R117=0.05),$D117 &amp; ";","")</f>
        <v/>
      </c>
      <c r="AP117" s="58">
        <f>IF(AND($H117="threat",$S117=0.1,$R117=0.1),$D117 &amp; ";","")</f>
        <v/>
      </c>
      <c r="AQ117" s="58">
        <f>IF(AND($H117="threat",$S117=0.1,$R117=0.2),$D117 &amp; ";","")</f>
        <v/>
      </c>
      <c r="AR117" s="58">
        <f>IF(AND($H117="threat",$S117=0.1,$R117=0.4),$D117 &amp; ";","")</f>
        <v/>
      </c>
      <c r="AS117" s="58">
        <f>IF(AND($H117="threat",$S117=0.1,$R117=0.8),$D117 &amp; ";","")</f>
        <v/>
      </c>
      <c r="AT117" s="39" t="n"/>
      <c r="AU117" s="58">
        <f>IF(AND($H117="opportunity",$S117=0.9,$R117=0.8),$D117 &amp; ";","")</f>
        <v/>
      </c>
      <c r="AV117" s="58">
        <f>IF(AND($H117="opportunity",$S117=0.9,$R117=0.4),$D117 &amp; ";","")</f>
        <v/>
      </c>
      <c r="AW117" s="58">
        <f>IF(AND($H117="opportunity",$S117=0.9,$R117=0.2),$D117 &amp; ";","")</f>
        <v/>
      </c>
      <c r="AX117" s="58">
        <f>IF(AND($H117="opportunity",$S117=0.9,$R117=0.1),$D117 &amp; ";","")</f>
        <v/>
      </c>
      <c r="AY117" s="58">
        <f>IF(AND($H117="opportunity",$S117=0.9,$R117=0.05),$D117 &amp; ";","")</f>
        <v/>
      </c>
      <c r="AZ117" s="58">
        <f>IF(AND($H117="opportunity",$S117=0.7,$R117=0.8),$D117 &amp; ";","")</f>
        <v/>
      </c>
      <c r="BA117" s="58">
        <f>IF(AND($H117="opportunity",$S117=0.7,$R117=0.4),$D117 &amp; ";","")</f>
        <v/>
      </c>
      <c r="BB117" s="58">
        <f>IF(AND($H117="opportunity",$S117=0.7,$R117=0.2),$D117 &amp; ";","")</f>
        <v/>
      </c>
      <c r="BC117" s="58">
        <f>IF(AND($H117="opportunity",$S117=0.7,$R117=0.1),$D117 &amp; ";","")</f>
        <v/>
      </c>
      <c r="BD117" s="58">
        <f>IF(AND($H117="opportunity",$S117=0.7,$R117=0.05),$D117 &amp; ";","")</f>
        <v/>
      </c>
      <c r="BE117" s="58">
        <f>IF(AND($H117="opportunity",$S117=0.5,$R117=0.8),$D117 &amp; ";","")</f>
        <v/>
      </c>
      <c r="BF117" s="58">
        <f>IF(AND($H117="opportunity",$S117=0.5,$R117=0.4),$D117 &amp; ";","")</f>
        <v/>
      </c>
      <c r="BG117" s="58">
        <f>IF(AND($H117="opportunity",$S117=0.5,$R117=0.2),$D117 &amp; ";","")</f>
        <v/>
      </c>
      <c r="BH117" s="58">
        <f>IF(AND($H117="opportunity",$S117=0.5,$R117=0.1),$D117 &amp; ";","")</f>
        <v/>
      </c>
      <c r="BI117" s="58">
        <f>IF(AND($H117="opportunity",$S117=0.5,$R117=0.05),$D117 &amp; ";","")</f>
        <v/>
      </c>
      <c r="BJ117" s="58">
        <f>IF(AND($H117="opportunity",$S117=0.3,$R117=0.8),$D117 &amp; ";","")</f>
        <v/>
      </c>
      <c r="BK117" s="58">
        <f>IF(AND($H117="opportunity",$S117=0.3,$R117=0.4),$D117 &amp; ";","")</f>
        <v/>
      </c>
      <c r="BL117" s="58">
        <f>IF(AND($H117="opportunity",$S117=0.3,$R117=0.2),$D117 &amp; ";","")</f>
        <v/>
      </c>
      <c r="BM117" s="58">
        <f>IF(AND($H117="opportunity",$S117=0.3,$R117=0.1),$D117 &amp; ";","")</f>
        <v/>
      </c>
      <c r="BN117" s="58">
        <f>IF(AND($H117="opportunity",$S117=0.3,$R117=0.05),$D117 &amp; ";","")</f>
        <v/>
      </c>
      <c r="BO117" s="58">
        <f>IF(AND($H117="opportunity",$S117=0.1,$R117=0.8),$D117 &amp; ";","")</f>
        <v/>
      </c>
      <c r="BP117" s="58">
        <f>IF(AND($H117="opportunity",$S117=0.1,$R117=0.4),$D117 &amp; ";","")</f>
        <v/>
      </c>
      <c r="BQ117" s="58">
        <f>IF(AND($H117="opportunity",$S117=0.1,$R117=0.2),$D117 &amp; ";","")</f>
        <v/>
      </c>
      <c r="BR117" s="58">
        <f>IF(AND($H117="opportunity",$S117=0.1,$R117=0.1),$D117 &amp; ";","")</f>
        <v/>
      </c>
      <c r="BS117" s="58">
        <f>IF(AND($H117="opportunity",$S117=0.1,$R117=0.05),$D117 &amp; ";","")</f>
        <v/>
      </c>
      <c r="BV117" s="57">
        <f>INDIRECT(ADDRESS(ROW()-22,COLUMN()-45,1,1,"Risk Register"))</f>
        <v/>
      </c>
      <c r="BW117" s="58">
        <f>INDIRECT(ADDRESS(ROW()-22,COLUMN()-44,1,1,"Risk Register"))</f>
        <v/>
      </c>
      <c r="BX117" s="59">
        <f>IF(AND($H117="threat",$P117&lt;=0.05),"gn",IF(AND($H117="threat",$P117&lt;=0.14),"y",IF(AND($H117="threat", $P117&gt;=0.15),"r",IF(AND($H117="opportunity",$P117&lt;=0.05),"gn",IF(AND($H117="opportunity",$P117&lt;=0.14),"lb",IF(AND($H117="opportunity",$P117&gt;=0.15),"db","z"))))))</f>
        <v/>
      </c>
      <c r="BY117" s="58">
        <f>IF(AND($H117="threat",$BW117=0.9,$BV117=0.05),$D117 &amp; ";","")</f>
        <v/>
      </c>
      <c r="BZ117" s="58">
        <f>IF(AND($H117="threat",$BW117=0.9,$BV117=0.1),$D117 &amp; ";","")</f>
        <v/>
      </c>
      <c r="CA117" s="58">
        <f>IF(AND($H117="threat",$BW117=0.9,$BV117=0.2),$D117 &amp; ";","")</f>
        <v/>
      </c>
      <c r="CB117" s="58">
        <f>IF(AND($H117="threat",$BW117=0.9,$BV117=0.4),$D117 &amp; ";","")</f>
        <v/>
      </c>
      <c r="CC117" s="58">
        <f>IF(AND($H117="threat",$BW117=0.9,$BV117=0.8),$D117 &amp; ";","")</f>
        <v/>
      </c>
      <c r="CD117" s="58">
        <f>IF(AND($H117="threat",$BW117=0.7,$BV117=0.05),$D117 &amp; ";","")</f>
        <v/>
      </c>
      <c r="CE117" s="58">
        <f>IF(AND($H117="threat",$BW117=0.7,$BV117=0.1),$D117 &amp; ";","")</f>
        <v/>
      </c>
      <c r="CF117" s="58">
        <f>IF(AND($H117="threat",$BW117=0.7,$BV117=0.2),$D117 &amp; ";","")</f>
        <v/>
      </c>
      <c r="CG117" s="58">
        <f>IF(AND($H117="threat",$BW117=0.7,$BV117=0.4),$D117 &amp; ";","")</f>
        <v/>
      </c>
      <c r="CH117" s="58">
        <f>IF(AND($H117="threat",$BW117=0.7,$BV117=0.8),$D117 &amp; ";","")</f>
        <v/>
      </c>
      <c r="CI117" s="58">
        <f>IF(AND($H117="threat",$BW117=0.5,$BV117=0.05),$D117 &amp; ";","")</f>
        <v/>
      </c>
      <c r="CJ117" s="58">
        <f>IF(AND($H117="threat",$BW117=0.5,$BV117=0.1),$D117 &amp; ";","")</f>
        <v/>
      </c>
      <c r="CK117" s="58">
        <f>IF(AND($H117="threat",$BW117=0.5,$BV117=0.2),$D117 &amp; ";","")</f>
        <v/>
      </c>
      <c r="CL117" s="58">
        <f>IF(AND($H117="threat",$BW117=0.5,$BV117=0.4),$D117 &amp; ";","")</f>
        <v/>
      </c>
      <c r="CM117" s="58">
        <f>IF(AND($H117="threat",$BW117=0.5,$BV117=0.8),$D117 &amp; ";","")</f>
        <v/>
      </c>
      <c r="CN117" s="58">
        <f>IF(AND($H117="threat",$BW117=0.3,$BV117=0.05),$D117 &amp; ";","")</f>
        <v/>
      </c>
      <c r="CO117" s="58">
        <f>IF(AND($H117="threat",$BW117=0.3,$BV117=0.1),$D117 &amp; ";","")</f>
        <v/>
      </c>
      <c r="CP117" s="58">
        <f>IF(AND($H117="threat",$BW117=0.3,$BV117=0.2),$D117 &amp; ";","")</f>
        <v/>
      </c>
      <c r="CQ117" s="58">
        <f>IF(AND($H117="threat",$BW117=0.3,$BV117=0.4),$D117 &amp; ";","")</f>
        <v/>
      </c>
      <c r="CR117" s="58">
        <f>IF(AND($H117="threat",$BW117=0.3,$BV117=0.8),$D117 &amp; ";","")</f>
        <v/>
      </c>
      <c r="CS117" s="58">
        <f>IF(AND($H117="threat",$BW117=0.1,$BV117=0.05),$D117 &amp; ";","")</f>
        <v/>
      </c>
      <c r="CT117" s="58">
        <f>IF(AND($H117="threat",$BW117=0.1,$BV117=0.1),$D117 &amp; ";","")</f>
        <v/>
      </c>
      <c r="CU117" s="58">
        <f>IF(AND($H117="threat",$BW117=0.1,$BV117=0.2),$D117 &amp; ";","")</f>
        <v/>
      </c>
      <c r="CV117" s="58">
        <f>IF(AND($H117="threat",$BW117=0.1,$BV117=0.4),$D117 &amp; ";","")</f>
        <v/>
      </c>
      <c r="CW117" s="58">
        <f>IF(AND($H117="threat",$BW117=0.1,$BV117=0.8),$D117 &amp; ";","")</f>
        <v/>
      </c>
      <c r="CX117" s="39" t="n"/>
      <c r="CY117" s="58">
        <f>IF(AND($H117="opportunity",$BW117=0.9,$BV117=0.8),$D117 &amp; ";","")</f>
        <v/>
      </c>
      <c r="CZ117" s="58">
        <f>IF(AND($H117="opportunity",$BW117=0.9,$BV117=0.4),$D117 &amp; ";","")</f>
        <v/>
      </c>
      <c r="DA117" s="58">
        <f>IF(AND($H117="opportunity",$BW117=0.9,$BV117=0.2),$D117 &amp; ";","")</f>
        <v/>
      </c>
      <c r="DB117" s="58">
        <f>IF(AND($H117="opportunity",$BW117=0.9,$BV117=0.1),$D117 &amp; ";","")</f>
        <v/>
      </c>
      <c r="DC117" s="58">
        <f>IF(AND($H117="opportunity",$BW117=0.9,$BV117=0.05),$D117 &amp; ";","")</f>
        <v/>
      </c>
      <c r="DD117" s="58">
        <f>IF(AND($H117="opportunity",$BW117=0.7,$BV117=0.8),$D117 &amp; ";","")</f>
        <v/>
      </c>
      <c r="DE117" s="58">
        <f>IF(AND($H117="opportunity",$BW117=0.7,$BV117=0.4),$D117 &amp; ";","")</f>
        <v/>
      </c>
      <c r="DF117" s="58">
        <f>IF(AND($H117="opportunity",$BW117=0.7,$BV117=0.2),$D117 &amp; ";","")</f>
        <v/>
      </c>
      <c r="DG117" s="58">
        <f>IF(AND($H117="opportunity",$BW117=0.7,$BV117=0.1),$D117 &amp; ";","")</f>
        <v/>
      </c>
      <c r="DH117" s="58">
        <f>IF(AND($H117="opportunity",$BW117=0.7,$BV117=0.05),$D117 &amp; ";","")</f>
        <v/>
      </c>
      <c r="DI117" s="58">
        <f>IF(AND($H117="opportunity",$BW117=0.5,$BV117=0.8),$D117 &amp; ";","")</f>
        <v/>
      </c>
      <c r="DJ117" s="58">
        <f>IF(AND($H117="opportunity",$BW117=0.5,$BV117=0.4),$D117 &amp; ";","")</f>
        <v/>
      </c>
      <c r="DK117" s="58">
        <f>IF(AND($H117="opportunity",$BW117=0.5,$BV117=0.2),$D117 &amp; ";","")</f>
        <v/>
      </c>
      <c r="DL117" s="58">
        <f>IF(AND($H117="opportunity",$BW117=0.5,$BV117=0.1),$D117 &amp; ";","")</f>
        <v/>
      </c>
      <c r="DM117" s="58">
        <f>IF(AND($H117="opportunity",$BW117=0.5,$BV117=0.05),$D117 &amp; ";","")</f>
        <v/>
      </c>
      <c r="DN117" s="58">
        <f>IF(AND($H117="opportunity",$BW117=0.3,$BV117=0.8),$D117 &amp; ";","")</f>
        <v/>
      </c>
      <c r="DO117" s="58">
        <f>IF(AND($H117="opportunity",$BW117=0.3,$BV117=0.4),$D117 &amp; ";","")</f>
        <v/>
      </c>
      <c r="DP117" s="58">
        <f>IF(AND($H117="opportunity",$BW117=0.3,$BV117=0.2),$D117 &amp; ";","")</f>
        <v/>
      </c>
      <c r="DQ117" s="58">
        <f>IF(AND($H117="opportunity",$BW117=0.3,$BV117=0.1),$D117 &amp; ";","")</f>
        <v/>
      </c>
      <c r="DR117" s="58">
        <f>IF(AND($H117="opportunity",$BW117=0.3,$BV117=0.05),$D117 &amp; ";","")</f>
        <v/>
      </c>
      <c r="DS117" s="58">
        <f>IF(AND($H117="opportunity",$BW117=0.1,$BV117=0.8),$D117 &amp; ";","")</f>
        <v/>
      </c>
      <c r="DT117" s="58">
        <f>IF(AND($H117="opportunity",$BW117=0.1,$BV117=0.4),$D117 &amp; ";","")</f>
        <v/>
      </c>
      <c r="DU117" s="58">
        <f>IF(AND($H117="opportunity",$BW117=0.1,$BV117=0.2),$D117 &amp; ";","")</f>
        <v/>
      </c>
      <c r="DV117" s="58">
        <f>IF(AND($H117="opportunity",$BW117=0.1,$BV117=0.1),$D117 &amp; ";","")</f>
        <v/>
      </c>
      <c r="DW117" s="58">
        <f>IF(AND($H117="opportunity",$BW117=0.1,$BV117=0.05),$D117 &amp; ";","")</f>
        <v/>
      </c>
    </row>
    <row r="118">
      <c r="D118" s="60">
        <f>INDIRECT(ADDRESS(ROW()-22,COLUMN()-2,1,1,"Risk Register"))</f>
        <v/>
      </c>
      <c r="E118" s="143">
        <f>INDIRECT(ADDRESS(ROW()-22,COLUMN()-1,1,1,"Risk Register"))</f>
        <v/>
      </c>
      <c r="G118" s="56">
        <f>INDIRECT(ADDRESS(ROW()-22,COLUMN()+10,1,1,"Risk Register"))</f>
        <v/>
      </c>
      <c r="H118" s="60">
        <f>INDIRECT(ADDRESS(ROW()-22,COLUMN()+8,1,1,"Risk Register"))</f>
        <v/>
      </c>
      <c r="I118" s="54">
        <f>INDIRECT(ADDRESS(ROW()-22,COLUMN()+3,1,1,"Risk Register"))</f>
        <v/>
      </c>
      <c r="J118" s="143">
        <f>INDIRECT(ADDRESS(ROW()-22,COLUMN()+12,1,1,"Risk Register"))</f>
        <v/>
      </c>
      <c r="K118" s="143">
        <f>INDIRECT(ADDRESS(ROW()-22,COLUMN()-2,1,1,"Risk Register"))</f>
        <v/>
      </c>
      <c r="L118" s="176">
        <f>INDIRECT(ADDRESS(ROW()-22,COLUMN()+15,1,1,"Risk Register"))</f>
        <v/>
      </c>
      <c r="M118" s="54">
        <f>INDIRECT(ADDRESS(ROW()-22,COLUMN()+13,1,1,"Risk Register"))</f>
        <v/>
      </c>
      <c r="N118" s="143">
        <f>INDIRECT(ADDRESS(ROW()-22,COLUMN()-9,1,1,"Risk Register"))</f>
        <v/>
      </c>
      <c r="O118" s="143">
        <f>INDIRECT(ADDRESS(ROW()-22,COLUMN()-8,1,1,"Risk Register"))</f>
        <v/>
      </c>
      <c r="P118" s="56">
        <f>INDIRECT(ADDRESS(ROW()-22,COLUMN()+18,1,1,"Risk Register"))</f>
        <v/>
      </c>
      <c r="R118" s="57">
        <f>INDIRECT(ADDRESS(ROW()-22,COLUMN()-5,1,1,"Risk Register"))</f>
        <v/>
      </c>
      <c r="S118" s="58">
        <f>INDIRECT(ADDRESS(ROW()-22,COLUMN()-4,1,1,"Risk Register"))</f>
        <v/>
      </c>
      <c r="T118" s="59">
        <f>IF(AND($H118="threat",$G118&lt;=0.05),"gn",IF(AND($H118="threat",$G118&lt;=0.14),"y",IF(AND($H118="threat", $G118&gt;=0.15),"r",IF(AND($H118="opportunity",$G118&lt;=0.05),"gn",IF(AND($H118="opportunity",$G118&lt;=0.14),"lb",IF(AND($H118="opportunity",$G118&gt;=0.15),"db","z"))))))</f>
        <v/>
      </c>
      <c r="U118" s="58">
        <f>IF(AND($H118="threat",$S118=0.9,$R118=0.05),$D118 &amp; ";","")</f>
        <v/>
      </c>
      <c r="V118" s="58">
        <f>IF(AND($H118="threat",$S118=0.9,$R118=0.1),$D118 &amp; ";","")</f>
        <v/>
      </c>
      <c r="W118" s="58">
        <f>IF(AND($H118="threat",$S118=0.9,$R118=0.2),$D118 &amp; ";","")</f>
        <v/>
      </c>
      <c r="X118" s="58">
        <f>IF(AND($H118="threat",$S118=0.9,$R118=0.4),$D118 &amp; ";","")</f>
        <v/>
      </c>
      <c r="Y118" s="58">
        <f>IF(AND($H118="threat",$S118=0.9,$R118=0.8),$D118 &amp; ";","")</f>
        <v/>
      </c>
      <c r="Z118" s="58">
        <f>IF(AND($H118="threat",$S118=0.7,$R118=0.05),$D118 &amp; ";","")</f>
        <v/>
      </c>
      <c r="AA118" s="58">
        <f>IF(AND($H118="threat",$S118=0.7,$R118=0.1),$D118 &amp; ";","")</f>
        <v/>
      </c>
      <c r="AB118" s="58">
        <f>IF(AND($H118="threat",$S118=0.7,$R118=0.2),$D118 &amp; ";","")</f>
        <v/>
      </c>
      <c r="AC118" s="58">
        <f>IF(AND($H118="threat",$S118=0.7,$R118=0.4),$D118 &amp; ";","")</f>
        <v/>
      </c>
      <c r="AD118" s="58">
        <f>IF(AND($H118="threat",$S118=0.7,$R118=0.8),$D118 &amp; ";","")</f>
        <v/>
      </c>
      <c r="AE118" s="58">
        <f>IF(AND($H118="threat",$S118=0.5,$R118=0.05),$D118 &amp; ";","")</f>
        <v/>
      </c>
      <c r="AF118" s="58">
        <f>IF(AND($H118="threat",$S118=0.5,$R118=0.1),$D118 &amp; ";","")</f>
        <v/>
      </c>
      <c r="AG118" s="58">
        <f>IF(AND($H118="threat",$S118=0.5,$R118=0.2),$D118 &amp; ";","")</f>
        <v/>
      </c>
      <c r="AH118" s="58">
        <f>IF(AND($H118="threat",$S118=0.5,$R118=0.4),$D118 &amp; ";","")</f>
        <v/>
      </c>
      <c r="AI118" s="58">
        <f>IF(AND($H118="threat",$S118=0.5,$R118=0.8),$D118 &amp; ";","")</f>
        <v/>
      </c>
      <c r="AJ118" s="58">
        <f>IF(AND($H118="threat",$S118=0.3,$R118=0.05),$D118 &amp; ";","")</f>
        <v/>
      </c>
      <c r="AK118" s="58">
        <f>IF(AND($H118="threat",$S118=0.3,$R118=0.1),$D118 &amp; ";","")</f>
        <v/>
      </c>
      <c r="AL118" s="58">
        <f>IF(AND($H118="threat",$S118=0.3,$R118=0.2),$D118 &amp; ";","")</f>
        <v/>
      </c>
      <c r="AM118" s="58">
        <f>IF(AND($H118="threat",$S118=0.3,$R118=0.4),$D118 &amp; ";","")</f>
        <v/>
      </c>
      <c r="AN118" s="58">
        <f>IF(AND($H118="threat",$S118=0.3,$R118=0.8),$D118 &amp; ";","")</f>
        <v/>
      </c>
      <c r="AO118" s="58">
        <f>IF(AND($H118="threat",$S118=0.1,$R118=0.05),$D118 &amp; ";","")</f>
        <v/>
      </c>
      <c r="AP118" s="58">
        <f>IF(AND($H118="threat",$S118=0.1,$R118=0.1),$D118 &amp; ";","")</f>
        <v/>
      </c>
      <c r="AQ118" s="58">
        <f>IF(AND($H118="threat",$S118=0.1,$R118=0.2),$D118 &amp; ";","")</f>
        <v/>
      </c>
      <c r="AR118" s="58">
        <f>IF(AND($H118="threat",$S118=0.1,$R118=0.4),$D118 &amp; ";","")</f>
        <v/>
      </c>
      <c r="AS118" s="58">
        <f>IF(AND($H118="threat",$S118=0.1,$R118=0.8),$D118 &amp; ";","")</f>
        <v/>
      </c>
      <c r="AT118" s="39" t="n"/>
      <c r="AU118" s="58">
        <f>IF(AND($H118="opportunity",$S118=0.9,$R118=0.8),$D118 &amp; ";","")</f>
        <v/>
      </c>
      <c r="AV118" s="58">
        <f>IF(AND($H118="opportunity",$S118=0.9,$R118=0.4),$D118 &amp; ";","")</f>
        <v/>
      </c>
      <c r="AW118" s="58">
        <f>IF(AND($H118="opportunity",$S118=0.9,$R118=0.2),$D118 &amp; ";","")</f>
        <v/>
      </c>
      <c r="AX118" s="58">
        <f>IF(AND($H118="opportunity",$S118=0.9,$R118=0.1),$D118 &amp; ";","")</f>
        <v/>
      </c>
      <c r="AY118" s="58">
        <f>IF(AND($H118="opportunity",$S118=0.9,$R118=0.05),$D118 &amp; ";","")</f>
        <v/>
      </c>
      <c r="AZ118" s="58">
        <f>IF(AND($H118="opportunity",$S118=0.7,$R118=0.8),$D118 &amp; ";","")</f>
        <v/>
      </c>
      <c r="BA118" s="58">
        <f>IF(AND($H118="opportunity",$S118=0.7,$R118=0.4),$D118 &amp; ";","")</f>
        <v/>
      </c>
      <c r="BB118" s="58">
        <f>IF(AND($H118="opportunity",$S118=0.7,$R118=0.2),$D118 &amp; ";","")</f>
        <v/>
      </c>
      <c r="BC118" s="58">
        <f>IF(AND($H118="opportunity",$S118=0.7,$R118=0.1),$D118 &amp; ";","")</f>
        <v/>
      </c>
      <c r="BD118" s="58">
        <f>IF(AND($H118="opportunity",$S118=0.7,$R118=0.05),$D118 &amp; ";","")</f>
        <v/>
      </c>
      <c r="BE118" s="58">
        <f>IF(AND($H118="opportunity",$S118=0.5,$R118=0.8),$D118 &amp; ";","")</f>
        <v/>
      </c>
      <c r="BF118" s="58">
        <f>IF(AND($H118="opportunity",$S118=0.5,$R118=0.4),$D118 &amp; ";","")</f>
        <v/>
      </c>
      <c r="BG118" s="58">
        <f>IF(AND($H118="opportunity",$S118=0.5,$R118=0.2),$D118 &amp; ";","")</f>
        <v/>
      </c>
      <c r="BH118" s="58">
        <f>IF(AND($H118="opportunity",$S118=0.5,$R118=0.1),$D118 &amp; ";","")</f>
        <v/>
      </c>
      <c r="BI118" s="58">
        <f>IF(AND($H118="opportunity",$S118=0.5,$R118=0.05),$D118 &amp; ";","")</f>
        <v/>
      </c>
      <c r="BJ118" s="58">
        <f>IF(AND($H118="opportunity",$S118=0.3,$R118=0.8),$D118 &amp; ";","")</f>
        <v/>
      </c>
      <c r="BK118" s="58">
        <f>IF(AND($H118="opportunity",$S118=0.3,$R118=0.4),$D118 &amp; ";","")</f>
        <v/>
      </c>
      <c r="BL118" s="58">
        <f>IF(AND($H118="opportunity",$S118=0.3,$R118=0.2),$D118 &amp; ";","")</f>
        <v/>
      </c>
      <c r="BM118" s="58">
        <f>IF(AND($H118="opportunity",$S118=0.3,$R118=0.1),$D118 &amp; ";","")</f>
        <v/>
      </c>
      <c r="BN118" s="58">
        <f>IF(AND($H118="opportunity",$S118=0.3,$R118=0.05),$D118 &amp; ";","")</f>
        <v/>
      </c>
      <c r="BO118" s="58">
        <f>IF(AND($H118="opportunity",$S118=0.1,$R118=0.8),$D118 &amp; ";","")</f>
        <v/>
      </c>
      <c r="BP118" s="58">
        <f>IF(AND($H118="opportunity",$S118=0.1,$R118=0.4),$D118 &amp; ";","")</f>
        <v/>
      </c>
      <c r="BQ118" s="58">
        <f>IF(AND($H118="opportunity",$S118=0.1,$R118=0.2),$D118 &amp; ";","")</f>
        <v/>
      </c>
      <c r="BR118" s="58">
        <f>IF(AND($H118="opportunity",$S118=0.1,$R118=0.1),$D118 &amp; ";","")</f>
        <v/>
      </c>
      <c r="BS118" s="58">
        <f>IF(AND($H118="opportunity",$S118=0.1,$R118=0.05),$D118 &amp; ";","")</f>
        <v/>
      </c>
      <c r="BV118" s="57">
        <f>INDIRECT(ADDRESS(ROW()-22,COLUMN()-45,1,1,"Risk Register"))</f>
        <v/>
      </c>
      <c r="BW118" s="58">
        <f>INDIRECT(ADDRESS(ROW()-22,COLUMN()-44,1,1,"Risk Register"))</f>
        <v/>
      </c>
      <c r="BX118" s="59">
        <f>IF(AND($H118="threat",$P118&lt;=0.05),"gn",IF(AND($H118="threat",$P118&lt;=0.14),"y",IF(AND($H118="threat", $P118&gt;=0.15),"r",IF(AND($H118="opportunity",$P118&lt;=0.05),"gn",IF(AND($H118="opportunity",$P118&lt;=0.14),"lb",IF(AND($H118="opportunity",$P118&gt;=0.15),"db","z"))))))</f>
        <v/>
      </c>
      <c r="BY118" s="58">
        <f>IF(AND($H118="threat",$BW118=0.9,$BV118=0.05),$D118 &amp; ";","")</f>
        <v/>
      </c>
      <c r="BZ118" s="58">
        <f>IF(AND($H118="threat",$BW118=0.9,$BV118=0.1),$D118 &amp; ";","")</f>
        <v/>
      </c>
      <c r="CA118" s="58">
        <f>IF(AND($H118="threat",$BW118=0.9,$BV118=0.2),$D118 &amp; ";","")</f>
        <v/>
      </c>
      <c r="CB118" s="58">
        <f>IF(AND($H118="threat",$BW118=0.9,$BV118=0.4),$D118 &amp; ";","")</f>
        <v/>
      </c>
      <c r="CC118" s="58">
        <f>IF(AND($H118="threat",$BW118=0.9,$BV118=0.8),$D118 &amp; ";","")</f>
        <v/>
      </c>
      <c r="CD118" s="58">
        <f>IF(AND($H118="threat",$BW118=0.7,$BV118=0.05),$D118 &amp; ";","")</f>
        <v/>
      </c>
      <c r="CE118" s="58">
        <f>IF(AND($H118="threat",$BW118=0.7,$BV118=0.1),$D118 &amp; ";","")</f>
        <v/>
      </c>
      <c r="CF118" s="58">
        <f>IF(AND($H118="threat",$BW118=0.7,$BV118=0.2),$D118 &amp; ";","")</f>
        <v/>
      </c>
      <c r="CG118" s="58">
        <f>IF(AND($H118="threat",$BW118=0.7,$BV118=0.4),$D118 &amp; ";","")</f>
        <v/>
      </c>
      <c r="CH118" s="58">
        <f>IF(AND($H118="threat",$BW118=0.7,$BV118=0.8),$D118 &amp; ";","")</f>
        <v/>
      </c>
      <c r="CI118" s="58">
        <f>IF(AND($H118="threat",$BW118=0.5,$BV118=0.05),$D118 &amp; ";","")</f>
        <v/>
      </c>
      <c r="CJ118" s="58">
        <f>IF(AND($H118="threat",$BW118=0.5,$BV118=0.1),$D118 &amp; ";","")</f>
        <v/>
      </c>
      <c r="CK118" s="58">
        <f>IF(AND($H118="threat",$BW118=0.5,$BV118=0.2),$D118 &amp; ";","")</f>
        <v/>
      </c>
      <c r="CL118" s="58">
        <f>IF(AND($H118="threat",$BW118=0.5,$BV118=0.4),$D118 &amp; ";","")</f>
        <v/>
      </c>
      <c r="CM118" s="58">
        <f>IF(AND($H118="threat",$BW118=0.5,$BV118=0.8),$D118 &amp; ";","")</f>
        <v/>
      </c>
      <c r="CN118" s="58">
        <f>IF(AND($H118="threat",$BW118=0.3,$BV118=0.05),$D118 &amp; ";","")</f>
        <v/>
      </c>
      <c r="CO118" s="58">
        <f>IF(AND($H118="threat",$BW118=0.3,$BV118=0.1),$D118 &amp; ";","")</f>
        <v/>
      </c>
      <c r="CP118" s="58">
        <f>IF(AND($H118="threat",$BW118=0.3,$BV118=0.2),$D118 &amp; ";","")</f>
        <v/>
      </c>
      <c r="CQ118" s="58">
        <f>IF(AND($H118="threat",$BW118=0.3,$BV118=0.4),$D118 &amp; ";","")</f>
        <v/>
      </c>
      <c r="CR118" s="58">
        <f>IF(AND($H118="threat",$BW118=0.3,$BV118=0.8),$D118 &amp; ";","")</f>
        <v/>
      </c>
      <c r="CS118" s="58">
        <f>IF(AND($H118="threat",$BW118=0.1,$BV118=0.05),$D118 &amp; ";","")</f>
        <v/>
      </c>
      <c r="CT118" s="58">
        <f>IF(AND($H118="threat",$BW118=0.1,$BV118=0.1),$D118 &amp; ";","")</f>
        <v/>
      </c>
      <c r="CU118" s="58">
        <f>IF(AND($H118="threat",$BW118=0.1,$BV118=0.2),$D118 &amp; ";","")</f>
        <v/>
      </c>
      <c r="CV118" s="58">
        <f>IF(AND($H118="threat",$BW118=0.1,$BV118=0.4),$D118 &amp; ";","")</f>
        <v/>
      </c>
      <c r="CW118" s="58">
        <f>IF(AND($H118="threat",$BW118=0.1,$BV118=0.8),$D118 &amp; ";","")</f>
        <v/>
      </c>
      <c r="CX118" s="39" t="n"/>
      <c r="CY118" s="58">
        <f>IF(AND($H118="opportunity",$BW118=0.9,$BV118=0.8),$D118 &amp; ";","")</f>
        <v/>
      </c>
      <c r="CZ118" s="58">
        <f>IF(AND($H118="opportunity",$BW118=0.9,$BV118=0.4),$D118 &amp; ";","")</f>
        <v/>
      </c>
      <c r="DA118" s="58">
        <f>IF(AND($H118="opportunity",$BW118=0.9,$BV118=0.2),$D118 &amp; ";","")</f>
        <v/>
      </c>
      <c r="DB118" s="58">
        <f>IF(AND($H118="opportunity",$BW118=0.9,$BV118=0.1),$D118 &amp; ";","")</f>
        <v/>
      </c>
      <c r="DC118" s="58">
        <f>IF(AND($H118="opportunity",$BW118=0.9,$BV118=0.05),$D118 &amp; ";","")</f>
        <v/>
      </c>
      <c r="DD118" s="58">
        <f>IF(AND($H118="opportunity",$BW118=0.7,$BV118=0.8),$D118 &amp; ";","")</f>
        <v/>
      </c>
      <c r="DE118" s="58">
        <f>IF(AND($H118="opportunity",$BW118=0.7,$BV118=0.4),$D118 &amp; ";","")</f>
        <v/>
      </c>
      <c r="DF118" s="58">
        <f>IF(AND($H118="opportunity",$BW118=0.7,$BV118=0.2),$D118 &amp; ";","")</f>
        <v/>
      </c>
      <c r="DG118" s="58">
        <f>IF(AND($H118="opportunity",$BW118=0.7,$BV118=0.1),$D118 &amp; ";","")</f>
        <v/>
      </c>
      <c r="DH118" s="58">
        <f>IF(AND($H118="opportunity",$BW118=0.7,$BV118=0.05),$D118 &amp; ";","")</f>
        <v/>
      </c>
      <c r="DI118" s="58">
        <f>IF(AND($H118="opportunity",$BW118=0.5,$BV118=0.8),$D118 &amp; ";","")</f>
        <v/>
      </c>
      <c r="DJ118" s="58">
        <f>IF(AND($H118="opportunity",$BW118=0.5,$BV118=0.4),$D118 &amp; ";","")</f>
        <v/>
      </c>
      <c r="DK118" s="58">
        <f>IF(AND($H118="opportunity",$BW118=0.5,$BV118=0.2),$D118 &amp; ";","")</f>
        <v/>
      </c>
      <c r="DL118" s="58">
        <f>IF(AND($H118="opportunity",$BW118=0.5,$BV118=0.1),$D118 &amp; ";","")</f>
        <v/>
      </c>
      <c r="DM118" s="58">
        <f>IF(AND($H118="opportunity",$BW118=0.5,$BV118=0.05),$D118 &amp; ";","")</f>
        <v/>
      </c>
      <c r="DN118" s="58">
        <f>IF(AND($H118="opportunity",$BW118=0.3,$BV118=0.8),$D118 &amp; ";","")</f>
        <v/>
      </c>
      <c r="DO118" s="58">
        <f>IF(AND($H118="opportunity",$BW118=0.3,$BV118=0.4),$D118 &amp; ";","")</f>
        <v/>
      </c>
      <c r="DP118" s="58">
        <f>IF(AND($H118="opportunity",$BW118=0.3,$BV118=0.2),$D118 &amp; ";","")</f>
        <v/>
      </c>
      <c r="DQ118" s="58">
        <f>IF(AND($H118="opportunity",$BW118=0.3,$BV118=0.1),$D118 &amp; ";","")</f>
        <v/>
      </c>
      <c r="DR118" s="58">
        <f>IF(AND($H118="opportunity",$BW118=0.3,$BV118=0.05),$D118 &amp; ";","")</f>
        <v/>
      </c>
      <c r="DS118" s="58">
        <f>IF(AND($H118="opportunity",$BW118=0.1,$BV118=0.8),$D118 &amp; ";","")</f>
        <v/>
      </c>
      <c r="DT118" s="58">
        <f>IF(AND($H118="opportunity",$BW118=0.1,$BV118=0.4),$D118 &amp; ";","")</f>
        <v/>
      </c>
      <c r="DU118" s="58">
        <f>IF(AND($H118="opportunity",$BW118=0.1,$BV118=0.2),$D118 &amp; ";","")</f>
        <v/>
      </c>
      <c r="DV118" s="58">
        <f>IF(AND($H118="opportunity",$BW118=0.1,$BV118=0.1),$D118 &amp; ";","")</f>
        <v/>
      </c>
      <c r="DW118" s="58">
        <f>IF(AND($H118="opportunity",$BW118=0.1,$BV118=0.05),$D118 &amp; ";","")</f>
        <v/>
      </c>
    </row>
    <row r="119">
      <c r="D119" s="60">
        <f>INDIRECT(ADDRESS(ROW()-22,COLUMN()-2,1,1,"Risk Register"))</f>
        <v/>
      </c>
      <c r="E119" s="143">
        <f>INDIRECT(ADDRESS(ROW()-22,COLUMN()-1,1,1,"Risk Register"))</f>
        <v/>
      </c>
      <c r="G119" s="56">
        <f>INDIRECT(ADDRESS(ROW()-22,COLUMN()+10,1,1,"Risk Register"))</f>
        <v/>
      </c>
      <c r="H119" s="60">
        <f>INDIRECT(ADDRESS(ROW()-22,COLUMN()+8,1,1,"Risk Register"))</f>
        <v/>
      </c>
      <c r="I119" s="54">
        <f>INDIRECT(ADDRESS(ROW()-22,COLUMN()+3,1,1,"Risk Register"))</f>
        <v/>
      </c>
      <c r="J119" s="143">
        <f>INDIRECT(ADDRESS(ROW()-22,COLUMN()+12,1,1,"Risk Register"))</f>
        <v/>
      </c>
      <c r="K119" s="143">
        <f>INDIRECT(ADDRESS(ROW()-22,COLUMN()-2,1,1,"Risk Register"))</f>
        <v/>
      </c>
      <c r="L119" s="176">
        <f>INDIRECT(ADDRESS(ROW()-22,COLUMN()+15,1,1,"Risk Register"))</f>
        <v/>
      </c>
      <c r="M119" s="54">
        <f>INDIRECT(ADDRESS(ROW()-22,COLUMN()+13,1,1,"Risk Register"))</f>
        <v/>
      </c>
      <c r="N119" s="143">
        <f>INDIRECT(ADDRESS(ROW()-22,COLUMN()-9,1,1,"Risk Register"))</f>
        <v/>
      </c>
      <c r="O119" s="143">
        <f>INDIRECT(ADDRESS(ROW()-22,COLUMN()-8,1,1,"Risk Register"))</f>
        <v/>
      </c>
      <c r="P119" s="56">
        <f>INDIRECT(ADDRESS(ROW()-22,COLUMN()+18,1,1,"Risk Register"))</f>
        <v/>
      </c>
      <c r="R119" s="57">
        <f>INDIRECT(ADDRESS(ROW()-22,COLUMN()-5,1,1,"Risk Register"))</f>
        <v/>
      </c>
      <c r="S119" s="58">
        <f>INDIRECT(ADDRESS(ROW()-22,COLUMN()-4,1,1,"Risk Register"))</f>
        <v/>
      </c>
      <c r="T119" s="59">
        <f>IF(AND($H119="threat",$G119&lt;=0.05),"gn",IF(AND($H119="threat",$G119&lt;=0.14),"y",IF(AND($H119="threat", $G119&gt;=0.15),"r",IF(AND($H119="opportunity",$G119&lt;=0.05),"gn",IF(AND($H119="opportunity",$G119&lt;=0.14),"lb",IF(AND($H119="opportunity",$G119&gt;=0.15),"db","z"))))))</f>
        <v/>
      </c>
      <c r="U119" s="58">
        <f>IF(AND($H119="threat",$S119=0.9,$R119=0.05),$D119 &amp; ";","")</f>
        <v/>
      </c>
      <c r="V119" s="58">
        <f>IF(AND($H119="threat",$S119=0.9,$R119=0.1),$D119 &amp; ";","")</f>
        <v/>
      </c>
      <c r="W119" s="58">
        <f>IF(AND($H119="threat",$S119=0.9,$R119=0.2),$D119 &amp; ";","")</f>
        <v/>
      </c>
      <c r="X119" s="58">
        <f>IF(AND($H119="threat",$S119=0.9,$R119=0.4),$D119 &amp; ";","")</f>
        <v/>
      </c>
      <c r="Y119" s="58">
        <f>IF(AND($H119="threat",$S119=0.9,$R119=0.8),$D119 &amp; ";","")</f>
        <v/>
      </c>
      <c r="Z119" s="58">
        <f>IF(AND($H119="threat",$S119=0.7,$R119=0.05),$D119 &amp; ";","")</f>
        <v/>
      </c>
      <c r="AA119" s="58">
        <f>IF(AND($H119="threat",$S119=0.7,$R119=0.1),$D119 &amp; ";","")</f>
        <v/>
      </c>
      <c r="AB119" s="58">
        <f>IF(AND($H119="threat",$S119=0.7,$R119=0.2),$D119 &amp; ";","")</f>
        <v/>
      </c>
      <c r="AC119" s="58">
        <f>IF(AND($H119="threat",$S119=0.7,$R119=0.4),$D119 &amp; ";","")</f>
        <v/>
      </c>
      <c r="AD119" s="58">
        <f>IF(AND($H119="threat",$S119=0.7,$R119=0.8),$D119 &amp; ";","")</f>
        <v/>
      </c>
      <c r="AE119" s="58">
        <f>IF(AND($H119="threat",$S119=0.5,$R119=0.05),$D119 &amp; ";","")</f>
        <v/>
      </c>
      <c r="AF119" s="58">
        <f>IF(AND($H119="threat",$S119=0.5,$R119=0.1),$D119 &amp; ";","")</f>
        <v/>
      </c>
      <c r="AG119" s="58">
        <f>IF(AND($H119="threat",$S119=0.5,$R119=0.2),$D119 &amp; ";","")</f>
        <v/>
      </c>
      <c r="AH119" s="58">
        <f>IF(AND($H119="threat",$S119=0.5,$R119=0.4),$D119 &amp; ";","")</f>
        <v/>
      </c>
      <c r="AI119" s="58">
        <f>IF(AND($H119="threat",$S119=0.5,$R119=0.8),$D119 &amp; ";","")</f>
        <v/>
      </c>
      <c r="AJ119" s="58">
        <f>IF(AND($H119="threat",$S119=0.3,$R119=0.05),$D119 &amp; ";","")</f>
        <v/>
      </c>
      <c r="AK119" s="58">
        <f>IF(AND($H119="threat",$S119=0.3,$R119=0.1),$D119 &amp; ";","")</f>
        <v/>
      </c>
      <c r="AL119" s="58">
        <f>IF(AND($H119="threat",$S119=0.3,$R119=0.2),$D119 &amp; ";","")</f>
        <v/>
      </c>
      <c r="AM119" s="58">
        <f>IF(AND($H119="threat",$S119=0.3,$R119=0.4),$D119 &amp; ";","")</f>
        <v/>
      </c>
      <c r="AN119" s="58">
        <f>IF(AND($H119="threat",$S119=0.3,$R119=0.8),$D119 &amp; ";","")</f>
        <v/>
      </c>
      <c r="AO119" s="58">
        <f>IF(AND($H119="threat",$S119=0.1,$R119=0.05),$D119 &amp; ";","")</f>
        <v/>
      </c>
      <c r="AP119" s="58">
        <f>IF(AND($H119="threat",$S119=0.1,$R119=0.1),$D119 &amp; ";","")</f>
        <v/>
      </c>
      <c r="AQ119" s="58">
        <f>IF(AND($H119="threat",$S119=0.1,$R119=0.2),$D119 &amp; ";","")</f>
        <v/>
      </c>
      <c r="AR119" s="58">
        <f>IF(AND($H119="threat",$S119=0.1,$R119=0.4),$D119 &amp; ";","")</f>
        <v/>
      </c>
      <c r="AS119" s="58">
        <f>IF(AND($H119="threat",$S119=0.1,$R119=0.8),$D119 &amp; ";","")</f>
        <v/>
      </c>
      <c r="AT119" s="39" t="n"/>
      <c r="AU119" s="58">
        <f>IF(AND($H119="opportunity",$S119=0.9,$R119=0.8),$D119 &amp; ";","")</f>
        <v/>
      </c>
      <c r="AV119" s="58">
        <f>IF(AND($H119="opportunity",$S119=0.9,$R119=0.4),$D119 &amp; ";","")</f>
        <v/>
      </c>
      <c r="AW119" s="58">
        <f>IF(AND($H119="opportunity",$S119=0.9,$R119=0.2),$D119 &amp; ";","")</f>
        <v/>
      </c>
      <c r="AX119" s="58">
        <f>IF(AND($H119="opportunity",$S119=0.9,$R119=0.1),$D119 &amp; ";","")</f>
        <v/>
      </c>
      <c r="AY119" s="58">
        <f>IF(AND($H119="opportunity",$S119=0.9,$R119=0.05),$D119 &amp; ";","")</f>
        <v/>
      </c>
      <c r="AZ119" s="58">
        <f>IF(AND($H119="opportunity",$S119=0.7,$R119=0.8),$D119 &amp; ";","")</f>
        <v/>
      </c>
      <c r="BA119" s="58">
        <f>IF(AND($H119="opportunity",$S119=0.7,$R119=0.4),$D119 &amp; ";","")</f>
        <v/>
      </c>
      <c r="BB119" s="58">
        <f>IF(AND($H119="opportunity",$S119=0.7,$R119=0.2),$D119 &amp; ";","")</f>
        <v/>
      </c>
      <c r="BC119" s="58">
        <f>IF(AND($H119="opportunity",$S119=0.7,$R119=0.1),$D119 &amp; ";","")</f>
        <v/>
      </c>
      <c r="BD119" s="58">
        <f>IF(AND($H119="opportunity",$S119=0.7,$R119=0.05),$D119 &amp; ";","")</f>
        <v/>
      </c>
      <c r="BE119" s="58">
        <f>IF(AND($H119="opportunity",$S119=0.5,$R119=0.8),$D119 &amp; ";","")</f>
        <v/>
      </c>
      <c r="BF119" s="58">
        <f>IF(AND($H119="opportunity",$S119=0.5,$R119=0.4),$D119 &amp; ";","")</f>
        <v/>
      </c>
      <c r="BG119" s="58">
        <f>IF(AND($H119="opportunity",$S119=0.5,$R119=0.2),$D119 &amp; ";","")</f>
        <v/>
      </c>
      <c r="BH119" s="58">
        <f>IF(AND($H119="opportunity",$S119=0.5,$R119=0.1),$D119 &amp; ";","")</f>
        <v/>
      </c>
      <c r="BI119" s="58">
        <f>IF(AND($H119="opportunity",$S119=0.5,$R119=0.05),$D119 &amp; ";","")</f>
        <v/>
      </c>
      <c r="BJ119" s="58">
        <f>IF(AND($H119="opportunity",$S119=0.3,$R119=0.8),$D119 &amp; ";","")</f>
        <v/>
      </c>
      <c r="BK119" s="58">
        <f>IF(AND($H119="opportunity",$S119=0.3,$R119=0.4),$D119 &amp; ";","")</f>
        <v/>
      </c>
      <c r="BL119" s="58">
        <f>IF(AND($H119="opportunity",$S119=0.3,$R119=0.2),$D119 &amp; ";","")</f>
        <v/>
      </c>
      <c r="BM119" s="58">
        <f>IF(AND($H119="opportunity",$S119=0.3,$R119=0.1),$D119 &amp; ";","")</f>
        <v/>
      </c>
      <c r="BN119" s="58">
        <f>IF(AND($H119="opportunity",$S119=0.3,$R119=0.05),$D119 &amp; ";","")</f>
        <v/>
      </c>
      <c r="BO119" s="58">
        <f>IF(AND($H119="opportunity",$S119=0.1,$R119=0.8),$D119 &amp; ";","")</f>
        <v/>
      </c>
      <c r="BP119" s="58">
        <f>IF(AND($H119="opportunity",$S119=0.1,$R119=0.4),$D119 &amp; ";","")</f>
        <v/>
      </c>
      <c r="BQ119" s="58">
        <f>IF(AND($H119="opportunity",$S119=0.1,$R119=0.2),$D119 &amp; ";","")</f>
        <v/>
      </c>
      <c r="BR119" s="58">
        <f>IF(AND($H119="opportunity",$S119=0.1,$R119=0.1),$D119 &amp; ";","")</f>
        <v/>
      </c>
      <c r="BS119" s="58">
        <f>IF(AND($H119="opportunity",$S119=0.1,$R119=0.05),$D119 &amp; ";","")</f>
        <v/>
      </c>
      <c r="BV119" s="57">
        <f>INDIRECT(ADDRESS(ROW()-22,COLUMN()-45,1,1,"Risk Register"))</f>
        <v/>
      </c>
      <c r="BW119" s="58">
        <f>INDIRECT(ADDRESS(ROW()-22,COLUMN()-44,1,1,"Risk Register"))</f>
        <v/>
      </c>
      <c r="BX119" s="59">
        <f>IF(AND($H119="threat",$P119&lt;=0.05),"gn",IF(AND($H119="threat",$P119&lt;=0.14),"y",IF(AND($H119="threat", $P119&gt;=0.15),"r",IF(AND($H119="opportunity",$P119&lt;=0.05),"gn",IF(AND($H119="opportunity",$P119&lt;=0.14),"lb",IF(AND($H119="opportunity",$P119&gt;=0.15),"db","z"))))))</f>
        <v/>
      </c>
      <c r="BY119" s="58">
        <f>IF(AND($H119="threat",$BW119=0.9,$BV119=0.05),$D119 &amp; ";","")</f>
        <v/>
      </c>
      <c r="BZ119" s="58">
        <f>IF(AND($H119="threat",$BW119=0.9,$BV119=0.1),$D119 &amp; ";","")</f>
        <v/>
      </c>
      <c r="CA119" s="58">
        <f>IF(AND($H119="threat",$BW119=0.9,$BV119=0.2),$D119 &amp; ";","")</f>
        <v/>
      </c>
      <c r="CB119" s="58">
        <f>IF(AND($H119="threat",$BW119=0.9,$BV119=0.4),$D119 &amp; ";","")</f>
        <v/>
      </c>
      <c r="CC119" s="58">
        <f>IF(AND($H119="threat",$BW119=0.9,$BV119=0.8),$D119 &amp; ";","")</f>
        <v/>
      </c>
      <c r="CD119" s="58">
        <f>IF(AND($H119="threat",$BW119=0.7,$BV119=0.05),$D119 &amp; ";","")</f>
        <v/>
      </c>
      <c r="CE119" s="58">
        <f>IF(AND($H119="threat",$BW119=0.7,$BV119=0.1),$D119 &amp; ";","")</f>
        <v/>
      </c>
      <c r="CF119" s="58">
        <f>IF(AND($H119="threat",$BW119=0.7,$BV119=0.2),$D119 &amp; ";","")</f>
        <v/>
      </c>
      <c r="CG119" s="58">
        <f>IF(AND($H119="threat",$BW119=0.7,$BV119=0.4),$D119 &amp; ";","")</f>
        <v/>
      </c>
      <c r="CH119" s="58">
        <f>IF(AND($H119="threat",$BW119=0.7,$BV119=0.8),$D119 &amp; ";","")</f>
        <v/>
      </c>
      <c r="CI119" s="58">
        <f>IF(AND($H119="threat",$BW119=0.5,$BV119=0.05),$D119 &amp; ";","")</f>
        <v/>
      </c>
      <c r="CJ119" s="58">
        <f>IF(AND($H119="threat",$BW119=0.5,$BV119=0.1),$D119 &amp; ";","")</f>
        <v/>
      </c>
      <c r="CK119" s="58">
        <f>IF(AND($H119="threat",$BW119=0.5,$BV119=0.2),$D119 &amp; ";","")</f>
        <v/>
      </c>
      <c r="CL119" s="58">
        <f>IF(AND($H119="threat",$BW119=0.5,$BV119=0.4),$D119 &amp; ";","")</f>
        <v/>
      </c>
      <c r="CM119" s="58">
        <f>IF(AND($H119="threat",$BW119=0.5,$BV119=0.8),$D119 &amp; ";","")</f>
        <v/>
      </c>
      <c r="CN119" s="58">
        <f>IF(AND($H119="threat",$BW119=0.3,$BV119=0.05),$D119 &amp; ";","")</f>
        <v/>
      </c>
      <c r="CO119" s="58">
        <f>IF(AND($H119="threat",$BW119=0.3,$BV119=0.1),$D119 &amp; ";","")</f>
        <v/>
      </c>
      <c r="CP119" s="58">
        <f>IF(AND($H119="threat",$BW119=0.3,$BV119=0.2),$D119 &amp; ";","")</f>
        <v/>
      </c>
      <c r="CQ119" s="58">
        <f>IF(AND($H119="threat",$BW119=0.3,$BV119=0.4),$D119 &amp; ";","")</f>
        <v/>
      </c>
      <c r="CR119" s="58">
        <f>IF(AND($H119="threat",$BW119=0.3,$BV119=0.8),$D119 &amp; ";","")</f>
        <v/>
      </c>
      <c r="CS119" s="58">
        <f>IF(AND($H119="threat",$BW119=0.1,$BV119=0.05),$D119 &amp; ";","")</f>
        <v/>
      </c>
      <c r="CT119" s="58">
        <f>IF(AND($H119="threat",$BW119=0.1,$BV119=0.1),$D119 &amp; ";","")</f>
        <v/>
      </c>
      <c r="CU119" s="58">
        <f>IF(AND($H119="threat",$BW119=0.1,$BV119=0.2),$D119 &amp; ";","")</f>
        <v/>
      </c>
      <c r="CV119" s="58">
        <f>IF(AND($H119="threat",$BW119=0.1,$BV119=0.4),$D119 &amp; ";","")</f>
        <v/>
      </c>
      <c r="CW119" s="58">
        <f>IF(AND($H119="threat",$BW119=0.1,$BV119=0.8),$D119 &amp; ";","")</f>
        <v/>
      </c>
      <c r="CX119" s="39" t="n"/>
      <c r="CY119" s="58">
        <f>IF(AND($H119="opportunity",$BW119=0.9,$BV119=0.8),$D119 &amp; ";","")</f>
        <v/>
      </c>
      <c r="CZ119" s="58">
        <f>IF(AND($H119="opportunity",$BW119=0.9,$BV119=0.4),$D119 &amp; ";","")</f>
        <v/>
      </c>
      <c r="DA119" s="58">
        <f>IF(AND($H119="opportunity",$BW119=0.9,$BV119=0.2),$D119 &amp; ";","")</f>
        <v/>
      </c>
      <c r="DB119" s="58">
        <f>IF(AND($H119="opportunity",$BW119=0.9,$BV119=0.1),$D119 &amp; ";","")</f>
        <v/>
      </c>
      <c r="DC119" s="58">
        <f>IF(AND($H119="opportunity",$BW119=0.9,$BV119=0.05),$D119 &amp; ";","")</f>
        <v/>
      </c>
      <c r="DD119" s="58">
        <f>IF(AND($H119="opportunity",$BW119=0.7,$BV119=0.8),$D119 &amp; ";","")</f>
        <v/>
      </c>
      <c r="DE119" s="58">
        <f>IF(AND($H119="opportunity",$BW119=0.7,$BV119=0.4),$D119 &amp; ";","")</f>
        <v/>
      </c>
      <c r="DF119" s="58">
        <f>IF(AND($H119="opportunity",$BW119=0.7,$BV119=0.2),$D119 &amp; ";","")</f>
        <v/>
      </c>
      <c r="DG119" s="58">
        <f>IF(AND($H119="opportunity",$BW119=0.7,$BV119=0.1),$D119 &amp; ";","")</f>
        <v/>
      </c>
      <c r="DH119" s="58">
        <f>IF(AND($H119="opportunity",$BW119=0.7,$BV119=0.05),$D119 &amp; ";","")</f>
        <v/>
      </c>
      <c r="DI119" s="58">
        <f>IF(AND($H119="opportunity",$BW119=0.5,$BV119=0.8),$D119 &amp; ";","")</f>
        <v/>
      </c>
      <c r="DJ119" s="58">
        <f>IF(AND($H119="opportunity",$BW119=0.5,$BV119=0.4),$D119 &amp; ";","")</f>
        <v/>
      </c>
      <c r="DK119" s="58">
        <f>IF(AND($H119="opportunity",$BW119=0.5,$BV119=0.2),$D119 &amp; ";","")</f>
        <v/>
      </c>
      <c r="DL119" s="58">
        <f>IF(AND($H119="opportunity",$BW119=0.5,$BV119=0.1),$D119 &amp; ";","")</f>
        <v/>
      </c>
      <c r="DM119" s="58">
        <f>IF(AND($H119="opportunity",$BW119=0.5,$BV119=0.05),$D119 &amp; ";","")</f>
        <v/>
      </c>
      <c r="DN119" s="58">
        <f>IF(AND($H119="opportunity",$BW119=0.3,$BV119=0.8),$D119 &amp; ";","")</f>
        <v/>
      </c>
      <c r="DO119" s="58">
        <f>IF(AND($H119="opportunity",$BW119=0.3,$BV119=0.4),$D119 &amp; ";","")</f>
        <v/>
      </c>
      <c r="DP119" s="58">
        <f>IF(AND($H119="opportunity",$BW119=0.3,$BV119=0.2),$D119 &amp; ";","")</f>
        <v/>
      </c>
      <c r="DQ119" s="58">
        <f>IF(AND($H119="opportunity",$BW119=0.3,$BV119=0.1),$D119 &amp; ";","")</f>
        <v/>
      </c>
      <c r="DR119" s="58">
        <f>IF(AND($H119="opportunity",$BW119=0.3,$BV119=0.05),$D119 &amp; ";","")</f>
        <v/>
      </c>
      <c r="DS119" s="58">
        <f>IF(AND($H119="opportunity",$BW119=0.1,$BV119=0.8),$D119 &amp; ";","")</f>
        <v/>
      </c>
      <c r="DT119" s="58">
        <f>IF(AND($H119="opportunity",$BW119=0.1,$BV119=0.4),$D119 &amp; ";","")</f>
        <v/>
      </c>
      <c r="DU119" s="58">
        <f>IF(AND($H119="opportunity",$BW119=0.1,$BV119=0.2),$D119 &amp; ";","")</f>
        <v/>
      </c>
      <c r="DV119" s="58">
        <f>IF(AND($H119="opportunity",$BW119=0.1,$BV119=0.1),$D119 &amp; ";","")</f>
        <v/>
      </c>
      <c r="DW119" s="58">
        <f>IF(AND($H119="opportunity",$BW119=0.1,$BV119=0.05),$D119 &amp; ";","")</f>
        <v/>
      </c>
    </row>
    <row r="120">
      <c r="D120" s="60">
        <f>INDIRECT(ADDRESS(ROW()-22,COLUMN()-2,1,1,"Risk Register"))</f>
        <v/>
      </c>
      <c r="E120" s="143">
        <f>INDIRECT(ADDRESS(ROW()-22,COLUMN()-1,1,1,"Risk Register"))</f>
        <v/>
      </c>
      <c r="G120" s="56">
        <f>INDIRECT(ADDRESS(ROW()-22,COLUMN()+10,1,1,"Risk Register"))</f>
        <v/>
      </c>
      <c r="H120" s="60">
        <f>INDIRECT(ADDRESS(ROW()-22,COLUMN()+8,1,1,"Risk Register"))</f>
        <v/>
      </c>
      <c r="I120" s="54">
        <f>INDIRECT(ADDRESS(ROW()-22,COLUMN()+3,1,1,"Risk Register"))</f>
        <v/>
      </c>
      <c r="J120" s="143">
        <f>INDIRECT(ADDRESS(ROW()-22,COLUMN()+12,1,1,"Risk Register"))</f>
        <v/>
      </c>
      <c r="K120" s="143">
        <f>INDIRECT(ADDRESS(ROW()-22,COLUMN()-2,1,1,"Risk Register"))</f>
        <v/>
      </c>
      <c r="L120" s="176">
        <f>INDIRECT(ADDRESS(ROW()-22,COLUMN()+15,1,1,"Risk Register"))</f>
        <v/>
      </c>
      <c r="M120" s="54">
        <f>INDIRECT(ADDRESS(ROW()-22,COLUMN()+13,1,1,"Risk Register"))</f>
        <v/>
      </c>
      <c r="N120" s="143">
        <f>INDIRECT(ADDRESS(ROW()-22,COLUMN()-9,1,1,"Risk Register"))</f>
        <v/>
      </c>
      <c r="O120" s="143">
        <f>INDIRECT(ADDRESS(ROW()-22,COLUMN()-8,1,1,"Risk Register"))</f>
        <v/>
      </c>
      <c r="P120" s="56">
        <f>INDIRECT(ADDRESS(ROW()-22,COLUMN()+18,1,1,"Risk Register"))</f>
        <v/>
      </c>
      <c r="R120" s="57">
        <f>INDIRECT(ADDRESS(ROW()-22,COLUMN()-5,1,1,"Risk Register"))</f>
        <v/>
      </c>
      <c r="S120" s="58">
        <f>INDIRECT(ADDRESS(ROW()-22,COLUMN()-4,1,1,"Risk Register"))</f>
        <v/>
      </c>
      <c r="T120" s="59">
        <f>IF(AND($H120="threat",$G120&lt;=0.05),"gn",IF(AND($H120="threat",$G120&lt;=0.14),"y",IF(AND($H120="threat", $G120&gt;=0.15),"r",IF(AND($H120="opportunity",$G120&lt;=0.05),"gn",IF(AND($H120="opportunity",$G120&lt;=0.14),"lb",IF(AND($H120="opportunity",$G120&gt;=0.15),"db","z"))))))</f>
        <v/>
      </c>
      <c r="U120" s="58">
        <f>IF(AND($H120="threat",$S120=0.9,$R120=0.05),$D120 &amp; ";","")</f>
        <v/>
      </c>
      <c r="V120" s="58">
        <f>IF(AND($H120="threat",$S120=0.9,$R120=0.1),$D120 &amp; ";","")</f>
        <v/>
      </c>
      <c r="W120" s="58">
        <f>IF(AND($H120="threat",$S120=0.9,$R120=0.2),$D120 &amp; ";","")</f>
        <v/>
      </c>
      <c r="X120" s="58">
        <f>IF(AND($H120="threat",$S120=0.9,$R120=0.4),$D120 &amp; ";","")</f>
        <v/>
      </c>
      <c r="Y120" s="58">
        <f>IF(AND($H120="threat",$S120=0.9,$R120=0.8),$D120 &amp; ";","")</f>
        <v/>
      </c>
      <c r="Z120" s="58">
        <f>IF(AND($H120="threat",$S120=0.7,$R120=0.05),$D120 &amp; ";","")</f>
        <v/>
      </c>
      <c r="AA120" s="58">
        <f>IF(AND($H120="threat",$S120=0.7,$R120=0.1),$D120 &amp; ";","")</f>
        <v/>
      </c>
      <c r="AB120" s="58">
        <f>IF(AND($H120="threat",$S120=0.7,$R120=0.2),$D120 &amp; ";","")</f>
        <v/>
      </c>
      <c r="AC120" s="58">
        <f>IF(AND($H120="threat",$S120=0.7,$R120=0.4),$D120 &amp; ";","")</f>
        <v/>
      </c>
      <c r="AD120" s="58">
        <f>IF(AND($H120="threat",$S120=0.7,$R120=0.8),$D120 &amp; ";","")</f>
        <v/>
      </c>
      <c r="AE120" s="58">
        <f>IF(AND($H120="threat",$S120=0.5,$R120=0.05),$D120 &amp; ";","")</f>
        <v/>
      </c>
      <c r="AF120" s="58">
        <f>IF(AND($H120="threat",$S120=0.5,$R120=0.1),$D120 &amp; ";","")</f>
        <v/>
      </c>
      <c r="AG120" s="58">
        <f>IF(AND($H120="threat",$S120=0.5,$R120=0.2),$D120 &amp; ";","")</f>
        <v/>
      </c>
      <c r="AH120" s="58">
        <f>IF(AND($H120="threat",$S120=0.5,$R120=0.4),$D120 &amp; ";","")</f>
        <v/>
      </c>
      <c r="AI120" s="58">
        <f>IF(AND($H120="threat",$S120=0.5,$R120=0.8),$D120 &amp; ";","")</f>
        <v/>
      </c>
      <c r="AJ120" s="58">
        <f>IF(AND($H120="threat",$S120=0.3,$R120=0.05),$D120 &amp; ";","")</f>
        <v/>
      </c>
      <c r="AK120" s="58">
        <f>IF(AND($H120="threat",$S120=0.3,$R120=0.1),$D120 &amp; ";","")</f>
        <v/>
      </c>
      <c r="AL120" s="58">
        <f>IF(AND($H120="threat",$S120=0.3,$R120=0.2),$D120 &amp; ";","")</f>
        <v/>
      </c>
      <c r="AM120" s="58">
        <f>IF(AND($H120="threat",$S120=0.3,$R120=0.4),$D120 &amp; ";","")</f>
        <v/>
      </c>
      <c r="AN120" s="58">
        <f>IF(AND($H120="threat",$S120=0.3,$R120=0.8),$D120 &amp; ";","")</f>
        <v/>
      </c>
      <c r="AO120" s="58">
        <f>IF(AND($H120="threat",$S120=0.1,$R120=0.05),$D120 &amp; ";","")</f>
        <v/>
      </c>
      <c r="AP120" s="58">
        <f>IF(AND($H120="threat",$S120=0.1,$R120=0.1),$D120 &amp; ";","")</f>
        <v/>
      </c>
      <c r="AQ120" s="58">
        <f>IF(AND($H120="threat",$S120=0.1,$R120=0.2),$D120 &amp; ";","")</f>
        <v/>
      </c>
      <c r="AR120" s="58">
        <f>IF(AND($H120="threat",$S120=0.1,$R120=0.4),$D120 &amp; ";","")</f>
        <v/>
      </c>
      <c r="AS120" s="58">
        <f>IF(AND($H120="threat",$S120=0.1,$R120=0.8),$D120 &amp; ";","")</f>
        <v/>
      </c>
      <c r="AT120" s="39" t="n"/>
      <c r="AU120" s="58">
        <f>IF(AND($H120="opportunity",$S120=0.9,$R120=0.8),$D120 &amp; ";","")</f>
        <v/>
      </c>
      <c r="AV120" s="58">
        <f>IF(AND($H120="opportunity",$S120=0.9,$R120=0.4),$D120 &amp; ";","")</f>
        <v/>
      </c>
      <c r="AW120" s="58">
        <f>IF(AND($H120="opportunity",$S120=0.9,$R120=0.2),$D120 &amp; ";","")</f>
        <v/>
      </c>
      <c r="AX120" s="58">
        <f>IF(AND($H120="opportunity",$S120=0.9,$R120=0.1),$D120 &amp; ";","")</f>
        <v/>
      </c>
      <c r="AY120" s="58">
        <f>IF(AND($H120="opportunity",$S120=0.9,$R120=0.05),$D120 &amp; ";","")</f>
        <v/>
      </c>
      <c r="AZ120" s="58">
        <f>IF(AND($H120="opportunity",$S120=0.7,$R120=0.8),$D120 &amp; ";","")</f>
        <v/>
      </c>
      <c r="BA120" s="58">
        <f>IF(AND($H120="opportunity",$S120=0.7,$R120=0.4),$D120 &amp; ";","")</f>
        <v/>
      </c>
      <c r="BB120" s="58">
        <f>IF(AND($H120="opportunity",$S120=0.7,$R120=0.2),$D120 &amp; ";","")</f>
        <v/>
      </c>
      <c r="BC120" s="58">
        <f>IF(AND($H120="opportunity",$S120=0.7,$R120=0.1),$D120 &amp; ";","")</f>
        <v/>
      </c>
      <c r="BD120" s="58">
        <f>IF(AND($H120="opportunity",$S120=0.7,$R120=0.05),$D120 &amp; ";","")</f>
        <v/>
      </c>
      <c r="BE120" s="58">
        <f>IF(AND($H120="opportunity",$S120=0.5,$R120=0.8),$D120 &amp; ";","")</f>
        <v/>
      </c>
      <c r="BF120" s="58">
        <f>IF(AND($H120="opportunity",$S120=0.5,$R120=0.4),$D120 &amp; ";","")</f>
        <v/>
      </c>
      <c r="BG120" s="58">
        <f>IF(AND($H120="opportunity",$S120=0.5,$R120=0.2),$D120 &amp; ";","")</f>
        <v/>
      </c>
      <c r="BH120" s="58">
        <f>IF(AND($H120="opportunity",$S120=0.5,$R120=0.1),$D120 &amp; ";","")</f>
        <v/>
      </c>
      <c r="BI120" s="58">
        <f>IF(AND($H120="opportunity",$S120=0.5,$R120=0.05),$D120 &amp; ";","")</f>
        <v/>
      </c>
      <c r="BJ120" s="58">
        <f>IF(AND($H120="opportunity",$S120=0.3,$R120=0.8),$D120 &amp; ";","")</f>
        <v/>
      </c>
      <c r="BK120" s="58">
        <f>IF(AND($H120="opportunity",$S120=0.3,$R120=0.4),$D120 &amp; ";","")</f>
        <v/>
      </c>
      <c r="BL120" s="58">
        <f>IF(AND($H120="opportunity",$S120=0.3,$R120=0.2),$D120 &amp; ";","")</f>
        <v/>
      </c>
      <c r="BM120" s="58">
        <f>IF(AND($H120="opportunity",$S120=0.3,$R120=0.1),$D120 &amp; ";","")</f>
        <v/>
      </c>
      <c r="BN120" s="58">
        <f>IF(AND($H120="opportunity",$S120=0.3,$R120=0.05),$D120 &amp; ";","")</f>
        <v/>
      </c>
      <c r="BO120" s="58">
        <f>IF(AND($H120="opportunity",$S120=0.1,$R120=0.8),$D120 &amp; ";","")</f>
        <v/>
      </c>
      <c r="BP120" s="58">
        <f>IF(AND($H120="opportunity",$S120=0.1,$R120=0.4),$D120 &amp; ";","")</f>
        <v/>
      </c>
      <c r="BQ120" s="58">
        <f>IF(AND($H120="opportunity",$S120=0.1,$R120=0.2),$D120 &amp; ";","")</f>
        <v/>
      </c>
      <c r="BR120" s="58">
        <f>IF(AND($H120="opportunity",$S120=0.1,$R120=0.1),$D120 &amp; ";","")</f>
        <v/>
      </c>
      <c r="BS120" s="58">
        <f>IF(AND($H120="opportunity",$S120=0.1,$R120=0.05),$D120 &amp; ";","")</f>
        <v/>
      </c>
      <c r="BV120" s="57">
        <f>INDIRECT(ADDRESS(ROW()-22,COLUMN()-45,1,1,"Risk Register"))</f>
        <v/>
      </c>
      <c r="BW120" s="58">
        <f>INDIRECT(ADDRESS(ROW()-22,COLUMN()-44,1,1,"Risk Register"))</f>
        <v/>
      </c>
      <c r="BX120" s="59">
        <f>IF(AND($H120="threat",$P120&lt;=0.05),"gn",IF(AND($H120="threat",$P120&lt;=0.14),"y",IF(AND($H120="threat", $P120&gt;=0.15),"r",IF(AND($H120="opportunity",$P120&lt;=0.05),"gn",IF(AND($H120="opportunity",$P120&lt;=0.14),"lb",IF(AND($H120="opportunity",$P120&gt;=0.15),"db","z"))))))</f>
        <v/>
      </c>
      <c r="BY120" s="58">
        <f>IF(AND($H120="threat",$BW120=0.9,$BV120=0.05),$D120 &amp; ";","")</f>
        <v/>
      </c>
      <c r="BZ120" s="58">
        <f>IF(AND($H120="threat",$BW120=0.9,$BV120=0.1),$D120 &amp; ";","")</f>
        <v/>
      </c>
      <c r="CA120" s="58">
        <f>IF(AND($H120="threat",$BW120=0.9,$BV120=0.2),$D120 &amp; ";","")</f>
        <v/>
      </c>
      <c r="CB120" s="58">
        <f>IF(AND($H120="threat",$BW120=0.9,$BV120=0.4),$D120 &amp; ";","")</f>
        <v/>
      </c>
      <c r="CC120" s="58">
        <f>IF(AND($H120="threat",$BW120=0.9,$BV120=0.8),$D120 &amp; ";","")</f>
        <v/>
      </c>
      <c r="CD120" s="58">
        <f>IF(AND($H120="threat",$BW120=0.7,$BV120=0.05),$D120 &amp; ";","")</f>
        <v/>
      </c>
      <c r="CE120" s="58">
        <f>IF(AND($H120="threat",$BW120=0.7,$BV120=0.1),$D120 &amp; ";","")</f>
        <v/>
      </c>
      <c r="CF120" s="58">
        <f>IF(AND($H120="threat",$BW120=0.7,$BV120=0.2),$D120 &amp; ";","")</f>
        <v/>
      </c>
      <c r="CG120" s="58">
        <f>IF(AND($H120="threat",$BW120=0.7,$BV120=0.4),$D120 &amp; ";","")</f>
        <v/>
      </c>
      <c r="CH120" s="58">
        <f>IF(AND($H120="threat",$BW120=0.7,$BV120=0.8),$D120 &amp; ";","")</f>
        <v/>
      </c>
      <c r="CI120" s="58">
        <f>IF(AND($H120="threat",$BW120=0.5,$BV120=0.05),$D120 &amp; ";","")</f>
        <v/>
      </c>
      <c r="CJ120" s="58">
        <f>IF(AND($H120="threat",$BW120=0.5,$BV120=0.1),$D120 &amp; ";","")</f>
        <v/>
      </c>
      <c r="CK120" s="58">
        <f>IF(AND($H120="threat",$BW120=0.5,$BV120=0.2),$D120 &amp; ";","")</f>
        <v/>
      </c>
      <c r="CL120" s="58">
        <f>IF(AND($H120="threat",$BW120=0.5,$BV120=0.4),$D120 &amp; ";","")</f>
        <v/>
      </c>
      <c r="CM120" s="58">
        <f>IF(AND($H120="threat",$BW120=0.5,$BV120=0.8),$D120 &amp; ";","")</f>
        <v/>
      </c>
      <c r="CN120" s="58">
        <f>IF(AND($H120="threat",$BW120=0.3,$BV120=0.05),$D120 &amp; ";","")</f>
        <v/>
      </c>
      <c r="CO120" s="58">
        <f>IF(AND($H120="threat",$BW120=0.3,$BV120=0.1),$D120 &amp; ";","")</f>
        <v/>
      </c>
      <c r="CP120" s="58">
        <f>IF(AND($H120="threat",$BW120=0.3,$BV120=0.2),$D120 &amp; ";","")</f>
        <v/>
      </c>
      <c r="CQ120" s="58">
        <f>IF(AND($H120="threat",$BW120=0.3,$BV120=0.4),$D120 &amp; ";","")</f>
        <v/>
      </c>
      <c r="CR120" s="58">
        <f>IF(AND($H120="threat",$BW120=0.3,$BV120=0.8),$D120 &amp; ";","")</f>
        <v/>
      </c>
      <c r="CS120" s="58">
        <f>IF(AND($H120="threat",$BW120=0.1,$BV120=0.05),$D120 &amp; ";","")</f>
        <v/>
      </c>
      <c r="CT120" s="58">
        <f>IF(AND($H120="threat",$BW120=0.1,$BV120=0.1),$D120 &amp; ";","")</f>
        <v/>
      </c>
      <c r="CU120" s="58">
        <f>IF(AND($H120="threat",$BW120=0.1,$BV120=0.2),$D120 &amp; ";","")</f>
        <v/>
      </c>
      <c r="CV120" s="58">
        <f>IF(AND($H120="threat",$BW120=0.1,$BV120=0.4),$D120 &amp; ";","")</f>
        <v/>
      </c>
      <c r="CW120" s="58">
        <f>IF(AND($H120="threat",$BW120=0.1,$BV120=0.8),$D120 &amp; ";","")</f>
        <v/>
      </c>
      <c r="CX120" s="39" t="n"/>
      <c r="CY120" s="58">
        <f>IF(AND($H120="opportunity",$BW120=0.9,$BV120=0.8),$D120 &amp; ";","")</f>
        <v/>
      </c>
      <c r="CZ120" s="58">
        <f>IF(AND($H120="opportunity",$BW120=0.9,$BV120=0.4),$D120 &amp; ";","")</f>
        <v/>
      </c>
      <c r="DA120" s="58">
        <f>IF(AND($H120="opportunity",$BW120=0.9,$BV120=0.2),$D120 &amp; ";","")</f>
        <v/>
      </c>
      <c r="DB120" s="58">
        <f>IF(AND($H120="opportunity",$BW120=0.9,$BV120=0.1),$D120 &amp; ";","")</f>
        <v/>
      </c>
      <c r="DC120" s="58">
        <f>IF(AND($H120="opportunity",$BW120=0.9,$BV120=0.05),$D120 &amp; ";","")</f>
        <v/>
      </c>
      <c r="DD120" s="58">
        <f>IF(AND($H120="opportunity",$BW120=0.7,$BV120=0.8),$D120 &amp; ";","")</f>
        <v/>
      </c>
      <c r="DE120" s="58">
        <f>IF(AND($H120="opportunity",$BW120=0.7,$BV120=0.4),$D120 &amp; ";","")</f>
        <v/>
      </c>
      <c r="DF120" s="58">
        <f>IF(AND($H120="opportunity",$BW120=0.7,$BV120=0.2),$D120 &amp; ";","")</f>
        <v/>
      </c>
      <c r="DG120" s="58">
        <f>IF(AND($H120="opportunity",$BW120=0.7,$BV120=0.1),$D120 &amp; ";","")</f>
        <v/>
      </c>
      <c r="DH120" s="58">
        <f>IF(AND($H120="opportunity",$BW120=0.7,$BV120=0.05),$D120 &amp; ";","")</f>
        <v/>
      </c>
      <c r="DI120" s="58">
        <f>IF(AND($H120="opportunity",$BW120=0.5,$BV120=0.8),$D120 &amp; ";","")</f>
        <v/>
      </c>
      <c r="DJ120" s="58">
        <f>IF(AND($H120="opportunity",$BW120=0.5,$BV120=0.4),$D120 &amp; ";","")</f>
        <v/>
      </c>
      <c r="DK120" s="58">
        <f>IF(AND($H120="opportunity",$BW120=0.5,$BV120=0.2),$D120 &amp; ";","")</f>
        <v/>
      </c>
      <c r="DL120" s="58">
        <f>IF(AND($H120="opportunity",$BW120=0.5,$BV120=0.1),$D120 &amp; ";","")</f>
        <v/>
      </c>
      <c r="DM120" s="58">
        <f>IF(AND($H120="opportunity",$BW120=0.5,$BV120=0.05),$D120 &amp; ";","")</f>
        <v/>
      </c>
      <c r="DN120" s="58">
        <f>IF(AND($H120="opportunity",$BW120=0.3,$BV120=0.8),$D120 &amp; ";","")</f>
        <v/>
      </c>
      <c r="DO120" s="58">
        <f>IF(AND($H120="opportunity",$BW120=0.3,$BV120=0.4),$D120 &amp; ";","")</f>
        <v/>
      </c>
      <c r="DP120" s="58">
        <f>IF(AND($H120="opportunity",$BW120=0.3,$BV120=0.2),$D120 &amp; ";","")</f>
        <v/>
      </c>
      <c r="DQ120" s="58">
        <f>IF(AND($H120="opportunity",$BW120=0.3,$BV120=0.1),$D120 &amp; ";","")</f>
        <v/>
      </c>
      <c r="DR120" s="58">
        <f>IF(AND($H120="opportunity",$BW120=0.3,$BV120=0.05),$D120 &amp; ";","")</f>
        <v/>
      </c>
      <c r="DS120" s="58">
        <f>IF(AND($H120="opportunity",$BW120=0.1,$BV120=0.8),$D120 &amp; ";","")</f>
        <v/>
      </c>
      <c r="DT120" s="58">
        <f>IF(AND($H120="opportunity",$BW120=0.1,$BV120=0.4),$D120 &amp; ";","")</f>
        <v/>
      </c>
      <c r="DU120" s="58">
        <f>IF(AND($H120="opportunity",$BW120=0.1,$BV120=0.2),$D120 &amp; ";","")</f>
        <v/>
      </c>
      <c r="DV120" s="58">
        <f>IF(AND($H120="opportunity",$BW120=0.1,$BV120=0.1),$D120 &amp; ";","")</f>
        <v/>
      </c>
      <c r="DW120" s="58">
        <f>IF(AND($H120="opportunity",$BW120=0.1,$BV120=0.05),$D120 &amp; ";","")</f>
        <v/>
      </c>
    </row>
    <row r="121">
      <c r="D121" s="60">
        <f>INDIRECT(ADDRESS(ROW()-22,COLUMN()-2,1,1,"Risk Register"))</f>
        <v/>
      </c>
      <c r="E121" s="143">
        <f>INDIRECT(ADDRESS(ROW()-22,COLUMN()-1,1,1,"Risk Register"))</f>
        <v/>
      </c>
      <c r="G121" s="56">
        <f>INDIRECT(ADDRESS(ROW()-22,COLUMN()+10,1,1,"Risk Register"))</f>
        <v/>
      </c>
      <c r="H121" s="60">
        <f>INDIRECT(ADDRESS(ROW()-22,COLUMN()+8,1,1,"Risk Register"))</f>
        <v/>
      </c>
      <c r="I121" s="54">
        <f>INDIRECT(ADDRESS(ROW()-22,COLUMN()+3,1,1,"Risk Register"))</f>
        <v/>
      </c>
      <c r="J121" s="143">
        <f>INDIRECT(ADDRESS(ROW()-22,COLUMN()+12,1,1,"Risk Register"))</f>
        <v/>
      </c>
      <c r="K121" s="143">
        <f>INDIRECT(ADDRESS(ROW()-22,COLUMN()-2,1,1,"Risk Register"))</f>
        <v/>
      </c>
      <c r="L121" s="176">
        <f>INDIRECT(ADDRESS(ROW()-22,COLUMN()+15,1,1,"Risk Register"))</f>
        <v/>
      </c>
      <c r="M121" s="54">
        <f>INDIRECT(ADDRESS(ROW()-22,COLUMN()+13,1,1,"Risk Register"))</f>
        <v/>
      </c>
      <c r="N121" s="143">
        <f>INDIRECT(ADDRESS(ROW()-22,COLUMN()-9,1,1,"Risk Register"))</f>
        <v/>
      </c>
      <c r="O121" s="143">
        <f>INDIRECT(ADDRESS(ROW()-22,COLUMN()-8,1,1,"Risk Register"))</f>
        <v/>
      </c>
      <c r="P121" s="56">
        <f>INDIRECT(ADDRESS(ROW()-22,COLUMN()+18,1,1,"Risk Register"))</f>
        <v/>
      </c>
      <c r="R121" s="57">
        <f>INDIRECT(ADDRESS(ROW()-22,COLUMN()-5,1,1,"Risk Register"))</f>
        <v/>
      </c>
      <c r="S121" s="58">
        <f>INDIRECT(ADDRESS(ROW()-22,COLUMN()-4,1,1,"Risk Register"))</f>
        <v/>
      </c>
      <c r="T121" s="59">
        <f>IF(AND($H121="threat",$G121&lt;=0.05),"gn",IF(AND($H121="threat",$G121&lt;=0.14),"y",IF(AND($H121="threat", $G121&gt;=0.15),"r",IF(AND($H121="opportunity",$G121&lt;=0.05),"gn",IF(AND($H121="opportunity",$G121&lt;=0.14),"lb",IF(AND($H121="opportunity",$G121&gt;=0.15),"db","z"))))))</f>
        <v/>
      </c>
      <c r="U121" s="58">
        <f>IF(AND($H121="threat",$S121=0.9,$R121=0.05),$D121 &amp; ";","")</f>
        <v/>
      </c>
      <c r="V121" s="58">
        <f>IF(AND($H121="threat",$S121=0.9,$R121=0.1),$D121 &amp; ";","")</f>
        <v/>
      </c>
      <c r="W121" s="58">
        <f>IF(AND($H121="threat",$S121=0.9,$R121=0.2),$D121 &amp; ";","")</f>
        <v/>
      </c>
      <c r="X121" s="58">
        <f>IF(AND($H121="threat",$S121=0.9,$R121=0.4),$D121 &amp; ";","")</f>
        <v/>
      </c>
      <c r="Y121" s="58">
        <f>IF(AND($H121="threat",$S121=0.9,$R121=0.8),$D121 &amp; ";","")</f>
        <v/>
      </c>
      <c r="Z121" s="58">
        <f>IF(AND($H121="threat",$S121=0.7,$R121=0.05),$D121 &amp; ";","")</f>
        <v/>
      </c>
      <c r="AA121" s="58">
        <f>IF(AND($H121="threat",$S121=0.7,$R121=0.1),$D121 &amp; ";","")</f>
        <v/>
      </c>
      <c r="AB121" s="58">
        <f>IF(AND($H121="threat",$S121=0.7,$R121=0.2),$D121 &amp; ";","")</f>
        <v/>
      </c>
      <c r="AC121" s="58">
        <f>IF(AND($H121="threat",$S121=0.7,$R121=0.4),$D121 &amp; ";","")</f>
        <v/>
      </c>
      <c r="AD121" s="58">
        <f>IF(AND($H121="threat",$S121=0.7,$R121=0.8),$D121 &amp; ";","")</f>
        <v/>
      </c>
      <c r="AE121" s="58">
        <f>IF(AND($H121="threat",$S121=0.5,$R121=0.05),$D121 &amp; ";","")</f>
        <v/>
      </c>
      <c r="AF121" s="58">
        <f>IF(AND($H121="threat",$S121=0.5,$R121=0.1),$D121 &amp; ";","")</f>
        <v/>
      </c>
      <c r="AG121" s="58">
        <f>IF(AND($H121="threat",$S121=0.5,$R121=0.2),$D121 &amp; ";","")</f>
        <v/>
      </c>
      <c r="AH121" s="58">
        <f>IF(AND($H121="threat",$S121=0.5,$R121=0.4),$D121 &amp; ";","")</f>
        <v/>
      </c>
      <c r="AI121" s="58">
        <f>IF(AND($H121="threat",$S121=0.5,$R121=0.8),$D121 &amp; ";","")</f>
        <v/>
      </c>
      <c r="AJ121" s="58">
        <f>IF(AND($H121="threat",$S121=0.3,$R121=0.05),$D121 &amp; ";","")</f>
        <v/>
      </c>
      <c r="AK121" s="58">
        <f>IF(AND($H121="threat",$S121=0.3,$R121=0.1),$D121 &amp; ";","")</f>
        <v/>
      </c>
      <c r="AL121" s="58">
        <f>IF(AND($H121="threat",$S121=0.3,$R121=0.2),$D121 &amp; ";","")</f>
        <v/>
      </c>
      <c r="AM121" s="58">
        <f>IF(AND($H121="threat",$S121=0.3,$R121=0.4),$D121 &amp; ";","")</f>
        <v/>
      </c>
      <c r="AN121" s="58">
        <f>IF(AND($H121="threat",$S121=0.3,$R121=0.8),$D121 &amp; ";","")</f>
        <v/>
      </c>
      <c r="AO121" s="58">
        <f>IF(AND($H121="threat",$S121=0.1,$R121=0.05),$D121 &amp; ";","")</f>
        <v/>
      </c>
      <c r="AP121" s="58">
        <f>IF(AND($H121="threat",$S121=0.1,$R121=0.1),$D121 &amp; ";","")</f>
        <v/>
      </c>
      <c r="AQ121" s="58">
        <f>IF(AND($H121="threat",$S121=0.1,$R121=0.2),$D121 &amp; ";","")</f>
        <v/>
      </c>
      <c r="AR121" s="58">
        <f>IF(AND($H121="threat",$S121=0.1,$R121=0.4),$D121 &amp; ";","")</f>
        <v/>
      </c>
      <c r="AS121" s="58">
        <f>IF(AND($H121="threat",$S121=0.1,$R121=0.8),$D121 &amp; ";","")</f>
        <v/>
      </c>
      <c r="AT121" s="39" t="n"/>
      <c r="AU121" s="58">
        <f>IF(AND($H121="opportunity",$S121=0.9,$R121=0.8),$D121 &amp; ";","")</f>
        <v/>
      </c>
      <c r="AV121" s="58">
        <f>IF(AND($H121="opportunity",$S121=0.9,$R121=0.4),$D121 &amp; ";","")</f>
        <v/>
      </c>
      <c r="AW121" s="58">
        <f>IF(AND($H121="opportunity",$S121=0.9,$R121=0.2),$D121 &amp; ";","")</f>
        <v/>
      </c>
      <c r="AX121" s="58">
        <f>IF(AND($H121="opportunity",$S121=0.9,$R121=0.1),$D121 &amp; ";","")</f>
        <v/>
      </c>
      <c r="AY121" s="58">
        <f>IF(AND($H121="opportunity",$S121=0.9,$R121=0.05),$D121 &amp; ";","")</f>
        <v/>
      </c>
      <c r="AZ121" s="58">
        <f>IF(AND($H121="opportunity",$S121=0.7,$R121=0.8),$D121 &amp; ";","")</f>
        <v/>
      </c>
      <c r="BA121" s="58">
        <f>IF(AND($H121="opportunity",$S121=0.7,$R121=0.4),$D121 &amp; ";","")</f>
        <v/>
      </c>
      <c r="BB121" s="58">
        <f>IF(AND($H121="opportunity",$S121=0.7,$R121=0.2),$D121 &amp; ";","")</f>
        <v/>
      </c>
      <c r="BC121" s="58">
        <f>IF(AND($H121="opportunity",$S121=0.7,$R121=0.1),$D121 &amp; ";","")</f>
        <v/>
      </c>
      <c r="BD121" s="58">
        <f>IF(AND($H121="opportunity",$S121=0.7,$R121=0.05),$D121 &amp; ";","")</f>
        <v/>
      </c>
      <c r="BE121" s="58">
        <f>IF(AND($H121="opportunity",$S121=0.5,$R121=0.8),$D121 &amp; ";","")</f>
        <v/>
      </c>
      <c r="BF121" s="58">
        <f>IF(AND($H121="opportunity",$S121=0.5,$R121=0.4),$D121 &amp; ";","")</f>
        <v/>
      </c>
      <c r="BG121" s="58">
        <f>IF(AND($H121="opportunity",$S121=0.5,$R121=0.2),$D121 &amp; ";","")</f>
        <v/>
      </c>
      <c r="BH121" s="58">
        <f>IF(AND($H121="opportunity",$S121=0.5,$R121=0.1),$D121 &amp; ";","")</f>
        <v/>
      </c>
      <c r="BI121" s="58">
        <f>IF(AND($H121="opportunity",$S121=0.5,$R121=0.05),$D121 &amp; ";","")</f>
        <v/>
      </c>
      <c r="BJ121" s="58">
        <f>IF(AND($H121="opportunity",$S121=0.3,$R121=0.8),$D121 &amp; ";","")</f>
        <v/>
      </c>
      <c r="BK121" s="58">
        <f>IF(AND($H121="opportunity",$S121=0.3,$R121=0.4),$D121 &amp; ";","")</f>
        <v/>
      </c>
      <c r="BL121" s="58">
        <f>IF(AND($H121="opportunity",$S121=0.3,$R121=0.2),$D121 &amp; ";","")</f>
        <v/>
      </c>
      <c r="BM121" s="58">
        <f>IF(AND($H121="opportunity",$S121=0.3,$R121=0.1),$D121 &amp; ";","")</f>
        <v/>
      </c>
      <c r="BN121" s="58">
        <f>IF(AND($H121="opportunity",$S121=0.3,$R121=0.05),$D121 &amp; ";","")</f>
        <v/>
      </c>
      <c r="BO121" s="58">
        <f>IF(AND($H121="opportunity",$S121=0.1,$R121=0.8),$D121 &amp; ";","")</f>
        <v/>
      </c>
      <c r="BP121" s="58">
        <f>IF(AND($H121="opportunity",$S121=0.1,$R121=0.4),$D121 &amp; ";","")</f>
        <v/>
      </c>
      <c r="BQ121" s="58">
        <f>IF(AND($H121="opportunity",$S121=0.1,$R121=0.2),$D121 &amp; ";","")</f>
        <v/>
      </c>
      <c r="BR121" s="58">
        <f>IF(AND($H121="opportunity",$S121=0.1,$R121=0.1),$D121 &amp; ";","")</f>
        <v/>
      </c>
      <c r="BS121" s="58">
        <f>IF(AND($H121="opportunity",$S121=0.1,$R121=0.05),$D121 &amp; ";","")</f>
        <v/>
      </c>
      <c r="BV121" s="57">
        <f>INDIRECT(ADDRESS(ROW()-22,COLUMN()-45,1,1,"Risk Register"))</f>
        <v/>
      </c>
      <c r="BW121" s="58">
        <f>INDIRECT(ADDRESS(ROW()-22,COLUMN()-44,1,1,"Risk Register"))</f>
        <v/>
      </c>
      <c r="BX121" s="59">
        <f>IF(AND($H121="threat",$P121&lt;=0.05),"gn",IF(AND($H121="threat",$P121&lt;=0.14),"y",IF(AND($H121="threat", $P121&gt;=0.15),"r",IF(AND($H121="opportunity",$P121&lt;=0.05),"gn",IF(AND($H121="opportunity",$P121&lt;=0.14),"lb",IF(AND($H121="opportunity",$P121&gt;=0.15),"db","z"))))))</f>
        <v/>
      </c>
      <c r="BY121" s="58">
        <f>IF(AND($H121="threat",$BW121=0.9,$BV121=0.05),$D121 &amp; ";","")</f>
        <v/>
      </c>
      <c r="BZ121" s="58">
        <f>IF(AND($H121="threat",$BW121=0.9,$BV121=0.1),$D121 &amp; ";","")</f>
        <v/>
      </c>
      <c r="CA121" s="58">
        <f>IF(AND($H121="threat",$BW121=0.9,$BV121=0.2),$D121 &amp; ";","")</f>
        <v/>
      </c>
      <c r="CB121" s="58">
        <f>IF(AND($H121="threat",$BW121=0.9,$BV121=0.4),$D121 &amp; ";","")</f>
        <v/>
      </c>
      <c r="CC121" s="58">
        <f>IF(AND($H121="threat",$BW121=0.9,$BV121=0.8),$D121 &amp; ";","")</f>
        <v/>
      </c>
      <c r="CD121" s="58">
        <f>IF(AND($H121="threat",$BW121=0.7,$BV121=0.05),$D121 &amp; ";","")</f>
        <v/>
      </c>
      <c r="CE121" s="58">
        <f>IF(AND($H121="threat",$BW121=0.7,$BV121=0.1),$D121 &amp; ";","")</f>
        <v/>
      </c>
      <c r="CF121" s="58">
        <f>IF(AND($H121="threat",$BW121=0.7,$BV121=0.2),$D121 &amp; ";","")</f>
        <v/>
      </c>
      <c r="CG121" s="58">
        <f>IF(AND($H121="threat",$BW121=0.7,$BV121=0.4),$D121 &amp; ";","")</f>
        <v/>
      </c>
      <c r="CH121" s="58">
        <f>IF(AND($H121="threat",$BW121=0.7,$BV121=0.8),$D121 &amp; ";","")</f>
        <v/>
      </c>
      <c r="CI121" s="58">
        <f>IF(AND($H121="threat",$BW121=0.5,$BV121=0.05),$D121 &amp; ";","")</f>
        <v/>
      </c>
      <c r="CJ121" s="58">
        <f>IF(AND($H121="threat",$BW121=0.5,$BV121=0.1),$D121 &amp; ";","")</f>
        <v/>
      </c>
      <c r="CK121" s="58">
        <f>IF(AND($H121="threat",$BW121=0.5,$BV121=0.2),$D121 &amp; ";","")</f>
        <v/>
      </c>
      <c r="CL121" s="58">
        <f>IF(AND($H121="threat",$BW121=0.5,$BV121=0.4),$D121 &amp; ";","")</f>
        <v/>
      </c>
      <c r="CM121" s="58">
        <f>IF(AND($H121="threat",$BW121=0.5,$BV121=0.8),$D121 &amp; ";","")</f>
        <v/>
      </c>
      <c r="CN121" s="58">
        <f>IF(AND($H121="threat",$BW121=0.3,$BV121=0.05),$D121 &amp; ";","")</f>
        <v/>
      </c>
      <c r="CO121" s="58">
        <f>IF(AND($H121="threat",$BW121=0.3,$BV121=0.1),$D121 &amp; ";","")</f>
        <v/>
      </c>
      <c r="CP121" s="58">
        <f>IF(AND($H121="threat",$BW121=0.3,$BV121=0.2),$D121 &amp; ";","")</f>
        <v/>
      </c>
      <c r="CQ121" s="58">
        <f>IF(AND($H121="threat",$BW121=0.3,$BV121=0.4),$D121 &amp; ";","")</f>
        <v/>
      </c>
      <c r="CR121" s="58">
        <f>IF(AND($H121="threat",$BW121=0.3,$BV121=0.8),$D121 &amp; ";","")</f>
        <v/>
      </c>
      <c r="CS121" s="58">
        <f>IF(AND($H121="threat",$BW121=0.1,$BV121=0.05),$D121 &amp; ";","")</f>
        <v/>
      </c>
      <c r="CT121" s="58">
        <f>IF(AND($H121="threat",$BW121=0.1,$BV121=0.1),$D121 &amp; ";","")</f>
        <v/>
      </c>
      <c r="CU121" s="58">
        <f>IF(AND($H121="threat",$BW121=0.1,$BV121=0.2),$D121 &amp; ";","")</f>
        <v/>
      </c>
      <c r="CV121" s="58">
        <f>IF(AND($H121="threat",$BW121=0.1,$BV121=0.4),$D121 &amp; ";","")</f>
        <v/>
      </c>
      <c r="CW121" s="58">
        <f>IF(AND($H121="threat",$BW121=0.1,$BV121=0.8),$D121 &amp; ";","")</f>
        <v/>
      </c>
      <c r="CX121" s="39" t="n"/>
      <c r="CY121" s="58">
        <f>IF(AND($H121="opportunity",$BW121=0.9,$BV121=0.8),$D121 &amp; ";","")</f>
        <v/>
      </c>
      <c r="CZ121" s="58">
        <f>IF(AND($H121="opportunity",$BW121=0.9,$BV121=0.4),$D121 &amp; ";","")</f>
        <v/>
      </c>
      <c r="DA121" s="58">
        <f>IF(AND($H121="opportunity",$BW121=0.9,$BV121=0.2),$D121 &amp; ";","")</f>
        <v/>
      </c>
      <c r="DB121" s="58">
        <f>IF(AND($H121="opportunity",$BW121=0.9,$BV121=0.1),$D121 &amp; ";","")</f>
        <v/>
      </c>
      <c r="DC121" s="58">
        <f>IF(AND($H121="opportunity",$BW121=0.9,$BV121=0.05),$D121 &amp; ";","")</f>
        <v/>
      </c>
      <c r="DD121" s="58">
        <f>IF(AND($H121="opportunity",$BW121=0.7,$BV121=0.8),$D121 &amp; ";","")</f>
        <v/>
      </c>
      <c r="DE121" s="58">
        <f>IF(AND($H121="opportunity",$BW121=0.7,$BV121=0.4),$D121 &amp; ";","")</f>
        <v/>
      </c>
      <c r="DF121" s="58">
        <f>IF(AND($H121="opportunity",$BW121=0.7,$BV121=0.2),$D121 &amp; ";","")</f>
        <v/>
      </c>
      <c r="DG121" s="58">
        <f>IF(AND($H121="opportunity",$BW121=0.7,$BV121=0.1),$D121 &amp; ";","")</f>
        <v/>
      </c>
      <c r="DH121" s="58">
        <f>IF(AND($H121="opportunity",$BW121=0.7,$BV121=0.05),$D121 &amp; ";","")</f>
        <v/>
      </c>
      <c r="DI121" s="58">
        <f>IF(AND($H121="opportunity",$BW121=0.5,$BV121=0.8),$D121 &amp; ";","")</f>
        <v/>
      </c>
      <c r="DJ121" s="58">
        <f>IF(AND($H121="opportunity",$BW121=0.5,$BV121=0.4),$D121 &amp; ";","")</f>
        <v/>
      </c>
      <c r="DK121" s="58">
        <f>IF(AND($H121="opportunity",$BW121=0.5,$BV121=0.2),$D121 &amp; ";","")</f>
        <v/>
      </c>
      <c r="DL121" s="58">
        <f>IF(AND($H121="opportunity",$BW121=0.5,$BV121=0.1),$D121 &amp; ";","")</f>
        <v/>
      </c>
      <c r="DM121" s="58">
        <f>IF(AND($H121="opportunity",$BW121=0.5,$BV121=0.05),$D121 &amp; ";","")</f>
        <v/>
      </c>
      <c r="DN121" s="58">
        <f>IF(AND($H121="opportunity",$BW121=0.3,$BV121=0.8),$D121 &amp; ";","")</f>
        <v/>
      </c>
      <c r="DO121" s="58">
        <f>IF(AND($H121="opportunity",$BW121=0.3,$BV121=0.4),$D121 &amp; ";","")</f>
        <v/>
      </c>
      <c r="DP121" s="58">
        <f>IF(AND($H121="opportunity",$BW121=0.3,$BV121=0.2),$D121 &amp; ";","")</f>
        <v/>
      </c>
      <c r="DQ121" s="58">
        <f>IF(AND($H121="opportunity",$BW121=0.3,$BV121=0.1),$D121 &amp; ";","")</f>
        <v/>
      </c>
      <c r="DR121" s="58">
        <f>IF(AND($H121="opportunity",$BW121=0.3,$BV121=0.05),$D121 &amp; ";","")</f>
        <v/>
      </c>
      <c r="DS121" s="58">
        <f>IF(AND($H121="opportunity",$BW121=0.1,$BV121=0.8),$D121 &amp; ";","")</f>
        <v/>
      </c>
      <c r="DT121" s="58">
        <f>IF(AND($H121="opportunity",$BW121=0.1,$BV121=0.4),$D121 &amp; ";","")</f>
        <v/>
      </c>
      <c r="DU121" s="58">
        <f>IF(AND($H121="opportunity",$BW121=0.1,$BV121=0.2),$D121 &amp; ";","")</f>
        <v/>
      </c>
      <c r="DV121" s="58">
        <f>IF(AND($H121="opportunity",$BW121=0.1,$BV121=0.1),$D121 &amp; ";","")</f>
        <v/>
      </c>
      <c r="DW121" s="58">
        <f>IF(AND($H121="opportunity",$BW121=0.1,$BV121=0.05),$D121 &amp; ";","")</f>
        <v/>
      </c>
    </row>
    <row r="122">
      <c r="D122" s="60">
        <f>INDIRECT(ADDRESS(ROW()-22,COLUMN()-2,1,1,"Risk Register"))</f>
        <v/>
      </c>
      <c r="E122" s="143">
        <f>INDIRECT(ADDRESS(ROW()-22,COLUMN()-1,1,1,"Risk Register"))</f>
        <v/>
      </c>
      <c r="G122" s="56">
        <f>INDIRECT(ADDRESS(ROW()-22,COLUMN()+10,1,1,"Risk Register"))</f>
        <v/>
      </c>
      <c r="H122" s="60">
        <f>INDIRECT(ADDRESS(ROW()-22,COLUMN()+8,1,1,"Risk Register"))</f>
        <v/>
      </c>
      <c r="I122" s="54">
        <f>INDIRECT(ADDRESS(ROW()-22,COLUMN()+3,1,1,"Risk Register"))</f>
        <v/>
      </c>
      <c r="J122" s="143">
        <f>INDIRECT(ADDRESS(ROW()-22,COLUMN()+12,1,1,"Risk Register"))</f>
        <v/>
      </c>
      <c r="K122" s="143">
        <f>INDIRECT(ADDRESS(ROW()-22,COLUMN()-2,1,1,"Risk Register"))</f>
        <v/>
      </c>
      <c r="L122" s="176">
        <f>INDIRECT(ADDRESS(ROW()-22,COLUMN()+15,1,1,"Risk Register"))</f>
        <v/>
      </c>
      <c r="M122" s="54">
        <f>INDIRECT(ADDRESS(ROW()-22,COLUMN()+13,1,1,"Risk Register"))</f>
        <v/>
      </c>
      <c r="N122" s="143">
        <f>INDIRECT(ADDRESS(ROW()-22,COLUMN()-9,1,1,"Risk Register"))</f>
        <v/>
      </c>
      <c r="O122" s="143">
        <f>INDIRECT(ADDRESS(ROW()-22,COLUMN()-8,1,1,"Risk Register"))</f>
        <v/>
      </c>
      <c r="P122" s="56">
        <f>INDIRECT(ADDRESS(ROW()-22,COLUMN()+18,1,1,"Risk Register"))</f>
        <v/>
      </c>
      <c r="R122" s="57">
        <f>INDIRECT(ADDRESS(ROW()-22,COLUMN()-5,1,1,"Risk Register"))</f>
        <v/>
      </c>
      <c r="S122" s="58">
        <f>INDIRECT(ADDRESS(ROW()-22,COLUMN()-4,1,1,"Risk Register"))</f>
        <v/>
      </c>
      <c r="T122" s="59">
        <f>IF(AND($H122="threat",$G122&lt;=0.05),"gn",IF(AND($H122="threat",$G122&lt;=0.14),"y",IF(AND($H122="threat", $G122&gt;=0.15),"r",IF(AND($H122="opportunity",$G122&lt;=0.05),"gn",IF(AND($H122="opportunity",$G122&lt;=0.14),"lb",IF(AND($H122="opportunity",$G122&gt;=0.15),"db","z"))))))</f>
        <v/>
      </c>
      <c r="U122" s="58">
        <f>IF(AND($H122="threat",$S122=0.9,$R122=0.05),$D122 &amp; ";","")</f>
        <v/>
      </c>
      <c r="V122" s="58">
        <f>IF(AND($H122="threat",$S122=0.9,$R122=0.1),$D122 &amp; ";","")</f>
        <v/>
      </c>
      <c r="W122" s="58">
        <f>IF(AND($H122="threat",$S122=0.9,$R122=0.2),$D122 &amp; ";","")</f>
        <v/>
      </c>
      <c r="X122" s="58">
        <f>IF(AND($H122="threat",$S122=0.9,$R122=0.4),$D122 &amp; ";","")</f>
        <v/>
      </c>
      <c r="Y122" s="58">
        <f>IF(AND($H122="threat",$S122=0.9,$R122=0.8),$D122 &amp; ";","")</f>
        <v/>
      </c>
      <c r="Z122" s="58">
        <f>IF(AND($H122="threat",$S122=0.7,$R122=0.05),$D122 &amp; ";","")</f>
        <v/>
      </c>
      <c r="AA122" s="58">
        <f>IF(AND($H122="threat",$S122=0.7,$R122=0.1),$D122 &amp; ";","")</f>
        <v/>
      </c>
      <c r="AB122" s="58">
        <f>IF(AND($H122="threat",$S122=0.7,$R122=0.2),$D122 &amp; ";","")</f>
        <v/>
      </c>
      <c r="AC122" s="58">
        <f>IF(AND($H122="threat",$S122=0.7,$R122=0.4),$D122 &amp; ";","")</f>
        <v/>
      </c>
      <c r="AD122" s="58">
        <f>IF(AND($H122="threat",$S122=0.7,$R122=0.8),$D122 &amp; ";","")</f>
        <v/>
      </c>
      <c r="AE122" s="58">
        <f>IF(AND($H122="threat",$S122=0.5,$R122=0.05),$D122 &amp; ";","")</f>
        <v/>
      </c>
      <c r="AF122" s="58">
        <f>IF(AND($H122="threat",$S122=0.5,$R122=0.1),$D122 &amp; ";","")</f>
        <v/>
      </c>
      <c r="AG122" s="58">
        <f>IF(AND($H122="threat",$S122=0.5,$R122=0.2),$D122 &amp; ";","")</f>
        <v/>
      </c>
      <c r="AH122" s="58">
        <f>IF(AND($H122="threat",$S122=0.5,$R122=0.4),$D122 &amp; ";","")</f>
        <v/>
      </c>
      <c r="AI122" s="58">
        <f>IF(AND($H122="threat",$S122=0.5,$R122=0.8),$D122 &amp; ";","")</f>
        <v/>
      </c>
      <c r="AJ122" s="58">
        <f>IF(AND($H122="threat",$S122=0.3,$R122=0.05),$D122 &amp; ";","")</f>
        <v/>
      </c>
      <c r="AK122" s="58">
        <f>IF(AND($H122="threat",$S122=0.3,$R122=0.1),$D122 &amp; ";","")</f>
        <v/>
      </c>
      <c r="AL122" s="58">
        <f>IF(AND($H122="threat",$S122=0.3,$R122=0.2),$D122 &amp; ";","")</f>
        <v/>
      </c>
      <c r="AM122" s="58">
        <f>IF(AND($H122="threat",$S122=0.3,$R122=0.4),$D122 &amp; ";","")</f>
        <v/>
      </c>
      <c r="AN122" s="58">
        <f>IF(AND($H122="threat",$S122=0.3,$R122=0.8),$D122 &amp; ";","")</f>
        <v/>
      </c>
      <c r="AO122" s="58">
        <f>IF(AND($H122="threat",$S122=0.1,$R122=0.05),$D122 &amp; ";","")</f>
        <v/>
      </c>
      <c r="AP122" s="58">
        <f>IF(AND($H122="threat",$S122=0.1,$R122=0.1),$D122 &amp; ";","")</f>
        <v/>
      </c>
      <c r="AQ122" s="58">
        <f>IF(AND($H122="threat",$S122=0.1,$R122=0.2),$D122 &amp; ";","")</f>
        <v/>
      </c>
      <c r="AR122" s="58">
        <f>IF(AND($H122="threat",$S122=0.1,$R122=0.4),$D122 &amp; ";","")</f>
        <v/>
      </c>
      <c r="AS122" s="58">
        <f>IF(AND($H122="threat",$S122=0.1,$R122=0.8),$D122 &amp; ";","")</f>
        <v/>
      </c>
      <c r="AT122" s="39" t="n"/>
      <c r="AU122" s="58">
        <f>IF(AND($H122="opportunity",$S122=0.9,$R122=0.8),$D122 &amp; ";","")</f>
        <v/>
      </c>
      <c r="AV122" s="58">
        <f>IF(AND($H122="opportunity",$S122=0.9,$R122=0.4),$D122 &amp; ";","")</f>
        <v/>
      </c>
      <c r="AW122" s="58">
        <f>IF(AND($H122="opportunity",$S122=0.9,$R122=0.2),$D122 &amp; ";","")</f>
        <v/>
      </c>
      <c r="AX122" s="58">
        <f>IF(AND($H122="opportunity",$S122=0.9,$R122=0.1),$D122 &amp; ";","")</f>
        <v/>
      </c>
      <c r="AY122" s="58">
        <f>IF(AND($H122="opportunity",$S122=0.9,$R122=0.05),$D122 &amp; ";","")</f>
        <v/>
      </c>
      <c r="AZ122" s="58">
        <f>IF(AND($H122="opportunity",$S122=0.7,$R122=0.8),$D122 &amp; ";","")</f>
        <v/>
      </c>
      <c r="BA122" s="58">
        <f>IF(AND($H122="opportunity",$S122=0.7,$R122=0.4),$D122 &amp; ";","")</f>
        <v/>
      </c>
      <c r="BB122" s="58">
        <f>IF(AND($H122="opportunity",$S122=0.7,$R122=0.2),$D122 &amp; ";","")</f>
        <v/>
      </c>
      <c r="BC122" s="58">
        <f>IF(AND($H122="opportunity",$S122=0.7,$R122=0.1),$D122 &amp; ";","")</f>
        <v/>
      </c>
      <c r="BD122" s="58">
        <f>IF(AND($H122="opportunity",$S122=0.7,$R122=0.05),$D122 &amp; ";","")</f>
        <v/>
      </c>
      <c r="BE122" s="58">
        <f>IF(AND($H122="opportunity",$S122=0.5,$R122=0.8),$D122 &amp; ";","")</f>
        <v/>
      </c>
      <c r="BF122" s="58">
        <f>IF(AND($H122="opportunity",$S122=0.5,$R122=0.4),$D122 &amp; ";","")</f>
        <v/>
      </c>
      <c r="BG122" s="58">
        <f>IF(AND($H122="opportunity",$S122=0.5,$R122=0.2),$D122 &amp; ";","")</f>
        <v/>
      </c>
      <c r="BH122" s="58">
        <f>IF(AND($H122="opportunity",$S122=0.5,$R122=0.1),$D122 &amp; ";","")</f>
        <v/>
      </c>
      <c r="BI122" s="58">
        <f>IF(AND($H122="opportunity",$S122=0.5,$R122=0.05),$D122 &amp; ";","")</f>
        <v/>
      </c>
      <c r="BJ122" s="58">
        <f>IF(AND($H122="opportunity",$S122=0.3,$R122=0.8),$D122 &amp; ";","")</f>
        <v/>
      </c>
      <c r="BK122" s="58">
        <f>IF(AND($H122="opportunity",$S122=0.3,$R122=0.4),$D122 &amp; ";","")</f>
        <v/>
      </c>
      <c r="BL122" s="58">
        <f>IF(AND($H122="opportunity",$S122=0.3,$R122=0.2),$D122 &amp; ";","")</f>
        <v/>
      </c>
      <c r="BM122" s="58">
        <f>IF(AND($H122="opportunity",$S122=0.3,$R122=0.1),$D122 &amp; ";","")</f>
        <v/>
      </c>
      <c r="BN122" s="58">
        <f>IF(AND($H122="opportunity",$S122=0.3,$R122=0.05),$D122 &amp; ";","")</f>
        <v/>
      </c>
      <c r="BO122" s="58">
        <f>IF(AND($H122="opportunity",$S122=0.1,$R122=0.8),$D122 &amp; ";","")</f>
        <v/>
      </c>
      <c r="BP122" s="58">
        <f>IF(AND($H122="opportunity",$S122=0.1,$R122=0.4),$D122 &amp; ";","")</f>
        <v/>
      </c>
      <c r="BQ122" s="58">
        <f>IF(AND($H122="opportunity",$S122=0.1,$R122=0.2),$D122 &amp; ";","")</f>
        <v/>
      </c>
      <c r="BR122" s="58">
        <f>IF(AND($H122="opportunity",$S122=0.1,$R122=0.1),$D122 &amp; ";","")</f>
        <v/>
      </c>
      <c r="BS122" s="58">
        <f>IF(AND($H122="opportunity",$S122=0.1,$R122=0.05),$D122 &amp; ";","")</f>
        <v/>
      </c>
      <c r="BV122" s="57">
        <f>INDIRECT(ADDRESS(ROW()-22,COLUMN()-45,1,1,"Risk Register"))</f>
        <v/>
      </c>
      <c r="BW122" s="58">
        <f>INDIRECT(ADDRESS(ROW()-22,COLUMN()-44,1,1,"Risk Register"))</f>
        <v/>
      </c>
      <c r="BX122" s="59">
        <f>IF(AND($H122="threat",$P122&lt;=0.05),"gn",IF(AND($H122="threat",$P122&lt;=0.14),"y",IF(AND($H122="threat", $P122&gt;=0.15),"r",IF(AND($H122="opportunity",$P122&lt;=0.05),"gn",IF(AND($H122="opportunity",$P122&lt;=0.14),"lb",IF(AND($H122="opportunity",$P122&gt;=0.15),"db","z"))))))</f>
        <v/>
      </c>
      <c r="BY122" s="58">
        <f>IF(AND($H122="threat",$BW122=0.9,$BV122=0.05),$D122 &amp; ";","")</f>
        <v/>
      </c>
      <c r="BZ122" s="58">
        <f>IF(AND($H122="threat",$BW122=0.9,$BV122=0.1),$D122 &amp; ";","")</f>
        <v/>
      </c>
      <c r="CA122" s="58">
        <f>IF(AND($H122="threat",$BW122=0.9,$BV122=0.2),$D122 &amp; ";","")</f>
        <v/>
      </c>
      <c r="CB122" s="58">
        <f>IF(AND($H122="threat",$BW122=0.9,$BV122=0.4),$D122 &amp; ";","")</f>
        <v/>
      </c>
      <c r="CC122" s="58">
        <f>IF(AND($H122="threat",$BW122=0.9,$BV122=0.8),$D122 &amp; ";","")</f>
        <v/>
      </c>
      <c r="CD122" s="58">
        <f>IF(AND($H122="threat",$BW122=0.7,$BV122=0.05),$D122 &amp; ";","")</f>
        <v/>
      </c>
      <c r="CE122" s="58">
        <f>IF(AND($H122="threat",$BW122=0.7,$BV122=0.1),$D122 &amp; ";","")</f>
        <v/>
      </c>
      <c r="CF122" s="58">
        <f>IF(AND($H122="threat",$BW122=0.7,$BV122=0.2),$D122 &amp; ";","")</f>
        <v/>
      </c>
      <c r="CG122" s="58">
        <f>IF(AND($H122="threat",$BW122=0.7,$BV122=0.4),$D122 &amp; ";","")</f>
        <v/>
      </c>
      <c r="CH122" s="58">
        <f>IF(AND($H122="threat",$BW122=0.7,$BV122=0.8),$D122 &amp; ";","")</f>
        <v/>
      </c>
      <c r="CI122" s="58">
        <f>IF(AND($H122="threat",$BW122=0.5,$BV122=0.05),$D122 &amp; ";","")</f>
        <v/>
      </c>
      <c r="CJ122" s="58">
        <f>IF(AND($H122="threat",$BW122=0.5,$BV122=0.1),$D122 &amp; ";","")</f>
        <v/>
      </c>
      <c r="CK122" s="58">
        <f>IF(AND($H122="threat",$BW122=0.5,$BV122=0.2),$D122 &amp; ";","")</f>
        <v/>
      </c>
      <c r="CL122" s="58">
        <f>IF(AND($H122="threat",$BW122=0.5,$BV122=0.4),$D122 &amp; ";","")</f>
        <v/>
      </c>
      <c r="CM122" s="58">
        <f>IF(AND($H122="threat",$BW122=0.5,$BV122=0.8),$D122 &amp; ";","")</f>
        <v/>
      </c>
      <c r="CN122" s="58">
        <f>IF(AND($H122="threat",$BW122=0.3,$BV122=0.05),$D122 &amp; ";","")</f>
        <v/>
      </c>
      <c r="CO122" s="58">
        <f>IF(AND($H122="threat",$BW122=0.3,$BV122=0.1),$D122 &amp; ";","")</f>
        <v/>
      </c>
      <c r="CP122" s="58">
        <f>IF(AND($H122="threat",$BW122=0.3,$BV122=0.2),$D122 &amp; ";","")</f>
        <v/>
      </c>
      <c r="CQ122" s="58">
        <f>IF(AND($H122="threat",$BW122=0.3,$BV122=0.4),$D122 &amp; ";","")</f>
        <v/>
      </c>
      <c r="CR122" s="58">
        <f>IF(AND($H122="threat",$BW122=0.3,$BV122=0.8),$D122 &amp; ";","")</f>
        <v/>
      </c>
      <c r="CS122" s="58">
        <f>IF(AND($H122="threat",$BW122=0.1,$BV122=0.05),$D122 &amp; ";","")</f>
        <v/>
      </c>
      <c r="CT122" s="58">
        <f>IF(AND($H122="threat",$BW122=0.1,$BV122=0.1),$D122 &amp; ";","")</f>
        <v/>
      </c>
      <c r="CU122" s="58">
        <f>IF(AND($H122="threat",$BW122=0.1,$BV122=0.2),$D122 &amp; ";","")</f>
        <v/>
      </c>
      <c r="CV122" s="58">
        <f>IF(AND($H122="threat",$BW122=0.1,$BV122=0.4),$D122 &amp; ";","")</f>
        <v/>
      </c>
      <c r="CW122" s="58">
        <f>IF(AND($H122="threat",$BW122=0.1,$BV122=0.8),$D122 &amp; ";","")</f>
        <v/>
      </c>
      <c r="CX122" s="39" t="n"/>
      <c r="CY122" s="58">
        <f>IF(AND($H122="opportunity",$BW122=0.9,$BV122=0.8),$D122 &amp; ";","")</f>
        <v/>
      </c>
      <c r="CZ122" s="58">
        <f>IF(AND($H122="opportunity",$BW122=0.9,$BV122=0.4),$D122 &amp; ";","")</f>
        <v/>
      </c>
      <c r="DA122" s="58">
        <f>IF(AND($H122="opportunity",$BW122=0.9,$BV122=0.2),$D122 &amp; ";","")</f>
        <v/>
      </c>
      <c r="DB122" s="58">
        <f>IF(AND($H122="opportunity",$BW122=0.9,$BV122=0.1),$D122 &amp; ";","")</f>
        <v/>
      </c>
      <c r="DC122" s="58">
        <f>IF(AND($H122="opportunity",$BW122=0.9,$BV122=0.05),$D122 &amp; ";","")</f>
        <v/>
      </c>
      <c r="DD122" s="58">
        <f>IF(AND($H122="opportunity",$BW122=0.7,$BV122=0.8),$D122 &amp; ";","")</f>
        <v/>
      </c>
      <c r="DE122" s="58">
        <f>IF(AND($H122="opportunity",$BW122=0.7,$BV122=0.4),$D122 &amp; ";","")</f>
        <v/>
      </c>
      <c r="DF122" s="58">
        <f>IF(AND($H122="opportunity",$BW122=0.7,$BV122=0.2),$D122 &amp; ";","")</f>
        <v/>
      </c>
      <c r="DG122" s="58">
        <f>IF(AND($H122="opportunity",$BW122=0.7,$BV122=0.1),$D122 &amp; ";","")</f>
        <v/>
      </c>
      <c r="DH122" s="58">
        <f>IF(AND($H122="opportunity",$BW122=0.7,$BV122=0.05),$D122 &amp; ";","")</f>
        <v/>
      </c>
      <c r="DI122" s="58">
        <f>IF(AND($H122="opportunity",$BW122=0.5,$BV122=0.8),$D122 &amp; ";","")</f>
        <v/>
      </c>
      <c r="DJ122" s="58">
        <f>IF(AND($H122="opportunity",$BW122=0.5,$BV122=0.4),$D122 &amp; ";","")</f>
        <v/>
      </c>
      <c r="DK122" s="58">
        <f>IF(AND($H122="opportunity",$BW122=0.5,$BV122=0.2),$D122 &amp; ";","")</f>
        <v/>
      </c>
      <c r="DL122" s="58">
        <f>IF(AND($H122="opportunity",$BW122=0.5,$BV122=0.1),$D122 &amp; ";","")</f>
        <v/>
      </c>
      <c r="DM122" s="58">
        <f>IF(AND($H122="opportunity",$BW122=0.5,$BV122=0.05),$D122 &amp; ";","")</f>
        <v/>
      </c>
      <c r="DN122" s="58">
        <f>IF(AND($H122="opportunity",$BW122=0.3,$BV122=0.8),$D122 &amp; ";","")</f>
        <v/>
      </c>
      <c r="DO122" s="58">
        <f>IF(AND($H122="opportunity",$BW122=0.3,$BV122=0.4),$D122 &amp; ";","")</f>
        <v/>
      </c>
      <c r="DP122" s="58">
        <f>IF(AND($H122="opportunity",$BW122=0.3,$BV122=0.2),$D122 &amp; ";","")</f>
        <v/>
      </c>
      <c r="DQ122" s="58">
        <f>IF(AND($H122="opportunity",$BW122=0.3,$BV122=0.1),$D122 &amp; ";","")</f>
        <v/>
      </c>
      <c r="DR122" s="58">
        <f>IF(AND($H122="opportunity",$BW122=0.3,$BV122=0.05),$D122 &amp; ";","")</f>
        <v/>
      </c>
      <c r="DS122" s="58">
        <f>IF(AND($H122="opportunity",$BW122=0.1,$BV122=0.8),$D122 &amp; ";","")</f>
        <v/>
      </c>
      <c r="DT122" s="58">
        <f>IF(AND($H122="opportunity",$BW122=0.1,$BV122=0.4),$D122 &amp; ";","")</f>
        <v/>
      </c>
      <c r="DU122" s="58">
        <f>IF(AND($H122="opportunity",$BW122=0.1,$BV122=0.2),$D122 &amp; ";","")</f>
        <v/>
      </c>
      <c r="DV122" s="58">
        <f>IF(AND($H122="opportunity",$BW122=0.1,$BV122=0.1),$D122 &amp; ";","")</f>
        <v/>
      </c>
      <c r="DW122" s="58">
        <f>IF(AND($H122="opportunity",$BW122=0.1,$BV122=0.05),$D122 &amp; ";","")</f>
        <v/>
      </c>
    </row>
    <row r="123">
      <c r="D123" s="60">
        <f>INDIRECT(ADDRESS(ROW()-22,COLUMN()-2,1,1,"Risk Register"))</f>
        <v/>
      </c>
      <c r="E123" s="143">
        <f>INDIRECT(ADDRESS(ROW()-22,COLUMN()-1,1,1,"Risk Register"))</f>
        <v/>
      </c>
      <c r="G123" s="56">
        <f>INDIRECT(ADDRESS(ROW()-22,COLUMN()+10,1,1,"Risk Register"))</f>
        <v/>
      </c>
      <c r="H123" s="60">
        <f>INDIRECT(ADDRESS(ROW()-22,COLUMN()+8,1,1,"Risk Register"))</f>
        <v/>
      </c>
      <c r="I123" s="54">
        <f>INDIRECT(ADDRESS(ROW()-22,COLUMN()+3,1,1,"Risk Register"))</f>
        <v/>
      </c>
      <c r="J123" s="143">
        <f>INDIRECT(ADDRESS(ROW()-22,COLUMN()+12,1,1,"Risk Register"))</f>
        <v/>
      </c>
      <c r="K123" s="143">
        <f>INDIRECT(ADDRESS(ROW()-22,COLUMN()-2,1,1,"Risk Register"))</f>
        <v/>
      </c>
      <c r="L123" s="176">
        <f>INDIRECT(ADDRESS(ROW()-22,COLUMN()+15,1,1,"Risk Register"))</f>
        <v/>
      </c>
      <c r="M123" s="54">
        <f>INDIRECT(ADDRESS(ROW()-22,COLUMN()+13,1,1,"Risk Register"))</f>
        <v/>
      </c>
      <c r="N123" s="143">
        <f>INDIRECT(ADDRESS(ROW()-22,COLUMN()-9,1,1,"Risk Register"))</f>
        <v/>
      </c>
      <c r="O123" s="143">
        <f>INDIRECT(ADDRESS(ROW()-22,COLUMN()-8,1,1,"Risk Register"))</f>
        <v/>
      </c>
      <c r="P123" s="56">
        <f>INDIRECT(ADDRESS(ROW()-22,COLUMN()+18,1,1,"Risk Register"))</f>
        <v/>
      </c>
      <c r="R123" s="57">
        <f>INDIRECT(ADDRESS(ROW()-22,COLUMN()-5,1,1,"Risk Register"))</f>
        <v/>
      </c>
      <c r="S123" s="58">
        <f>INDIRECT(ADDRESS(ROW()-22,COLUMN()-4,1,1,"Risk Register"))</f>
        <v/>
      </c>
      <c r="T123" s="59">
        <f>IF(AND($H123="threat",$G123&lt;=0.05),"gn",IF(AND($H123="threat",$G123&lt;=0.14),"y",IF(AND($H123="threat", $G123&gt;=0.15),"r",IF(AND($H123="opportunity",$G123&lt;=0.05),"gn",IF(AND($H123="opportunity",$G123&lt;=0.14),"lb",IF(AND($H123="opportunity",$G123&gt;=0.15),"db","z"))))))</f>
        <v/>
      </c>
      <c r="U123" s="58">
        <f>IF(AND($H123="threat",$S123=0.9,$R123=0.05),$D123 &amp; ";","")</f>
        <v/>
      </c>
      <c r="V123" s="58">
        <f>IF(AND($H123="threat",$S123=0.9,$R123=0.1),$D123 &amp; ";","")</f>
        <v/>
      </c>
      <c r="W123" s="58">
        <f>IF(AND($H123="threat",$S123=0.9,$R123=0.2),$D123 &amp; ";","")</f>
        <v/>
      </c>
      <c r="X123" s="58">
        <f>IF(AND($H123="threat",$S123=0.9,$R123=0.4),$D123 &amp; ";","")</f>
        <v/>
      </c>
      <c r="Y123" s="58">
        <f>IF(AND($H123="threat",$S123=0.9,$R123=0.8),$D123 &amp; ";","")</f>
        <v/>
      </c>
      <c r="Z123" s="58">
        <f>IF(AND($H123="threat",$S123=0.7,$R123=0.05),$D123 &amp; ";","")</f>
        <v/>
      </c>
      <c r="AA123" s="58">
        <f>IF(AND($H123="threat",$S123=0.7,$R123=0.1),$D123 &amp; ";","")</f>
        <v/>
      </c>
      <c r="AB123" s="58">
        <f>IF(AND($H123="threat",$S123=0.7,$R123=0.2),$D123 &amp; ";","")</f>
        <v/>
      </c>
      <c r="AC123" s="58">
        <f>IF(AND($H123="threat",$S123=0.7,$R123=0.4),$D123 &amp; ";","")</f>
        <v/>
      </c>
      <c r="AD123" s="58">
        <f>IF(AND($H123="threat",$S123=0.7,$R123=0.8),$D123 &amp; ";","")</f>
        <v/>
      </c>
      <c r="AE123" s="58">
        <f>IF(AND($H123="threat",$S123=0.5,$R123=0.05),$D123 &amp; ";","")</f>
        <v/>
      </c>
      <c r="AF123" s="58">
        <f>IF(AND($H123="threat",$S123=0.5,$R123=0.1),$D123 &amp; ";","")</f>
        <v/>
      </c>
      <c r="AG123" s="58">
        <f>IF(AND($H123="threat",$S123=0.5,$R123=0.2),$D123 &amp; ";","")</f>
        <v/>
      </c>
      <c r="AH123" s="58">
        <f>IF(AND($H123="threat",$S123=0.5,$R123=0.4),$D123 &amp; ";","")</f>
        <v/>
      </c>
      <c r="AI123" s="58">
        <f>IF(AND($H123="threat",$S123=0.5,$R123=0.8),$D123 &amp; ";","")</f>
        <v/>
      </c>
      <c r="AJ123" s="58">
        <f>IF(AND($H123="threat",$S123=0.3,$R123=0.05),$D123 &amp; ";","")</f>
        <v/>
      </c>
      <c r="AK123" s="58">
        <f>IF(AND($H123="threat",$S123=0.3,$R123=0.1),$D123 &amp; ";","")</f>
        <v/>
      </c>
      <c r="AL123" s="58">
        <f>IF(AND($H123="threat",$S123=0.3,$R123=0.2),$D123 &amp; ";","")</f>
        <v/>
      </c>
      <c r="AM123" s="58">
        <f>IF(AND($H123="threat",$S123=0.3,$R123=0.4),$D123 &amp; ";","")</f>
        <v/>
      </c>
      <c r="AN123" s="58">
        <f>IF(AND($H123="threat",$S123=0.3,$R123=0.8),$D123 &amp; ";","")</f>
        <v/>
      </c>
      <c r="AO123" s="58">
        <f>IF(AND($H123="threat",$S123=0.1,$R123=0.05),$D123 &amp; ";","")</f>
        <v/>
      </c>
      <c r="AP123" s="58">
        <f>IF(AND($H123="threat",$S123=0.1,$R123=0.1),$D123 &amp; ";","")</f>
        <v/>
      </c>
      <c r="AQ123" s="58">
        <f>IF(AND($H123="threat",$S123=0.1,$R123=0.2),$D123 &amp; ";","")</f>
        <v/>
      </c>
      <c r="AR123" s="58">
        <f>IF(AND($H123="threat",$S123=0.1,$R123=0.4),$D123 &amp; ";","")</f>
        <v/>
      </c>
      <c r="AS123" s="58">
        <f>IF(AND($H123="threat",$S123=0.1,$R123=0.8),$D123 &amp; ";","")</f>
        <v/>
      </c>
      <c r="AT123" s="39" t="n"/>
      <c r="AU123" s="58">
        <f>IF(AND($H123="opportunity",$S123=0.9,$R123=0.8),$D123 &amp; ";","")</f>
        <v/>
      </c>
      <c r="AV123" s="58">
        <f>IF(AND($H123="opportunity",$S123=0.9,$R123=0.4),$D123 &amp; ";","")</f>
        <v/>
      </c>
      <c r="AW123" s="58">
        <f>IF(AND($H123="opportunity",$S123=0.9,$R123=0.2),$D123 &amp; ";","")</f>
        <v/>
      </c>
      <c r="AX123" s="58">
        <f>IF(AND($H123="opportunity",$S123=0.9,$R123=0.1),$D123 &amp; ";","")</f>
        <v/>
      </c>
      <c r="AY123" s="58">
        <f>IF(AND($H123="opportunity",$S123=0.9,$R123=0.05),$D123 &amp; ";","")</f>
        <v/>
      </c>
      <c r="AZ123" s="58">
        <f>IF(AND($H123="opportunity",$S123=0.7,$R123=0.8),$D123 &amp; ";","")</f>
        <v/>
      </c>
      <c r="BA123" s="58">
        <f>IF(AND($H123="opportunity",$S123=0.7,$R123=0.4),$D123 &amp; ";","")</f>
        <v/>
      </c>
      <c r="BB123" s="58">
        <f>IF(AND($H123="opportunity",$S123=0.7,$R123=0.2),$D123 &amp; ";","")</f>
        <v/>
      </c>
      <c r="BC123" s="58">
        <f>IF(AND($H123="opportunity",$S123=0.7,$R123=0.1),$D123 &amp; ";","")</f>
        <v/>
      </c>
      <c r="BD123" s="58">
        <f>IF(AND($H123="opportunity",$S123=0.7,$R123=0.05),$D123 &amp; ";","")</f>
        <v/>
      </c>
      <c r="BE123" s="58">
        <f>IF(AND($H123="opportunity",$S123=0.5,$R123=0.8),$D123 &amp; ";","")</f>
        <v/>
      </c>
      <c r="BF123" s="58">
        <f>IF(AND($H123="opportunity",$S123=0.5,$R123=0.4),$D123 &amp; ";","")</f>
        <v/>
      </c>
      <c r="BG123" s="58">
        <f>IF(AND($H123="opportunity",$S123=0.5,$R123=0.2),$D123 &amp; ";","")</f>
        <v/>
      </c>
      <c r="BH123" s="58">
        <f>IF(AND($H123="opportunity",$S123=0.5,$R123=0.1),$D123 &amp; ";","")</f>
        <v/>
      </c>
      <c r="BI123" s="58">
        <f>IF(AND($H123="opportunity",$S123=0.5,$R123=0.05),$D123 &amp; ";","")</f>
        <v/>
      </c>
      <c r="BJ123" s="58">
        <f>IF(AND($H123="opportunity",$S123=0.3,$R123=0.8),$D123 &amp; ";","")</f>
        <v/>
      </c>
      <c r="BK123" s="58">
        <f>IF(AND($H123="opportunity",$S123=0.3,$R123=0.4),$D123 &amp; ";","")</f>
        <v/>
      </c>
      <c r="BL123" s="58">
        <f>IF(AND($H123="opportunity",$S123=0.3,$R123=0.2),$D123 &amp; ";","")</f>
        <v/>
      </c>
      <c r="BM123" s="58">
        <f>IF(AND($H123="opportunity",$S123=0.3,$R123=0.1),$D123 &amp; ";","")</f>
        <v/>
      </c>
      <c r="BN123" s="58">
        <f>IF(AND($H123="opportunity",$S123=0.3,$R123=0.05),$D123 &amp; ";","")</f>
        <v/>
      </c>
      <c r="BO123" s="58">
        <f>IF(AND($H123="opportunity",$S123=0.1,$R123=0.8),$D123 &amp; ";","")</f>
        <v/>
      </c>
      <c r="BP123" s="58">
        <f>IF(AND($H123="opportunity",$S123=0.1,$R123=0.4),$D123 &amp; ";","")</f>
        <v/>
      </c>
      <c r="BQ123" s="58">
        <f>IF(AND($H123="opportunity",$S123=0.1,$R123=0.2),$D123 &amp; ";","")</f>
        <v/>
      </c>
      <c r="BR123" s="58">
        <f>IF(AND($H123="opportunity",$S123=0.1,$R123=0.1),$D123 &amp; ";","")</f>
        <v/>
      </c>
      <c r="BS123" s="58">
        <f>IF(AND($H123="opportunity",$S123=0.1,$R123=0.05),$D123 &amp; ";","")</f>
        <v/>
      </c>
      <c r="BV123" s="57">
        <f>INDIRECT(ADDRESS(ROW()-22,COLUMN()-45,1,1,"Risk Register"))</f>
        <v/>
      </c>
      <c r="BW123" s="58">
        <f>INDIRECT(ADDRESS(ROW()-22,COLUMN()-44,1,1,"Risk Register"))</f>
        <v/>
      </c>
      <c r="BX123" s="59">
        <f>IF(AND($H123="threat",$P123&lt;=0.05),"gn",IF(AND($H123="threat",$P123&lt;=0.14),"y",IF(AND($H123="threat", $P123&gt;=0.15),"r",IF(AND($H123="opportunity",$P123&lt;=0.05),"gn",IF(AND($H123="opportunity",$P123&lt;=0.14),"lb",IF(AND($H123="opportunity",$P123&gt;=0.15),"db","z"))))))</f>
        <v/>
      </c>
      <c r="BY123" s="58">
        <f>IF(AND($H123="threat",$BW123=0.9,$BV123=0.05),$D123 &amp; ";","")</f>
        <v/>
      </c>
      <c r="BZ123" s="58">
        <f>IF(AND($H123="threat",$BW123=0.9,$BV123=0.1),$D123 &amp; ";","")</f>
        <v/>
      </c>
      <c r="CA123" s="58">
        <f>IF(AND($H123="threat",$BW123=0.9,$BV123=0.2),$D123 &amp; ";","")</f>
        <v/>
      </c>
      <c r="CB123" s="58">
        <f>IF(AND($H123="threat",$BW123=0.9,$BV123=0.4),$D123 &amp; ";","")</f>
        <v/>
      </c>
      <c r="CC123" s="58">
        <f>IF(AND($H123="threat",$BW123=0.9,$BV123=0.8),$D123 &amp; ";","")</f>
        <v/>
      </c>
      <c r="CD123" s="58">
        <f>IF(AND($H123="threat",$BW123=0.7,$BV123=0.05),$D123 &amp; ";","")</f>
        <v/>
      </c>
      <c r="CE123" s="58">
        <f>IF(AND($H123="threat",$BW123=0.7,$BV123=0.1),$D123 &amp; ";","")</f>
        <v/>
      </c>
      <c r="CF123" s="58">
        <f>IF(AND($H123="threat",$BW123=0.7,$BV123=0.2),$D123 &amp; ";","")</f>
        <v/>
      </c>
      <c r="CG123" s="58">
        <f>IF(AND($H123="threat",$BW123=0.7,$BV123=0.4),$D123 &amp; ";","")</f>
        <v/>
      </c>
      <c r="CH123" s="58">
        <f>IF(AND($H123="threat",$BW123=0.7,$BV123=0.8),$D123 &amp; ";","")</f>
        <v/>
      </c>
      <c r="CI123" s="58">
        <f>IF(AND($H123="threat",$BW123=0.5,$BV123=0.05),$D123 &amp; ";","")</f>
        <v/>
      </c>
      <c r="CJ123" s="58">
        <f>IF(AND($H123="threat",$BW123=0.5,$BV123=0.1),$D123 &amp; ";","")</f>
        <v/>
      </c>
      <c r="CK123" s="58">
        <f>IF(AND($H123="threat",$BW123=0.5,$BV123=0.2),$D123 &amp; ";","")</f>
        <v/>
      </c>
      <c r="CL123" s="58">
        <f>IF(AND($H123="threat",$BW123=0.5,$BV123=0.4),$D123 &amp; ";","")</f>
        <v/>
      </c>
      <c r="CM123" s="58">
        <f>IF(AND($H123="threat",$BW123=0.5,$BV123=0.8),$D123 &amp; ";","")</f>
        <v/>
      </c>
      <c r="CN123" s="58">
        <f>IF(AND($H123="threat",$BW123=0.3,$BV123=0.05),$D123 &amp; ";","")</f>
        <v/>
      </c>
      <c r="CO123" s="58">
        <f>IF(AND($H123="threat",$BW123=0.3,$BV123=0.1),$D123 &amp; ";","")</f>
        <v/>
      </c>
      <c r="CP123" s="58">
        <f>IF(AND($H123="threat",$BW123=0.3,$BV123=0.2),$D123 &amp; ";","")</f>
        <v/>
      </c>
      <c r="CQ123" s="58">
        <f>IF(AND($H123="threat",$BW123=0.3,$BV123=0.4),$D123 &amp; ";","")</f>
        <v/>
      </c>
      <c r="CR123" s="58">
        <f>IF(AND($H123="threat",$BW123=0.3,$BV123=0.8),$D123 &amp; ";","")</f>
        <v/>
      </c>
      <c r="CS123" s="58">
        <f>IF(AND($H123="threat",$BW123=0.1,$BV123=0.05),$D123 &amp; ";","")</f>
        <v/>
      </c>
      <c r="CT123" s="58">
        <f>IF(AND($H123="threat",$BW123=0.1,$BV123=0.1),$D123 &amp; ";","")</f>
        <v/>
      </c>
      <c r="CU123" s="58">
        <f>IF(AND($H123="threat",$BW123=0.1,$BV123=0.2),$D123 &amp; ";","")</f>
        <v/>
      </c>
      <c r="CV123" s="58">
        <f>IF(AND($H123="threat",$BW123=0.1,$BV123=0.4),$D123 &amp; ";","")</f>
        <v/>
      </c>
      <c r="CW123" s="58">
        <f>IF(AND($H123="threat",$BW123=0.1,$BV123=0.8),$D123 &amp; ";","")</f>
        <v/>
      </c>
      <c r="CX123" s="39" t="n"/>
      <c r="CY123" s="58">
        <f>IF(AND($H123="opportunity",$BW123=0.9,$BV123=0.8),$D123 &amp; ";","")</f>
        <v/>
      </c>
      <c r="CZ123" s="58">
        <f>IF(AND($H123="opportunity",$BW123=0.9,$BV123=0.4),$D123 &amp; ";","")</f>
        <v/>
      </c>
      <c r="DA123" s="58">
        <f>IF(AND($H123="opportunity",$BW123=0.9,$BV123=0.2),$D123 &amp; ";","")</f>
        <v/>
      </c>
      <c r="DB123" s="58">
        <f>IF(AND($H123="opportunity",$BW123=0.9,$BV123=0.1),$D123 &amp; ";","")</f>
        <v/>
      </c>
      <c r="DC123" s="58">
        <f>IF(AND($H123="opportunity",$BW123=0.9,$BV123=0.05),$D123 &amp; ";","")</f>
        <v/>
      </c>
      <c r="DD123" s="58">
        <f>IF(AND($H123="opportunity",$BW123=0.7,$BV123=0.8),$D123 &amp; ";","")</f>
        <v/>
      </c>
      <c r="DE123" s="58">
        <f>IF(AND($H123="opportunity",$BW123=0.7,$BV123=0.4),$D123 &amp; ";","")</f>
        <v/>
      </c>
      <c r="DF123" s="58">
        <f>IF(AND($H123="opportunity",$BW123=0.7,$BV123=0.2),$D123 &amp; ";","")</f>
        <v/>
      </c>
      <c r="DG123" s="58">
        <f>IF(AND($H123="opportunity",$BW123=0.7,$BV123=0.1),$D123 &amp; ";","")</f>
        <v/>
      </c>
      <c r="DH123" s="58">
        <f>IF(AND($H123="opportunity",$BW123=0.7,$BV123=0.05),$D123 &amp; ";","")</f>
        <v/>
      </c>
      <c r="DI123" s="58">
        <f>IF(AND($H123="opportunity",$BW123=0.5,$BV123=0.8),$D123 &amp; ";","")</f>
        <v/>
      </c>
      <c r="DJ123" s="58">
        <f>IF(AND($H123="opportunity",$BW123=0.5,$BV123=0.4),$D123 &amp; ";","")</f>
        <v/>
      </c>
      <c r="DK123" s="58">
        <f>IF(AND($H123="opportunity",$BW123=0.5,$BV123=0.2),$D123 &amp; ";","")</f>
        <v/>
      </c>
      <c r="DL123" s="58">
        <f>IF(AND($H123="opportunity",$BW123=0.5,$BV123=0.1),$D123 &amp; ";","")</f>
        <v/>
      </c>
      <c r="DM123" s="58">
        <f>IF(AND($H123="opportunity",$BW123=0.5,$BV123=0.05),$D123 &amp; ";","")</f>
        <v/>
      </c>
      <c r="DN123" s="58">
        <f>IF(AND($H123="opportunity",$BW123=0.3,$BV123=0.8),$D123 &amp; ";","")</f>
        <v/>
      </c>
      <c r="DO123" s="58">
        <f>IF(AND($H123="opportunity",$BW123=0.3,$BV123=0.4),$D123 &amp; ";","")</f>
        <v/>
      </c>
      <c r="DP123" s="58">
        <f>IF(AND($H123="opportunity",$BW123=0.3,$BV123=0.2),$D123 &amp; ";","")</f>
        <v/>
      </c>
      <c r="DQ123" s="58">
        <f>IF(AND($H123="opportunity",$BW123=0.3,$BV123=0.1),$D123 &amp; ";","")</f>
        <v/>
      </c>
      <c r="DR123" s="58">
        <f>IF(AND($H123="opportunity",$BW123=0.3,$BV123=0.05),$D123 &amp; ";","")</f>
        <v/>
      </c>
      <c r="DS123" s="58">
        <f>IF(AND($H123="opportunity",$BW123=0.1,$BV123=0.8),$D123 &amp; ";","")</f>
        <v/>
      </c>
      <c r="DT123" s="58">
        <f>IF(AND($H123="opportunity",$BW123=0.1,$BV123=0.4),$D123 &amp; ";","")</f>
        <v/>
      </c>
      <c r="DU123" s="58">
        <f>IF(AND($H123="opportunity",$BW123=0.1,$BV123=0.2),$D123 &amp; ";","")</f>
        <v/>
      </c>
      <c r="DV123" s="58">
        <f>IF(AND($H123="opportunity",$BW123=0.1,$BV123=0.1),$D123 &amp; ";","")</f>
        <v/>
      </c>
      <c r="DW123" s="58">
        <f>IF(AND($H123="opportunity",$BW123=0.1,$BV123=0.05),$D123 &amp; ";","")</f>
        <v/>
      </c>
    </row>
    <row r="124">
      <c r="D124" s="60">
        <f>INDIRECT(ADDRESS(ROW()-22,COLUMN()-2,1,1,"Risk Register"))</f>
        <v/>
      </c>
      <c r="E124" s="143">
        <f>INDIRECT(ADDRESS(ROW()-22,COLUMN()-1,1,1,"Risk Register"))</f>
        <v/>
      </c>
      <c r="G124" s="56">
        <f>INDIRECT(ADDRESS(ROW()-22,COLUMN()+10,1,1,"Risk Register"))</f>
        <v/>
      </c>
      <c r="H124" s="60">
        <f>INDIRECT(ADDRESS(ROW()-22,COLUMN()+8,1,1,"Risk Register"))</f>
        <v/>
      </c>
      <c r="I124" s="54">
        <f>INDIRECT(ADDRESS(ROW()-22,COLUMN()+3,1,1,"Risk Register"))</f>
        <v/>
      </c>
      <c r="J124" s="143">
        <f>INDIRECT(ADDRESS(ROW()-22,COLUMN()+12,1,1,"Risk Register"))</f>
        <v/>
      </c>
      <c r="K124" s="143">
        <f>INDIRECT(ADDRESS(ROW()-22,COLUMN()-2,1,1,"Risk Register"))</f>
        <v/>
      </c>
      <c r="L124" s="176">
        <f>INDIRECT(ADDRESS(ROW()-22,COLUMN()+15,1,1,"Risk Register"))</f>
        <v/>
      </c>
      <c r="M124" s="54">
        <f>INDIRECT(ADDRESS(ROW()-22,COLUMN()+13,1,1,"Risk Register"))</f>
        <v/>
      </c>
      <c r="N124" s="143">
        <f>INDIRECT(ADDRESS(ROW()-22,COLUMN()-9,1,1,"Risk Register"))</f>
        <v/>
      </c>
      <c r="O124" s="143">
        <f>INDIRECT(ADDRESS(ROW()-22,COLUMN()-8,1,1,"Risk Register"))</f>
        <v/>
      </c>
      <c r="P124" s="56">
        <f>INDIRECT(ADDRESS(ROW()-22,COLUMN()+18,1,1,"Risk Register"))</f>
        <v/>
      </c>
      <c r="R124" s="57">
        <f>INDIRECT(ADDRESS(ROW()-22,COLUMN()-5,1,1,"Risk Register"))</f>
        <v/>
      </c>
      <c r="S124" s="58">
        <f>INDIRECT(ADDRESS(ROW()-22,COLUMN()-4,1,1,"Risk Register"))</f>
        <v/>
      </c>
      <c r="T124" s="59">
        <f>IF(AND($H124="threat",$G124&lt;=0.05),"gn",IF(AND($H124="threat",$G124&lt;=0.14),"y",IF(AND($H124="threat", $G124&gt;=0.15),"r",IF(AND($H124="opportunity",$G124&lt;=0.05),"gn",IF(AND($H124="opportunity",$G124&lt;=0.14),"lb",IF(AND($H124="opportunity",$G124&gt;=0.15),"db","z"))))))</f>
        <v/>
      </c>
      <c r="U124" s="58">
        <f>IF(AND($H124="threat",$S124=0.9,$R124=0.05),$D124 &amp; ";","")</f>
        <v/>
      </c>
      <c r="V124" s="58">
        <f>IF(AND($H124="threat",$S124=0.9,$R124=0.1),$D124 &amp; ";","")</f>
        <v/>
      </c>
      <c r="W124" s="58">
        <f>IF(AND($H124="threat",$S124=0.9,$R124=0.2),$D124 &amp; ";","")</f>
        <v/>
      </c>
      <c r="X124" s="58">
        <f>IF(AND($H124="threat",$S124=0.9,$R124=0.4),$D124 &amp; ";","")</f>
        <v/>
      </c>
      <c r="Y124" s="58">
        <f>IF(AND($H124="threat",$S124=0.9,$R124=0.8),$D124 &amp; ";","")</f>
        <v/>
      </c>
      <c r="Z124" s="58">
        <f>IF(AND($H124="threat",$S124=0.7,$R124=0.05),$D124 &amp; ";","")</f>
        <v/>
      </c>
      <c r="AA124" s="58">
        <f>IF(AND($H124="threat",$S124=0.7,$R124=0.1),$D124 &amp; ";","")</f>
        <v/>
      </c>
      <c r="AB124" s="58">
        <f>IF(AND($H124="threat",$S124=0.7,$R124=0.2),$D124 &amp; ";","")</f>
        <v/>
      </c>
      <c r="AC124" s="58">
        <f>IF(AND($H124="threat",$S124=0.7,$R124=0.4),$D124 &amp; ";","")</f>
        <v/>
      </c>
      <c r="AD124" s="58">
        <f>IF(AND($H124="threat",$S124=0.7,$R124=0.8),$D124 &amp; ";","")</f>
        <v/>
      </c>
      <c r="AE124" s="58">
        <f>IF(AND($H124="threat",$S124=0.5,$R124=0.05),$D124 &amp; ";","")</f>
        <v/>
      </c>
      <c r="AF124" s="58">
        <f>IF(AND($H124="threat",$S124=0.5,$R124=0.1),$D124 &amp; ";","")</f>
        <v/>
      </c>
      <c r="AG124" s="58">
        <f>IF(AND($H124="threat",$S124=0.5,$R124=0.2),$D124 &amp; ";","")</f>
        <v/>
      </c>
      <c r="AH124" s="58">
        <f>IF(AND($H124="threat",$S124=0.5,$R124=0.4),$D124 &amp; ";","")</f>
        <v/>
      </c>
      <c r="AI124" s="58">
        <f>IF(AND($H124="threat",$S124=0.5,$R124=0.8),$D124 &amp; ";","")</f>
        <v/>
      </c>
      <c r="AJ124" s="58">
        <f>IF(AND($H124="threat",$S124=0.3,$R124=0.05),$D124 &amp; ";","")</f>
        <v/>
      </c>
      <c r="AK124" s="58">
        <f>IF(AND($H124="threat",$S124=0.3,$R124=0.1),$D124 &amp; ";","")</f>
        <v/>
      </c>
      <c r="AL124" s="58">
        <f>IF(AND($H124="threat",$S124=0.3,$R124=0.2),$D124 &amp; ";","")</f>
        <v/>
      </c>
      <c r="AM124" s="58">
        <f>IF(AND($H124="threat",$S124=0.3,$R124=0.4),$D124 &amp; ";","")</f>
        <v/>
      </c>
      <c r="AN124" s="58">
        <f>IF(AND($H124="threat",$S124=0.3,$R124=0.8),$D124 &amp; ";","")</f>
        <v/>
      </c>
      <c r="AO124" s="58">
        <f>IF(AND($H124="threat",$S124=0.1,$R124=0.05),$D124 &amp; ";","")</f>
        <v/>
      </c>
      <c r="AP124" s="58">
        <f>IF(AND($H124="threat",$S124=0.1,$R124=0.1),$D124 &amp; ";","")</f>
        <v/>
      </c>
      <c r="AQ124" s="58">
        <f>IF(AND($H124="threat",$S124=0.1,$R124=0.2),$D124 &amp; ";","")</f>
        <v/>
      </c>
      <c r="AR124" s="58">
        <f>IF(AND($H124="threat",$S124=0.1,$R124=0.4),$D124 &amp; ";","")</f>
        <v/>
      </c>
      <c r="AS124" s="58">
        <f>IF(AND($H124="threat",$S124=0.1,$R124=0.8),$D124 &amp; ";","")</f>
        <v/>
      </c>
      <c r="AT124" s="39" t="n"/>
      <c r="AU124" s="58">
        <f>IF(AND($H124="opportunity",$S124=0.9,$R124=0.8),$D124 &amp; ";","")</f>
        <v/>
      </c>
      <c r="AV124" s="58">
        <f>IF(AND($H124="opportunity",$S124=0.9,$R124=0.4),$D124 &amp; ";","")</f>
        <v/>
      </c>
      <c r="AW124" s="58">
        <f>IF(AND($H124="opportunity",$S124=0.9,$R124=0.2),$D124 &amp; ";","")</f>
        <v/>
      </c>
      <c r="AX124" s="58">
        <f>IF(AND($H124="opportunity",$S124=0.9,$R124=0.1),$D124 &amp; ";","")</f>
        <v/>
      </c>
      <c r="AY124" s="58">
        <f>IF(AND($H124="opportunity",$S124=0.9,$R124=0.05),$D124 &amp; ";","")</f>
        <v/>
      </c>
      <c r="AZ124" s="58">
        <f>IF(AND($H124="opportunity",$S124=0.7,$R124=0.8),$D124 &amp; ";","")</f>
        <v/>
      </c>
      <c r="BA124" s="58">
        <f>IF(AND($H124="opportunity",$S124=0.7,$R124=0.4),$D124 &amp; ";","")</f>
        <v/>
      </c>
      <c r="BB124" s="58">
        <f>IF(AND($H124="opportunity",$S124=0.7,$R124=0.2),$D124 &amp; ";","")</f>
        <v/>
      </c>
      <c r="BC124" s="58">
        <f>IF(AND($H124="opportunity",$S124=0.7,$R124=0.1),$D124 &amp; ";","")</f>
        <v/>
      </c>
      <c r="BD124" s="58">
        <f>IF(AND($H124="opportunity",$S124=0.7,$R124=0.05),$D124 &amp; ";","")</f>
        <v/>
      </c>
      <c r="BE124" s="58">
        <f>IF(AND($H124="opportunity",$S124=0.5,$R124=0.8),$D124 &amp; ";","")</f>
        <v/>
      </c>
      <c r="BF124" s="58">
        <f>IF(AND($H124="opportunity",$S124=0.5,$R124=0.4),$D124 &amp; ";","")</f>
        <v/>
      </c>
      <c r="BG124" s="58">
        <f>IF(AND($H124="opportunity",$S124=0.5,$R124=0.2),$D124 &amp; ";","")</f>
        <v/>
      </c>
      <c r="BH124" s="58">
        <f>IF(AND($H124="opportunity",$S124=0.5,$R124=0.1),$D124 &amp; ";","")</f>
        <v/>
      </c>
      <c r="BI124" s="58">
        <f>IF(AND($H124="opportunity",$S124=0.5,$R124=0.05),$D124 &amp; ";","")</f>
        <v/>
      </c>
      <c r="BJ124" s="58">
        <f>IF(AND($H124="opportunity",$S124=0.3,$R124=0.8),$D124 &amp; ";","")</f>
        <v/>
      </c>
      <c r="BK124" s="58">
        <f>IF(AND($H124="opportunity",$S124=0.3,$R124=0.4),$D124 &amp; ";","")</f>
        <v/>
      </c>
      <c r="BL124" s="58">
        <f>IF(AND($H124="opportunity",$S124=0.3,$R124=0.2),$D124 &amp; ";","")</f>
        <v/>
      </c>
      <c r="BM124" s="58">
        <f>IF(AND($H124="opportunity",$S124=0.3,$R124=0.1),$D124 &amp; ";","")</f>
        <v/>
      </c>
      <c r="BN124" s="58">
        <f>IF(AND($H124="opportunity",$S124=0.3,$R124=0.05),$D124 &amp; ";","")</f>
        <v/>
      </c>
      <c r="BO124" s="58">
        <f>IF(AND($H124="opportunity",$S124=0.1,$R124=0.8),$D124 &amp; ";","")</f>
        <v/>
      </c>
      <c r="BP124" s="58">
        <f>IF(AND($H124="opportunity",$S124=0.1,$R124=0.4),$D124 &amp; ";","")</f>
        <v/>
      </c>
      <c r="BQ124" s="58">
        <f>IF(AND($H124="opportunity",$S124=0.1,$R124=0.2),$D124 &amp; ";","")</f>
        <v/>
      </c>
      <c r="BR124" s="58">
        <f>IF(AND($H124="opportunity",$S124=0.1,$R124=0.1),$D124 &amp; ";","")</f>
        <v/>
      </c>
      <c r="BS124" s="58">
        <f>IF(AND($H124="opportunity",$S124=0.1,$R124=0.05),$D124 &amp; ";","")</f>
        <v/>
      </c>
      <c r="BV124" s="57">
        <f>INDIRECT(ADDRESS(ROW()-22,COLUMN()-45,1,1,"Risk Register"))</f>
        <v/>
      </c>
      <c r="BW124" s="58">
        <f>INDIRECT(ADDRESS(ROW()-22,COLUMN()-44,1,1,"Risk Register"))</f>
        <v/>
      </c>
      <c r="BX124" s="59">
        <f>IF(AND($H124="threat",$P124&lt;=0.05),"gn",IF(AND($H124="threat",$P124&lt;=0.14),"y",IF(AND($H124="threat", $P124&gt;=0.15),"r",IF(AND($H124="opportunity",$P124&lt;=0.05),"gn",IF(AND($H124="opportunity",$P124&lt;=0.14),"lb",IF(AND($H124="opportunity",$P124&gt;=0.15),"db","z"))))))</f>
        <v/>
      </c>
      <c r="BY124" s="58">
        <f>IF(AND($H124="threat",$BW124=0.9,$BV124=0.05),$D124 &amp; ";","")</f>
        <v/>
      </c>
      <c r="BZ124" s="58">
        <f>IF(AND($H124="threat",$BW124=0.9,$BV124=0.1),$D124 &amp; ";","")</f>
        <v/>
      </c>
      <c r="CA124" s="58">
        <f>IF(AND($H124="threat",$BW124=0.9,$BV124=0.2),$D124 &amp; ";","")</f>
        <v/>
      </c>
      <c r="CB124" s="58">
        <f>IF(AND($H124="threat",$BW124=0.9,$BV124=0.4),$D124 &amp; ";","")</f>
        <v/>
      </c>
      <c r="CC124" s="58">
        <f>IF(AND($H124="threat",$BW124=0.9,$BV124=0.8),$D124 &amp; ";","")</f>
        <v/>
      </c>
      <c r="CD124" s="58">
        <f>IF(AND($H124="threat",$BW124=0.7,$BV124=0.05),$D124 &amp; ";","")</f>
        <v/>
      </c>
      <c r="CE124" s="58">
        <f>IF(AND($H124="threat",$BW124=0.7,$BV124=0.1),$D124 &amp; ";","")</f>
        <v/>
      </c>
      <c r="CF124" s="58">
        <f>IF(AND($H124="threat",$BW124=0.7,$BV124=0.2),$D124 &amp; ";","")</f>
        <v/>
      </c>
      <c r="CG124" s="58">
        <f>IF(AND($H124="threat",$BW124=0.7,$BV124=0.4),$D124 &amp; ";","")</f>
        <v/>
      </c>
      <c r="CH124" s="58">
        <f>IF(AND($H124="threat",$BW124=0.7,$BV124=0.8),$D124 &amp; ";","")</f>
        <v/>
      </c>
      <c r="CI124" s="58">
        <f>IF(AND($H124="threat",$BW124=0.5,$BV124=0.05),$D124 &amp; ";","")</f>
        <v/>
      </c>
      <c r="CJ124" s="58">
        <f>IF(AND($H124="threat",$BW124=0.5,$BV124=0.1),$D124 &amp; ";","")</f>
        <v/>
      </c>
      <c r="CK124" s="58">
        <f>IF(AND($H124="threat",$BW124=0.5,$BV124=0.2),$D124 &amp; ";","")</f>
        <v/>
      </c>
      <c r="CL124" s="58">
        <f>IF(AND($H124="threat",$BW124=0.5,$BV124=0.4),$D124 &amp; ";","")</f>
        <v/>
      </c>
      <c r="CM124" s="58">
        <f>IF(AND($H124="threat",$BW124=0.5,$BV124=0.8),$D124 &amp; ";","")</f>
        <v/>
      </c>
      <c r="CN124" s="58">
        <f>IF(AND($H124="threat",$BW124=0.3,$BV124=0.05),$D124 &amp; ";","")</f>
        <v/>
      </c>
      <c r="CO124" s="58">
        <f>IF(AND($H124="threat",$BW124=0.3,$BV124=0.1),$D124 &amp; ";","")</f>
        <v/>
      </c>
      <c r="CP124" s="58">
        <f>IF(AND($H124="threat",$BW124=0.3,$BV124=0.2),$D124 &amp; ";","")</f>
        <v/>
      </c>
      <c r="CQ124" s="58">
        <f>IF(AND($H124="threat",$BW124=0.3,$BV124=0.4),$D124 &amp; ";","")</f>
        <v/>
      </c>
      <c r="CR124" s="58">
        <f>IF(AND($H124="threat",$BW124=0.3,$BV124=0.8),$D124 &amp; ";","")</f>
        <v/>
      </c>
      <c r="CS124" s="58">
        <f>IF(AND($H124="threat",$BW124=0.1,$BV124=0.05),$D124 &amp; ";","")</f>
        <v/>
      </c>
      <c r="CT124" s="58">
        <f>IF(AND($H124="threat",$BW124=0.1,$BV124=0.1),$D124 &amp; ";","")</f>
        <v/>
      </c>
      <c r="CU124" s="58">
        <f>IF(AND($H124="threat",$BW124=0.1,$BV124=0.2),$D124 &amp; ";","")</f>
        <v/>
      </c>
      <c r="CV124" s="58">
        <f>IF(AND($H124="threat",$BW124=0.1,$BV124=0.4),$D124 &amp; ";","")</f>
        <v/>
      </c>
      <c r="CW124" s="58">
        <f>IF(AND($H124="threat",$BW124=0.1,$BV124=0.8),$D124 &amp; ";","")</f>
        <v/>
      </c>
      <c r="CX124" s="39" t="n"/>
      <c r="CY124" s="58">
        <f>IF(AND($H124="opportunity",$BW124=0.9,$BV124=0.8),$D124 &amp; ";","")</f>
        <v/>
      </c>
      <c r="CZ124" s="58">
        <f>IF(AND($H124="opportunity",$BW124=0.9,$BV124=0.4),$D124 &amp; ";","")</f>
        <v/>
      </c>
      <c r="DA124" s="58">
        <f>IF(AND($H124="opportunity",$BW124=0.9,$BV124=0.2),$D124 &amp; ";","")</f>
        <v/>
      </c>
      <c r="DB124" s="58">
        <f>IF(AND($H124="opportunity",$BW124=0.9,$BV124=0.1),$D124 &amp; ";","")</f>
        <v/>
      </c>
      <c r="DC124" s="58">
        <f>IF(AND($H124="opportunity",$BW124=0.9,$BV124=0.05),$D124 &amp; ";","")</f>
        <v/>
      </c>
      <c r="DD124" s="58">
        <f>IF(AND($H124="opportunity",$BW124=0.7,$BV124=0.8),$D124 &amp; ";","")</f>
        <v/>
      </c>
      <c r="DE124" s="58">
        <f>IF(AND($H124="opportunity",$BW124=0.7,$BV124=0.4),$D124 &amp; ";","")</f>
        <v/>
      </c>
      <c r="DF124" s="58">
        <f>IF(AND($H124="opportunity",$BW124=0.7,$BV124=0.2),$D124 &amp; ";","")</f>
        <v/>
      </c>
      <c r="DG124" s="58">
        <f>IF(AND($H124="opportunity",$BW124=0.7,$BV124=0.1),$D124 &amp; ";","")</f>
        <v/>
      </c>
      <c r="DH124" s="58">
        <f>IF(AND($H124="opportunity",$BW124=0.7,$BV124=0.05),$D124 &amp; ";","")</f>
        <v/>
      </c>
      <c r="DI124" s="58">
        <f>IF(AND($H124="opportunity",$BW124=0.5,$BV124=0.8),$D124 &amp; ";","")</f>
        <v/>
      </c>
      <c r="DJ124" s="58">
        <f>IF(AND($H124="opportunity",$BW124=0.5,$BV124=0.4),$D124 &amp; ";","")</f>
        <v/>
      </c>
      <c r="DK124" s="58">
        <f>IF(AND($H124="opportunity",$BW124=0.5,$BV124=0.2),$D124 &amp; ";","")</f>
        <v/>
      </c>
      <c r="DL124" s="58">
        <f>IF(AND($H124="opportunity",$BW124=0.5,$BV124=0.1),$D124 &amp; ";","")</f>
        <v/>
      </c>
      <c r="DM124" s="58">
        <f>IF(AND($H124="opportunity",$BW124=0.5,$BV124=0.05),$D124 &amp; ";","")</f>
        <v/>
      </c>
      <c r="DN124" s="58">
        <f>IF(AND($H124="opportunity",$BW124=0.3,$BV124=0.8),$D124 &amp; ";","")</f>
        <v/>
      </c>
      <c r="DO124" s="58">
        <f>IF(AND($H124="opportunity",$BW124=0.3,$BV124=0.4),$D124 &amp; ";","")</f>
        <v/>
      </c>
      <c r="DP124" s="58">
        <f>IF(AND($H124="opportunity",$BW124=0.3,$BV124=0.2),$D124 &amp; ";","")</f>
        <v/>
      </c>
      <c r="DQ124" s="58">
        <f>IF(AND($H124="opportunity",$BW124=0.3,$BV124=0.1),$D124 &amp; ";","")</f>
        <v/>
      </c>
      <c r="DR124" s="58">
        <f>IF(AND($H124="opportunity",$BW124=0.3,$BV124=0.05),$D124 &amp; ";","")</f>
        <v/>
      </c>
      <c r="DS124" s="58">
        <f>IF(AND($H124="opportunity",$BW124=0.1,$BV124=0.8),$D124 &amp; ";","")</f>
        <v/>
      </c>
      <c r="DT124" s="58">
        <f>IF(AND($H124="opportunity",$BW124=0.1,$BV124=0.4),$D124 &amp; ";","")</f>
        <v/>
      </c>
      <c r="DU124" s="58">
        <f>IF(AND($H124="opportunity",$BW124=0.1,$BV124=0.2),$D124 &amp; ";","")</f>
        <v/>
      </c>
      <c r="DV124" s="58">
        <f>IF(AND($H124="opportunity",$BW124=0.1,$BV124=0.1),$D124 &amp; ";","")</f>
        <v/>
      </c>
      <c r="DW124" s="58">
        <f>IF(AND($H124="opportunity",$BW124=0.1,$BV124=0.05),$D124 &amp; ";","")</f>
        <v/>
      </c>
    </row>
    <row r="125">
      <c r="D125" s="60">
        <f>INDIRECT(ADDRESS(ROW()-22,COLUMN()-2,1,1,"Risk Register"))</f>
        <v/>
      </c>
      <c r="E125" s="143">
        <f>INDIRECT(ADDRESS(ROW()-22,COLUMN()-1,1,1,"Risk Register"))</f>
        <v/>
      </c>
      <c r="G125" s="56">
        <f>INDIRECT(ADDRESS(ROW()-22,COLUMN()+10,1,1,"Risk Register"))</f>
        <v/>
      </c>
      <c r="H125" s="60">
        <f>INDIRECT(ADDRESS(ROW()-22,COLUMN()+8,1,1,"Risk Register"))</f>
        <v/>
      </c>
      <c r="I125" s="54">
        <f>INDIRECT(ADDRESS(ROW()-22,COLUMN()+3,1,1,"Risk Register"))</f>
        <v/>
      </c>
      <c r="J125" s="143">
        <f>INDIRECT(ADDRESS(ROW()-22,COLUMN()+12,1,1,"Risk Register"))</f>
        <v/>
      </c>
      <c r="K125" s="143">
        <f>INDIRECT(ADDRESS(ROW()-22,COLUMN()-2,1,1,"Risk Register"))</f>
        <v/>
      </c>
      <c r="L125" s="176">
        <f>INDIRECT(ADDRESS(ROW()-22,COLUMN()+15,1,1,"Risk Register"))</f>
        <v/>
      </c>
      <c r="M125" s="54">
        <f>INDIRECT(ADDRESS(ROW()-22,COLUMN()+13,1,1,"Risk Register"))</f>
        <v/>
      </c>
      <c r="N125" s="143">
        <f>INDIRECT(ADDRESS(ROW()-22,COLUMN()-9,1,1,"Risk Register"))</f>
        <v/>
      </c>
      <c r="O125" s="143">
        <f>INDIRECT(ADDRESS(ROW()-22,COLUMN()-8,1,1,"Risk Register"))</f>
        <v/>
      </c>
      <c r="P125" s="56">
        <f>INDIRECT(ADDRESS(ROW()-22,COLUMN()+18,1,1,"Risk Register"))</f>
        <v/>
      </c>
      <c r="R125" s="57">
        <f>INDIRECT(ADDRESS(ROW()-22,COLUMN()-5,1,1,"Risk Register"))</f>
        <v/>
      </c>
      <c r="S125" s="58">
        <f>INDIRECT(ADDRESS(ROW()-22,COLUMN()-4,1,1,"Risk Register"))</f>
        <v/>
      </c>
      <c r="T125" s="59">
        <f>IF(AND($H125="threat",$G125&lt;=0.05),"gn",IF(AND($H125="threat",$G125&lt;=0.14),"y",IF(AND($H125="threat", $G125&gt;=0.15),"r",IF(AND($H125="opportunity",$G125&lt;=0.05),"gn",IF(AND($H125="opportunity",$G125&lt;=0.14),"lb",IF(AND($H125="opportunity",$G125&gt;=0.15),"db","z"))))))</f>
        <v/>
      </c>
      <c r="U125" s="58">
        <f>IF(AND($H125="threat",$S125=0.9,$R125=0.05),$D125 &amp; ";","")</f>
        <v/>
      </c>
      <c r="V125" s="58">
        <f>IF(AND($H125="threat",$S125=0.9,$R125=0.1),$D125 &amp; ";","")</f>
        <v/>
      </c>
      <c r="W125" s="58">
        <f>IF(AND($H125="threat",$S125=0.9,$R125=0.2),$D125 &amp; ";","")</f>
        <v/>
      </c>
      <c r="X125" s="58">
        <f>IF(AND($H125="threat",$S125=0.9,$R125=0.4),$D125 &amp; ";","")</f>
        <v/>
      </c>
      <c r="Y125" s="58">
        <f>IF(AND($H125="threat",$S125=0.9,$R125=0.8),$D125 &amp; ";","")</f>
        <v/>
      </c>
      <c r="Z125" s="58">
        <f>IF(AND($H125="threat",$S125=0.7,$R125=0.05),$D125 &amp; ";","")</f>
        <v/>
      </c>
      <c r="AA125" s="58">
        <f>IF(AND($H125="threat",$S125=0.7,$R125=0.1),$D125 &amp; ";","")</f>
        <v/>
      </c>
      <c r="AB125" s="58">
        <f>IF(AND($H125="threat",$S125=0.7,$R125=0.2),$D125 &amp; ";","")</f>
        <v/>
      </c>
      <c r="AC125" s="58">
        <f>IF(AND($H125="threat",$S125=0.7,$R125=0.4),$D125 &amp; ";","")</f>
        <v/>
      </c>
      <c r="AD125" s="58">
        <f>IF(AND($H125="threat",$S125=0.7,$R125=0.8),$D125 &amp; ";","")</f>
        <v/>
      </c>
      <c r="AE125" s="58">
        <f>IF(AND($H125="threat",$S125=0.5,$R125=0.05),$D125 &amp; ";","")</f>
        <v/>
      </c>
      <c r="AF125" s="58">
        <f>IF(AND($H125="threat",$S125=0.5,$R125=0.1),$D125 &amp; ";","")</f>
        <v/>
      </c>
      <c r="AG125" s="58">
        <f>IF(AND($H125="threat",$S125=0.5,$R125=0.2),$D125 &amp; ";","")</f>
        <v/>
      </c>
      <c r="AH125" s="58">
        <f>IF(AND($H125="threat",$S125=0.5,$R125=0.4),$D125 &amp; ";","")</f>
        <v/>
      </c>
      <c r="AI125" s="58">
        <f>IF(AND($H125="threat",$S125=0.5,$R125=0.8),$D125 &amp; ";","")</f>
        <v/>
      </c>
      <c r="AJ125" s="58">
        <f>IF(AND($H125="threat",$S125=0.3,$R125=0.05),$D125 &amp; ";","")</f>
        <v/>
      </c>
      <c r="AK125" s="58">
        <f>IF(AND($H125="threat",$S125=0.3,$R125=0.1),$D125 &amp; ";","")</f>
        <v/>
      </c>
      <c r="AL125" s="58">
        <f>IF(AND($H125="threat",$S125=0.3,$R125=0.2),$D125 &amp; ";","")</f>
        <v/>
      </c>
      <c r="AM125" s="58">
        <f>IF(AND($H125="threat",$S125=0.3,$R125=0.4),$D125 &amp; ";","")</f>
        <v/>
      </c>
      <c r="AN125" s="58">
        <f>IF(AND($H125="threat",$S125=0.3,$R125=0.8),$D125 &amp; ";","")</f>
        <v/>
      </c>
      <c r="AO125" s="58">
        <f>IF(AND($H125="threat",$S125=0.1,$R125=0.05),$D125 &amp; ";","")</f>
        <v/>
      </c>
      <c r="AP125" s="58">
        <f>IF(AND($H125="threat",$S125=0.1,$R125=0.1),$D125 &amp; ";","")</f>
        <v/>
      </c>
      <c r="AQ125" s="58">
        <f>IF(AND($H125="threat",$S125=0.1,$R125=0.2),$D125 &amp; ";","")</f>
        <v/>
      </c>
      <c r="AR125" s="58">
        <f>IF(AND($H125="threat",$S125=0.1,$R125=0.4),$D125 &amp; ";","")</f>
        <v/>
      </c>
      <c r="AS125" s="58">
        <f>IF(AND($H125="threat",$S125=0.1,$R125=0.8),$D125 &amp; ";","")</f>
        <v/>
      </c>
      <c r="AT125" s="39" t="n"/>
      <c r="AU125" s="58">
        <f>IF(AND($H125="opportunity",$S125=0.9,$R125=0.8),$D125 &amp; ";","")</f>
        <v/>
      </c>
      <c r="AV125" s="58">
        <f>IF(AND($H125="opportunity",$S125=0.9,$R125=0.4),$D125 &amp; ";","")</f>
        <v/>
      </c>
      <c r="AW125" s="58">
        <f>IF(AND($H125="opportunity",$S125=0.9,$R125=0.2),$D125 &amp; ";","")</f>
        <v/>
      </c>
      <c r="AX125" s="58">
        <f>IF(AND($H125="opportunity",$S125=0.9,$R125=0.1),$D125 &amp; ";","")</f>
        <v/>
      </c>
      <c r="AY125" s="58">
        <f>IF(AND($H125="opportunity",$S125=0.9,$R125=0.05),$D125 &amp; ";","")</f>
        <v/>
      </c>
      <c r="AZ125" s="58">
        <f>IF(AND($H125="opportunity",$S125=0.7,$R125=0.8),$D125 &amp; ";","")</f>
        <v/>
      </c>
      <c r="BA125" s="58">
        <f>IF(AND($H125="opportunity",$S125=0.7,$R125=0.4),$D125 &amp; ";","")</f>
        <v/>
      </c>
      <c r="BB125" s="58">
        <f>IF(AND($H125="opportunity",$S125=0.7,$R125=0.2),$D125 &amp; ";","")</f>
        <v/>
      </c>
      <c r="BC125" s="58">
        <f>IF(AND($H125="opportunity",$S125=0.7,$R125=0.1),$D125 &amp; ";","")</f>
        <v/>
      </c>
      <c r="BD125" s="58">
        <f>IF(AND($H125="opportunity",$S125=0.7,$R125=0.05),$D125 &amp; ";","")</f>
        <v/>
      </c>
      <c r="BE125" s="58">
        <f>IF(AND($H125="opportunity",$S125=0.5,$R125=0.8),$D125 &amp; ";","")</f>
        <v/>
      </c>
      <c r="BF125" s="58">
        <f>IF(AND($H125="opportunity",$S125=0.5,$R125=0.4),$D125 &amp; ";","")</f>
        <v/>
      </c>
      <c r="BG125" s="58">
        <f>IF(AND($H125="opportunity",$S125=0.5,$R125=0.2),$D125 &amp; ";","")</f>
        <v/>
      </c>
      <c r="BH125" s="58">
        <f>IF(AND($H125="opportunity",$S125=0.5,$R125=0.1),$D125 &amp; ";","")</f>
        <v/>
      </c>
      <c r="BI125" s="58">
        <f>IF(AND($H125="opportunity",$S125=0.5,$R125=0.05),$D125 &amp; ";","")</f>
        <v/>
      </c>
      <c r="BJ125" s="58">
        <f>IF(AND($H125="opportunity",$S125=0.3,$R125=0.8),$D125 &amp; ";","")</f>
        <v/>
      </c>
      <c r="BK125" s="58">
        <f>IF(AND($H125="opportunity",$S125=0.3,$R125=0.4),$D125 &amp; ";","")</f>
        <v/>
      </c>
      <c r="BL125" s="58">
        <f>IF(AND($H125="opportunity",$S125=0.3,$R125=0.2),$D125 &amp; ";","")</f>
        <v/>
      </c>
      <c r="BM125" s="58">
        <f>IF(AND($H125="opportunity",$S125=0.3,$R125=0.1),$D125 &amp; ";","")</f>
        <v/>
      </c>
      <c r="BN125" s="58">
        <f>IF(AND($H125="opportunity",$S125=0.3,$R125=0.05),$D125 &amp; ";","")</f>
        <v/>
      </c>
      <c r="BO125" s="58">
        <f>IF(AND($H125="opportunity",$S125=0.1,$R125=0.8),$D125 &amp; ";","")</f>
        <v/>
      </c>
      <c r="BP125" s="58">
        <f>IF(AND($H125="opportunity",$S125=0.1,$R125=0.4),$D125 &amp; ";","")</f>
        <v/>
      </c>
      <c r="BQ125" s="58">
        <f>IF(AND($H125="opportunity",$S125=0.1,$R125=0.2),$D125 &amp; ";","")</f>
        <v/>
      </c>
      <c r="BR125" s="58">
        <f>IF(AND($H125="opportunity",$S125=0.1,$R125=0.1),$D125 &amp; ";","")</f>
        <v/>
      </c>
      <c r="BS125" s="58">
        <f>IF(AND($H125="opportunity",$S125=0.1,$R125=0.05),$D125 &amp; ";","")</f>
        <v/>
      </c>
      <c r="BV125" s="57">
        <f>INDIRECT(ADDRESS(ROW()-22,COLUMN()-45,1,1,"Risk Register"))</f>
        <v/>
      </c>
      <c r="BW125" s="58">
        <f>INDIRECT(ADDRESS(ROW()-22,COLUMN()-44,1,1,"Risk Register"))</f>
        <v/>
      </c>
      <c r="BX125" s="59">
        <f>IF(AND($H125="threat",$P125&lt;=0.05),"gn",IF(AND($H125="threat",$P125&lt;=0.14),"y",IF(AND($H125="threat", $P125&gt;=0.15),"r",IF(AND($H125="opportunity",$P125&lt;=0.05),"gn",IF(AND($H125="opportunity",$P125&lt;=0.14),"lb",IF(AND($H125="opportunity",$P125&gt;=0.15),"db","z"))))))</f>
        <v/>
      </c>
      <c r="BY125" s="58">
        <f>IF(AND($H125="threat",$BW125=0.9,$BV125=0.05),$D125 &amp; ";","")</f>
        <v/>
      </c>
      <c r="BZ125" s="58">
        <f>IF(AND($H125="threat",$BW125=0.9,$BV125=0.1),$D125 &amp; ";","")</f>
        <v/>
      </c>
      <c r="CA125" s="58">
        <f>IF(AND($H125="threat",$BW125=0.9,$BV125=0.2),$D125 &amp; ";","")</f>
        <v/>
      </c>
      <c r="CB125" s="58">
        <f>IF(AND($H125="threat",$BW125=0.9,$BV125=0.4),$D125 &amp; ";","")</f>
        <v/>
      </c>
      <c r="CC125" s="58">
        <f>IF(AND($H125="threat",$BW125=0.9,$BV125=0.8),$D125 &amp; ";","")</f>
        <v/>
      </c>
      <c r="CD125" s="58">
        <f>IF(AND($H125="threat",$BW125=0.7,$BV125=0.05),$D125 &amp; ";","")</f>
        <v/>
      </c>
      <c r="CE125" s="58">
        <f>IF(AND($H125="threat",$BW125=0.7,$BV125=0.1),$D125 &amp; ";","")</f>
        <v/>
      </c>
      <c r="CF125" s="58">
        <f>IF(AND($H125="threat",$BW125=0.7,$BV125=0.2),$D125 &amp; ";","")</f>
        <v/>
      </c>
      <c r="CG125" s="58">
        <f>IF(AND($H125="threat",$BW125=0.7,$BV125=0.4),$D125 &amp; ";","")</f>
        <v/>
      </c>
      <c r="CH125" s="58">
        <f>IF(AND($H125="threat",$BW125=0.7,$BV125=0.8),$D125 &amp; ";","")</f>
        <v/>
      </c>
      <c r="CI125" s="58">
        <f>IF(AND($H125="threat",$BW125=0.5,$BV125=0.05),$D125 &amp; ";","")</f>
        <v/>
      </c>
      <c r="CJ125" s="58">
        <f>IF(AND($H125="threat",$BW125=0.5,$BV125=0.1),$D125 &amp; ";","")</f>
        <v/>
      </c>
      <c r="CK125" s="58">
        <f>IF(AND($H125="threat",$BW125=0.5,$BV125=0.2),$D125 &amp; ";","")</f>
        <v/>
      </c>
      <c r="CL125" s="58">
        <f>IF(AND($H125="threat",$BW125=0.5,$BV125=0.4),$D125 &amp; ";","")</f>
        <v/>
      </c>
      <c r="CM125" s="58">
        <f>IF(AND($H125="threat",$BW125=0.5,$BV125=0.8),$D125 &amp; ";","")</f>
        <v/>
      </c>
      <c r="CN125" s="58">
        <f>IF(AND($H125="threat",$BW125=0.3,$BV125=0.05),$D125 &amp; ";","")</f>
        <v/>
      </c>
      <c r="CO125" s="58">
        <f>IF(AND($H125="threat",$BW125=0.3,$BV125=0.1),$D125 &amp; ";","")</f>
        <v/>
      </c>
      <c r="CP125" s="58">
        <f>IF(AND($H125="threat",$BW125=0.3,$BV125=0.2),$D125 &amp; ";","")</f>
        <v/>
      </c>
      <c r="CQ125" s="58">
        <f>IF(AND($H125="threat",$BW125=0.3,$BV125=0.4),$D125 &amp; ";","")</f>
        <v/>
      </c>
      <c r="CR125" s="58">
        <f>IF(AND($H125="threat",$BW125=0.3,$BV125=0.8),$D125 &amp; ";","")</f>
        <v/>
      </c>
      <c r="CS125" s="58">
        <f>IF(AND($H125="threat",$BW125=0.1,$BV125=0.05),$D125 &amp; ";","")</f>
        <v/>
      </c>
      <c r="CT125" s="58">
        <f>IF(AND($H125="threat",$BW125=0.1,$BV125=0.1),$D125 &amp; ";","")</f>
        <v/>
      </c>
      <c r="CU125" s="58">
        <f>IF(AND($H125="threat",$BW125=0.1,$BV125=0.2),$D125 &amp; ";","")</f>
        <v/>
      </c>
      <c r="CV125" s="58">
        <f>IF(AND($H125="threat",$BW125=0.1,$BV125=0.4),$D125 &amp; ";","")</f>
        <v/>
      </c>
      <c r="CW125" s="58">
        <f>IF(AND($H125="threat",$BW125=0.1,$BV125=0.8),$D125 &amp; ";","")</f>
        <v/>
      </c>
      <c r="CX125" s="39" t="n"/>
      <c r="CY125" s="58">
        <f>IF(AND($H125="opportunity",$BW125=0.9,$BV125=0.8),$D125 &amp; ";","")</f>
        <v/>
      </c>
      <c r="CZ125" s="58">
        <f>IF(AND($H125="opportunity",$BW125=0.9,$BV125=0.4),$D125 &amp; ";","")</f>
        <v/>
      </c>
      <c r="DA125" s="58">
        <f>IF(AND($H125="opportunity",$BW125=0.9,$BV125=0.2),$D125 &amp; ";","")</f>
        <v/>
      </c>
      <c r="DB125" s="58">
        <f>IF(AND($H125="opportunity",$BW125=0.9,$BV125=0.1),$D125 &amp; ";","")</f>
        <v/>
      </c>
      <c r="DC125" s="58">
        <f>IF(AND($H125="opportunity",$BW125=0.9,$BV125=0.05),$D125 &amp; ";","")</f>
        <v/>
      </c>
      <c r="DD125" s="58">
        <f>IF(AND($H125="opportunity",$BW125=0.7,$BV125=0.8),$D125 &amp; ";","")</f>
        <v/>
      </c>
      <c r="DE125" s="58">
        <f>IF(AND($H125="opportunity",$BW125=0.7,$BV125=0.4),$D125 &amp; ";","")</f>
        <v/>
      </c>
      <c r="DF125" s="58">
        <f>IF(AND($H125="opportunity",$BW125=0.7,$BV125=0.2),$D125 &amp; ";","")</f>
        <v/>
      </c>
      <c r="DG125" s="58">
        <f>IF(AND($H125="opportunity",$BW125=0.7,$BV125=0.1),$D125 &amp; ";","")</f>
        <v/>
      </c>
      <c r="DH125" s="58">
        <f>IF(AND($H125="opportunity",$BW125=0.7,$BV125=0.05),$D125 &amp; ";","")</f>
        <v/>
      </c>
      <c r="DI125" s="58">
        <f>IF(AND($H125="opportunity",$BW125=0.5,$BV125=0.8),$D125 &amp; ";","")</f>
        <v/>
      </c>
      <c r="DJ125" s="58">
        <f>IF(AND($H125="opportunity",$BW125=0.5,$BV125=0.4),$D125 &amp; ";","")</f>
        <v/>
      </c>
      <c r="DK125" s="58">
        <f>IF(AND($H125="opportunity",$BW125=0.5,$BV125=0.2),$D125 &amp; ";","")</f>
        <v/>
      </c>
      <c r="DL125" s="58">
        <f>IF(AND($H125="opportunity",$BW125=0.5,$BV125=0.1),$D125 &amp; ";","")</f>
        <v/>
      </c>
      <c r="DM125" s="58">
        <f>IF(AND($H125="opportunity",$BW125=0.5,$BV125=0.05),$D125 &amp; ";","")</f>
        <v/>
      </c>
      <c r="DN125" s="58">
        <f>IF(AND($H125="opportunity",$BW125=0.3,$BV125=0.8),$D125 &amp; ";","")</f>
        <v/>
      </c>
      <c r="DO125" s="58">
        <f>IF(AND($H125="opportunity",$BW125=0.3,$BV125=0.4),$D125 &amp; ";","")</f>
        <v/>
      </c>
      <c r="DP125" s="58">
        <f>IF(AND($H125="opportunity",$BW125=0.3,$BV125=0.2),$D125 &amp; ";","")</f>
        <v/>
      </c>
      <c r="DQ125" s="58">
        <f>IF(AND($H125="opportunity",$BW125=0.3,$BV125=0.1),$D125 &amp; ";","")</f>
        <v/>
      </c>
      <c r="DR125" s="58">
        <f>IF(AND($H125="opportunity",$BW125=0.3,$BV125=0.05),$D125 &amp; ";","")</f>
        <v/>
      </c>
      <c r="DS125" s="58">
        <f>IF(AND($H125="opportunity",$BW125=0.1,$BV125=0.8),$D125 &amp; ";","")</f>
        <v/>
      </c>
      <c r="DT125" s="58">
        <f>IF(AND($H125="opportunity",$BW125=0.1,$BV125=0.4),$D125 &amp; ";","")</f>
        <v/>
      </c>
      <c r="DU125" s="58">
        <f>IF(AND($H125="opportunity",$BW125=0.1,$BV125=0.2),$D125 &amp; ";","")</f>
        <v/>
      </c>
      <c r="DV125" s="58">
        <f>IF(AND($H125="opportunity",$BW125=0.1,$BV125=0.1),$D125 &amp; ";","")</f>
        <v/>
      </c>
      <c r="DW125" s="58">
        <f>IF(AND($H125="opportunity",$BW125=0.1,$BV125=0.05),$D125 &amp; ";","")</f>
        <v/>
      </c>
    </row>
    <row r="126">
      <c r="D126" s="60">
        <f>INDIRECT(ADDRESS(ROW()-22,COLUMN()-2,1,1,"Risk Register"))</f>
        <v/>
      </c>
      <c r="E126" s="143">
        <f>INDIRECT(ADDRESS(ROW()-22,COLUMN()-1,1,1,"Risk Register"))</f>
        <v/>
      </c>
      <c r="G126" s="56">
        <f>INDIRECT(ADDRESS(ROW()-22,COLUMN()+10,1,1,"Risk Register"))</f>
        <v/>
      </c>
      <c r="H126" s="60">
        <f>INDIRECT(ADDRESS(ROW()-22,COLUMN()+8,1,1,"Risk Register"))</f>
        <v/>
      </c>
      <c r="I126" s="54">
        <f>INDIRECT(ADDRESS(ROW()-22,COLUMN()+3,1,1,"Risk Register"))</f>
        <v/>
      </c>
      <c r="J126" s="143">
        <f>INDIRECT(ADDRESS(ROW()-22,COLUMN()+12,1,1,"Risk Register"))</f>
        <v/>
      </c>
      <c r="K126" s="143">
        <f>INDIRECT(ADDRESS(ROW()-22,COLUMN()-2,1,1,"Risk Register"))</f>
        <v/>
      </c>
      <c r="L126" s="176">
        <f>INDIRECT(ADDRESS(ROW()-22,COLUMN()+15,1,1,"Risk Register"))</f>
        <v/>
      </c>
      <c r="M126" s="54">
        <f>INDIRECT(ADDRESS(ROW()-22,COLUMN()+13,1,1,"Risk Register"))</f>
        <v/>
      </c>
      <c r="N126" s="143">
        <f>INDIRECT(ADDRESS(ROW()-22,COLUMN()-9,1,1,"Risk Register"))</f>
        <v/>
      </c>
      <c r="O126" s="143">
        <f>INDIRECT(ADDRESS(ROW()-22,COLUMN()-8,1,1,"Risk Register"))</f>
        <v/>
      </c>
      <c r="P126" s="56">
        <f>INDIRECT(ADDRESS(ROW()-22,COLUMN()+18,1,1,"Risk Register"))</f>
        <v/>
      </c>
      <c r="R126" s="57">
        <f>INDIRECT(ADDRESS(ROW()-22,COLUMN()-5,1,1,"Risk Register"))</f>
        <v/>
      </c>
      <c r="S126" s="58">
        <f>INDIRECT(ADDRESS(ROW()-22,COLUMN()-4,1,1,"Risk Register"))</f>
        <v/>
      </c>
      <c r="T126" s="59">
        <f>IF(AND($H126="threat",$G126&lt;=0.05),"gn",IF(AND($H126="threat",$G126&lt;=0.14),"y",IF(AND($H126="threat", $G126&gt;=0.15),"r",IF(AND($H126="opportunity",$G126&lt;=0.05),"gn",IF(AND($H126="opportunity",$G126&lt;=0.14),"lb",IF(AND($H126="opportunity",$G126&gt;=0.15),"db","z"))))))</f>
        <v/>
      </c>
      <c r="U126" s="58">
        <f>IF(AND($H126="threat",$S126=0.9,$R126=0.05),$D126 &amp; ";","")</f>
        <v/>
      </c>
      <c r="V126" s="58">
        <f>IF(AND($H126="threat",$S126=0.9,$R126=0.1),$D126 &amp; ";","")</f>
        <v/>
      </c>
      <c r="W126" s="58">
        <f>IF(AND($H126="threat",$S126=0.9,$R126=0.2),$D126 &amp; ";","")</f>
        <v/>
      </c>
      <c r="X126" s="58">
        <f>IF(AND($H126="threat",$S126=0.9,$R126=0.4),$D126 &amp; ";","")</f>
        <v/>
      </c>
      <c r="Y126" s="58">
        <f>IF(AND($H126="threat",$S126=0.9,$R126=0.8),$D126 &amp; ";","")</f>
        <v/>
      </c>
      <c r="Z126" s="58">
        <f>IF(AND($H126="threat",$S126=0.7,$R126=0.05),$D126 &amp; ";","")</f>
        <v/>
      </c>
      <c r="AA126" s="58">
        <f>IF(AND($H126="threat",$S126=0.7,$R126=0.1),$D126 &amp; ";","")</f>
        <v/>
      </c>
      <c r="AB126" s="58">
        <f>IF(AND($H126="threat",$S126=0.7,$R126=0.2),$D126 &amp; ";","")</f>
        <v/>
      </c>
      <c r="AC126" s="58">
        <f>IF(AND($H126="threat",$S126=0.7,$R126=0.4),$D126 &amp; ";","")</f>
        <v/>
      </c>
      <c r="AD126" s="58">
        <f>IF(AND($H126="threat",$S126=0.7,$R126=0.8),$D126 &amp; ";","")</f>
        <v/>
      </c>
      <c r="AE126" s="58">
        <f>IF(AND($H126="threat",$S126=0.5,$R126=0.05),$D126 &amp; ";","")</f>
        <v/>
      </c>
      <c r="AF126" s="58">
        <f>IF(AND($H126="threat",$S126=0.5,$R126=0.1),$D126 &amp; ";","")</f>
        <v/>
      </c>
      <c r="AG126" s="58">
        <f>IF(AND($H126="threat",$S126=0.5,$R126=0.2),$D126 &amp; ";","")</f>
        <v/>
      </c>
      <c r="AH126" s="58">
        <f>IF(AND($H126="threat",$S126=0.5,$R126=0.4),$D126 &amp; ";","")</f>
        <v/>
      </c>
      <c r="AI126" s="58">
        <f>IF(AND($H126="threat",$S126=0.5,$R126=0.8),$D126 &amp; ";","")</f>
        <v/>
      </c>
      <c r="AJ126" s="58">
        <f>IF(AND($H126="threat",$S126=0.3,$R126=0.05),$D126 &amp; ";","")</f>
        <v/>
      </c>
      <c r="AK126" s="58">
        <f>IF(AND($H126="threat",$S126=0.3,$R126=0.1),$D126 &amp; ";","")</f>
        <v/>
      </c>
      <c r="AL126" s="58">
        <f>IF(AND($H126="threat",$S126=0.3,$R126=0.2),$D126 &amp; ";","")</f>
        <v/>
      </c>
      <c r="AM126" s="58">
        <f>IF(AND($H126="threat",$S126=0.3,$R126=0.4),$D126 &amp; ";","")</f>
        <v/>
      </c>
      <c r="AN126" s="58">
        <f>IF(AND($H126="threat",$S126=0.3,$R126=0.8),$D126 &amp; ";","")</f>
        <v/>
      </c>
      <c r="AO126" s="58">
        <f>IF(AND($H126="threat",$S126=0.1,$R126=0.05),$D126 &amp; ";","")</f>
        <v/>
      </c>
      <c r="AP126" s="58">
        <f>IF(AND($H126="threat",$S126=0.1,$R126=0.1),$D126 &amp; ";","")</f>
        <v/>
      </c>
      <c r="AQ126" s="58">
        <f>IF(AND($H126="threat",$S126=0.1,$R126=0.2),$D126 &amp; ";","")</f>
        <v/>
      </c>
      <c r="AR126" s="58">
        <f>IF(AND($H126="threat",$S126=0.1,$R126=0.4),$D126 &amp; ";","")</f>
        <v/>
      </c>
      <c r="AS126" s="58">
        <f>IF(AND($H126="threat",$S126=0.1,$R126=0.8),$D126 &amp; ";","")</f>
        <v/>
      </c>
      <c r="AT126" s="39" t="n"/>
      <c r="AU126" s="58">
        <f>IF(AND($H126="opportunity",$S126=0.9,$R126=0.8),$D126 &amp; ";","")</f>
        <v/>
      </c>
      <c r="AV126" s="58">
        <f>IF(AND($H126="opportunity",$S126=0.9,$R126=0.4),$D126 &amp; ";","")</f>
        <v/>
      </c>
      <c r="AW126" s="58">
        <f>IF(AND($H126="opportunity",$S126=0.9,$R126=0.2),$D126 &amp; ";","")</f>
        <v/>
      </c>
      <c r="AX126" s="58">
        <f>IF(AND($H126="opportunity",$S126=0.9,$R126=0.1),$D126 &amp; ";","")</f>
        <v/>
      </c>
      <c r="AY126" s="58">
        <f>IF(AND($H126="opportunity",$S126=0.9,$R126=0.05),$D126 &amp; ";","")</f>
        <v/>
      </c>
      <c r="AZ126" s="58">
        <f>IF(AND($H126="opportunity",$S126=0.7,$R126=0.8),$D126 &amp; ";","")</f>
        <v/>
      </c>
      <c r="BA126" s="58">
        <f>IF(AND($H126="opportunity",$S126=0.7,$R126=0.4),$D126 &amp; ";","")</f>
        <v/>
      </c>
      <c r="BB126" s="58">
        <f>IF(AND($H126="opportunity",$S126=0.7,$R126=0.2),$D126 &amp; ";","")</f>
        <v/>
      </c>
      <c r="BC126" s="58">
        <f>IF(AND($H126="opportunity",$S126=0.7,$R126=0.1),$D126 &amp; ";","")</f>
        <v/>
      </c>
      <c r="BD126" s="58">
        <f>IF(AND($H126="opportunity",$S126=0.7,$R126=0.05),$D126 &amp; ";","")</f>
        <v/>
      </c>
      <c r="BE126" s="58">
        <f>IF(AND($H126="opportunity",$S126=0.5,$R126=0.8),$D126 &amp; ";","")</f>
        <v/>
      </c>
      <c r="BF126" s="58">
        <f>IF(AND($H126="opportunity",$S126=0.5,$R126=0.4),$D126 &amp; ";","")</f>
        <v/>
      </c>
      <c r="BG126" s="58">
        <f>IF(AND($H126="opportunity",$S126=0.5,$R126=0.2),$D126 &amp; ";","")</f>
        <v/>
      </c>
      <c r="BH126" s="58">
        <f>IF(AND($H126="opportunity",$S126=0.5,$R126=0.1),$D126 &amp; ";","")</f>
        <v/>
      </c>
      <c r="BI126" s="58">
        <f>IF(AND($H126="opportunity",$S126=0.5,$R126=0.05),$D126 &amp; ";","")</f>
        <v/>
      </c>
      <c r="BJ126" s="58">
        <f>IF(AND($H126="opportunity",$S126=0.3,$R126=0.8),$D126 &amp; ";","")</f>
        <v/>
      </c>
      <c r="BK126" s="58">
        <f>IF(AND($H126="opportunity",$S126=0.3,$R126=0.4),$D126 &amp; ";","")</f>
        <v/>
      </c>
      <c r="BL126" s="58">
        <f>IF(AND($H126="opportunity",$S126=0.3,$R126=0.2),$D126 &amp; ";","")</f>
        <v/>
      </c>
      <c r="BM126" s="58">
        <f>IF(AND($H126="opportunity",$S126=0.3,$R126=0.1),$D126 &amp; ";","")</f>
        <v/>
      </c>
      <c r="BN126" s="58">
        <f>IF(AND($H126="opportunity",$S126=0.3,$R126=0.05),$D126 &amp; ";","")</f>
        <v/>
      </c>
      <c r="BO126" s="58">
        <f>IF(AND($H126="opportunity",$S126=0.1,$R126=0.8),$D126 &amp; ";","")</f>
        <v/>
      </c>
      <c r="BP126" s="58">
        <f>IF(AND($H126="opportunity",$S126=0.1,$R126=0.4),$D126 &amp; ";","")</f>
        <v/>
      </c>
      <c r="BQ126" s="58">
        <f>IF(AND($H126="opportunity",$S126=0.1,$R126=0.2),$D126 &amp; ";","")</f>
        <v/>
      </c>
      <c r="BR126" s="58">
        <f>IF(AND($H126="opportunity",$S126=0.1,$R126=0.1),$D126 &amp; ";","")</f>
        <v/>
      </c>
      <c r="BS126" s="58">
        <f>IF(AND($H126="opportunity",$S126=0.1,$R126=0.05),$D126 &amp; ";","")</f>
        <v/>
      </c>
      <c r="BV126" s="57">
        <f>INDIRECT(ADDRESS(ROW()-22,COLUMN()-45,1,1,"Risk Register"))</f>
        <v/>
      </c>
      <c r="BW126" s="58">
        <f>INDIRECT(ADDRESS(ROW()-22,COLUMN()-44,1,1,"Risk Register"))</f>
        <v/>
      </c>
      <c r="BX126" s="59">
        <f>IF(AND($H126="threat",$P126&lt;=0.05),"gn",IF(AND($H126="threat",$P126&lt;=0.14),"y",IF(AND($H126="threat", $P126&gt;=0.15),"r",IF(AND($H126="opportunity",$P126&lt;=0.05),"gn",IF(AND($H126="opportunity",$P126&lt;=0.14),"lb",IF(AND($H126="opportunity",$P126&gt;=0.15),"db","z"))))))</f>
        <v/>
      </c>
      <c r="BY126" s="58">
        <f>IF(AND($H126="threat",$BW126=0.9,$BV126=0.05),$D126 &amp; ";","")</f>
        <v/>
      </c>
      <c r="BZ126" s="58">
        <f>IF(AND($H126="threat",$BW126=0.9,$BV126=0.1),$D126 &amp; ";","")</f>
        <v/>
      </c>
      <c r="CA126" s="58">
        <f>IF(AND($H126="threat",$BW126=0.9,$BV126=0.2),$D126 &amp; ";","")</f>
        <v/>
      </c>
      <c r="CB126" s="58">
        <f>IF(AND($H126="threat",$BW126=0.9,$BV126=0.4),$D126 &amp; ";","")</f>
        <v/>
      </c>
      <c r="CC126" s="58">
        <f>IF(AND($H126="threat",$BW126=0.9,$BV126=0.8),$D126 &amp; ";","")</f>
        <v/>
      </c>
      <c r="CD126" s="58">
        <f>IF(AND($H126="threat",$BW126=0.7,$BV126=0.05),$D126 &amp; ";","")</f>
        <v/>
      </c>
      <c r="CE126" s="58">
        <f>IF(AND($H126="threat",$BW126=0.7,$BV126=0.1),$D126 &amp; ";","")</f>
        <v/>
      </c>
      <c r="CF126" s="58">
        <f>IF(AND($H126="threat",$BW126=0.7,$BV126=0.2),$D126 &amp; ";","")</f>
        <v/>
      </c>
      <c r="CG126" s="58">
        <f>IF(AND($H126="threat",$BW126=0.7,$BV126=0.4),$D126 &amp; ";","")</f>
        <v/>
      </c>
      <c r="CH126" s="58">
        <f>IF(AND($H126="threat",$BW126=0.7,$BV126=0.8),$D126 &amp; ";","")</f>
        <v/>
      </c>
      <c r="CI126" s="58">
        <f>IF(AND($H126="threat",$BW126=0.5,$BV126=0.05),$D126 &amp; ";","")</f>
        <v/>
      </c>
      <c r="CJ126" s="58">
        <f>IF(AND($H126="threat",$BW126=0.5,$BV126=0.1),$D126 &amp; ";","")</f>
        <v/>
      </c>
      <c r="CK126" s="58">
        <f>IF(AND($H126="threat",$BW126=0.5,$BV126=0.2),$D126 &amp; ";","")</f>
        <v/>
      </c>
      <c r="CL126" s="58">
        <f>IF(AND($H126="threat",$BW126=0.5,$BV126=0.4),$D126 &amp; ";","")</f>
        <v/>
      </c>
      <c r="CM126" s="58">
        <f>IF(AND($H126="threat",$BW126=0.5,$BV126=0.8),$D126 &amp; ";","")</f>
        <v/>
      </c>
      <c r="CN126" s="58">
        <f>IF(AND($H126="threat",$BW126=0.3,$BV126=0.05),$D126 &amp; ";","")</f>
        <v/>
      </c>
      <c r="CO126" s="58">
        <f>IF(AND($H126="threat",$BW126=0.3,$BV126=0.1),$D126 &amp; ";","")</f>
        <v/>
      </c>
      <c r="CP126" s="58">
        <f>IF(AND($H126="threat",$BW126=0.3,$BV126=0.2),$D126 &amp; ";","")</f>
        <v/>
      </c>
      <c r="CQ126" s="58">
        <f>IF(AND($H126="threat",$BW126=0.3,$BV126=0.4),$D126 &amp; ";","")</f>
        <v/>
      </c>
      <c r="CR126" s="58">
        <f>IF(AND($H126="threat",$BW126=0.3,$BV126=0.8),$D126 &amp; ";","")</f>
        <v/>
      </c>
      <c r="CS126" s="58">
        <f>IF(AND($H126="threat",$BW126=0.1,$BV126=0.05),$D126 &amp; ";","")</f>
        <v/>
      </c>
      <c r="CT126" s="58">
        <f>IF(AND($H126="threat",$BW126=0.1,$BV126=0.1),$D126 &amp; ";","")</f>
        <v/>
      </c>
      <c r="CU126" s="58">
        <f>IF(AND($H126="threat",$BW126=0.1,$BV126=0.2),$D126 &amp; ";","")</f>
        <v/>
      </c>
      <c r="CV126" s="58">
        <f>IF(AND($H126="threat",$BW126=0.1,$BV126=0.4),$D126 &amp; ";","")</f>
        <v/>
      </c>
      <c r="CW126" s="58">
        <f>IF(AND($H126="threat",$BW126=0.1,$BV126=0.8),$D126 &amp; ";","")</f>
        <v/>
      </c>
      <c r="CX126" s="39" t="n"/>
      <c r="CY126" s="58">
        <f>IF(AND($H126="opportunity",$BW126=0.9,$BV126=0.8),$D126 &amp; ";","")</f>
        <v/>
      </c>
      <c r="CZ126" s="58">
        <f>IF(AND($H126="opportunity",$BW126=0.9,$BV126=0.4),$D126 &amp; ";","")</f>
        <v/>
      </c>
      <c r="DA126" s="58">
        <f>IF(AND($H126="opportunity",$BW126=0.9,$BV126=0.2),$D126 &amp; ";","")</f>
        <v/>
      </c>
      <c r="DB126" s="58">
        <f>IF(AND($H126="opportunity",$BW126=0.9,$BV126=0.1),$D126 &amp; ";","")</f>
        <v/>
      </c>
      <c r="DC126" s="58">
        <f>IF(AND($H126="opportunity",$BW126=0.9,$BV126=0.05),$D126 &amp; ";","")</f>
        <v/>
      </c>
      <c r="DD126" s="58">
        <f>IF(AND($H126="opportunity",$BW126=0.7,$BV126=0.8),$D126 &amp; ";","")</f>
        <v/>
      </c>
      <c r="DE126" s="58">
        <f>IF(AND($H126="opportunity",$BW126=0.7,$BV126=0.4),$D126 &amp; ";","")</f>
        <v/>
      </c>
      <c r="DF126" s="58">
        <f>IF(AND($H126="opportunity",$BW126=0.7,$BV126=0.2),$D126 &amp; ";","")</f>
        <v/>
      </c>
      <c r="DG126" s="58">
        <f>IF(AND($H126="opportunity",$BW126=0.7,$BV126=0.1),$D126 &amp; ";","")</f>
        <v/>
      </c>
      <c r="DH126" s="58">
        <f>IF(AND($H126="opportunity",$BW126=0.7,$BV126=0.05),$D126 &amp; ";","")</f>
        <v/>
      </c>
      <c r="DI126" s="58">
        <f>IF(AND($H126="opportunity",$BW126=0.5,$BV126=0.8),$D126 &amp; ";","")</f>
        <v/>
      </c>
      <c r="DJ126" s="58">
        <f>IF(AND($H126="opportunity",$BW126=0.5,$BV126=0.4),$D126 &amp; ";","")</f>
        <v/>
      </c>
      <c r="DK126" s="58">
        <f>IF(AND($H126="opportunity",$BW126=0.5,$BV126=0.2),$D126 &amp; ";","")</f>
        <v/>
      </c>
      <c r="DL126" s="58">
        <f>IF(AND($H126="opportunity",$BW126=0.5,$BV126=0.1),$D126 &amp; ";","")</f>
        <v/>
      </c>
      <c r="DM126" s="58">
        <f>IF(AND($H126="opportunity",$BW126=0.5,$BV126=0.05),$D126 &amp; ";","")</f>
        <v/>
      </c>
      <c r="DN126" s="58">
        <f>IF(AND($H126="opportunity",$BW126=0.3,$BV126=0.8),$D126 &amp; ";","")</f>
        <v/>
      </c>
      <c r="DO126" s="58">
        <f>IF(AND($H126="opportunity",$BW126=0.3,$BV126=0.4),$D126 &amp; ";","")</f>
        <v/>
      </c>
      <c r="DP126" s="58">
        <f>IF(AND($H126="opportunity",$BW126=0.3,$BV126=0.2),$D126 &amp; ";","")</f>
        <v/>
      </c>
      <c r="DQ126" s="58">
        <f>IF(AND($H126="opportunity",$BW126=0.3,$BV126=0.1),$D126 &amp; ";","")</f>
        <v/>
      </c>
      <c r="DR126" s="58">
        <f>IF(AND($H126="opportunity",$BW126=0.3,$BV126=0.05),$D126 &amp; ";","")</f>
        <v/>
      </c>
      <c r="DS126" s="58">
        <f>IF(AND($H126="opportunity",$BW126=0.1,$BV126=0.8),$D126 &amp; ";","")</f>
        <v/>
      </c>
      <c r="DT126" s="58">
        <f>IF(AND($H126="opportunity",$BW126=0.1,$BV126=0.4),$D126 &amp; ";","")</f>
        <v/>
      </c>
      <c r="DU126" s="58">
        <f>IF(AND($H126="opportunity",$BW126=0.1,$BV126=0.2),$D126 &amp; ";","")</f>
        <v/>
      </c>
      <c r="DV126" s="58">
        <f>IF(AND($H126="opportunity",$BW126=0.1,$BV126=0.1),$D126 &amp; ";","")</f>
        <v/>
      </c>
      <c r="DW126" s="58">
        <f>IF(AND($H126="opportunity",$BW126=0.1,$BV126=0.05),$D126 &amp; ";","")</f>
        <v/>
      </c>
    </row>
    <row r="127">
      <c r="D127" s="60">
        <f>INDIRECT(ADDRESS(ROW()-22,COLUMN()-2,1,1,"Risk Register"))</f>
        <v/>
      </c>
      <c r="E127" s="143">
        <f>INDIRECT(ADDRESS(ROW()-22,COLUMN()-1,1,1,"Risk Register"))</f>
        <v/>
      </c>
      <c r="G127" s="56">
        <f>INDIRECT(ADDRESS(ROW()-22,COLUMN()+10,1,1,"Risk Register"))</f>
        <v/>
      </c>
      <c r="H127" s="60">
        <f>INDIRECT(ADDRESS(ROW()-22,COLUMN()+8,1,1,"Risk Register"))</f>
        <v/>
      </c>
      <c r="I127" s="54">
        <f>INDIRECT(ADDRESS(ROW()-22,COLUMN()+3,1,1,"Risk Register"))</f>
        <v/>
      </c>
      <c r="J127" s="143">
        <f>INDIRECT(ADDRESS(ROW()-22,COLUMN()+12,1,1,"Risk Register"))</f>
        <v/>
      </c>
      <c r="K127" s="143">
        <f>INDIRECT(ADDRESS(ROW()-22,COLUMN()-2,1,1,"Risk Register"))</f>
        <v/>
      </c>
      <c r="L127" s="176">
        <f>INDIRECT(ADDRESS(ROW()-22,COLUMN()+15,1,1,"Risk Register"))</f>
        <v/>
      </c>
      <c r="M127" s="54">
        <f>INDIRECT(ADDRESS(ROW()-22,COLUMN()+13,1,1,"Risk Register"))</f>
        <v/>
      </c>
      <c r="N127" s="143">
        <f>INDIRECT(ADDRESS(ROW()-22,COLUMN()-9,1,1,"Risk Register"))</f>
        <v/>
      </c>
      <c r="O127" s="143">
        <f>INDIRECT(ADDRESS(ROW()-22,COLUMN()-8,1,1,"Risk Register"))</f>
        <v/>
      </c>
      <c r="P127" s="56">
        <f>INDIRECT(ADDRESS(ROW()-22,COLUMN()+18,1,1,"Risk Register"))</f>
        <v/>
      </c>
      <c r="R127" s="57">
        <f>INDIRECT(ADDRESS(ROW()-22,COLUMN()-5,1,1,"Risk Register"))</f>
        <v/>
      </c>
      <c r="S127" s="58">
        <f>INDIRECT(ADDRESS(ROW()-22,COLUMN()-4,1,1,"Risk Register"))</f>
        <v/>
      </c>
      <c r="T127" s="59">
        <f>IF(AND($H127="threat",$G127&lt;=0.05),"gn",IF(AND($H127="threat",$G127&lt;=0.14),"y",IF(AND($H127="threat", $G127&gt;=0.15),"r",IF(AND($H127="opportunity",$G127&lt;=0.05),"gn",IF(AND($H127="opportunity",$G127&lt;=0.14),"lb",IF(AND($H127="opportunity",$G127&gt;=0.15),"db","z"))))))</f>
        <v/>
      </c>
      <c r="U127" s="58">
        <f>IF(AND($H127="threat",$S127=0.9,$R127=0.05),$D127 &amp; ";","")</f>
        <v/>
      </c>
      <c r="V127" s="58">
        <f>IF(AND($H127="threat",$S127=0.9,$R127=0.1),$D127 &amp; ";","")</f>
        <v/>
      </c>
      <c r="W127" s="58">
        <f>IF(AND($H127="threat",$S127=0.9,$R127=0.2),$D127 &amp; ";","")</f>
        <v/>
      </c>
      <c r="X127" s="58">
        <f>IF(AND($H127="threat",$S127=0.9,$R127=0.4),$D127 &amp; ";","")</f>
        <v/>
      </c>
      <c r="Y127" s="58">
        <f>IF(AND($H127="threat",$S127=0.9,$R127=0.8),$D127 &amp; ";","")</f>
        <v/>
      </c>
      <c r="Z127" s="58">
        <f>IF(AND($H127="threat",$S127=0.7,$R127=0.05),$D127 &amp; ";","")</f>
        <v/>
      </c>
      <c r="AA127" s="58">
        <f>IF(AND($H127="threat",$S127=0.7,$R127=0.1),$D127 &amp; ";","")</f>
        <v/>
      </c>
      <c r="AB127" s="58">
        <f>IF(AND($H127="threat",$S127=0.7,$R127=0.2),$D127 &amp; ";","")</f>
        <v/>
      </c>
      <c r="AC127" s="58">
        <f>IF(AND($H127="threat",$S127=0.7,$R127=0.4),$D127 &amp; ";","")</f>
        <v/>
      </c>
      <c r="AD127" s="58">
        <f>IF(AND($H127="threat",$S127=0.7,$R127=0.8),$D127 &amp; ";","")</f>
        <v/>
      </c>
      <c r="AE127" s="58">
        <f>IF(AND($H127="threat",$S127=0.5,$R127=0.05),$D127 &amp; ";","")</f>
        <v/>
      </c>
      <c r="AF127" s="58">
        <f>IF(AND($H127="threat",$S127=0.5,$R127=0.1),$D127 &amp; ";","")</f>
        <v/>
      </c>
      <c r="AG127" s="58">
        <f>IF(AND($H127="threat",$S127=0.5,$R127=0.2),$D127 &amp; ";","")</f>
        <v/>
      </c>
      <c r="AH127" s="58">
        <f>IF(AND($H127="threat",$S127=0.5,$R127=0.4),$D127 &amp; ";","")</f>
        <v/>
      </c>
      <c r="AI127" s="58">
        <f>IF(AND($H127="threat",$S127=0.5,$R127=0.8),$D127 &amp; ";","")</f>
        <v/>
      </c>
      <c r="AJ127" s="58">
        <f>IF(AND($H127="threat",$S127=0.3,$R127=0.05),$D127 &amp; ";","")</f>
        <v/>
      </c>
      <c r="AK127" s="58">
        <f>IF(AND($H127="threat",$S127=0.3,$R127=0.1),$D127 &amp; ";","")</f>
        <v/>
      </c>
      <c r="AL127" s="58">
        <f>IF(AND($H127="threat",$S127=0.3,$R127=0.2),$D127 &amp; ";","")</f>
        <v/>
      </c>
      <c r="AM127" s="58">
        <f>IF(AND($H127="threat",$S127=0.3,$R127=0.4),$D127 &amp; ";","")</f>
        <v/>
      </c>
      <c r="AN127" s="58">
        <f>IF(AND($H127="threat",$S127=0.3,$R127=0.8),$D127 &amp; ";","")</f>
        <v/>
      </c>
      <c r="AO127" s="58">
        <f>IF(AND($H127="threat",$S127=0.1,$R127=0.05),$D127 &amp; ";","")</f>
        <v/>
      </c>
      <c r="AP127" s="58">
        <f>IF(AND($H127="threat",$S127=0.1,$R127=0.1),$D127 &amp; ";","")</f>
        <v/>
      </c>
      <c r="AQ127" s="58">
        <f>IF(AND($H127="threat",$S127=0.1,$R127=0.2),$D127 &amp; ";","")</f>
        <v/>
      </c>
      <c r="AR127" s="58">
        <f>IF(AND($H127="threat",$S127=0.1,$R127=0.4),$D127 &amp; ";","")</f>
        <v/>
      </c>
      <c r="AS127" s="58">
        <f>IF(AND($H127="threat",$S127=0.1,$R127=0.8),$D127 &amp; ";","")</f>
        <v/>
      </c>
      <c r="AT127" s="39" t="n"/>
      <c r="AU127" s="58">
        <f>IF(AND($H127="opportunity",$S127=0.9,$R127=0.8),$D127 &amp; ";","")</f>
        <v/>
      </c>
      <c r="AV127" s="58">
        <f>IF(AND($H127="opportunity",$S127=0.9,$R127=0.4),$D127 &amp; ";","")</f>
        <v/>
      </c>
      <c r="AW127" s="58">
        <f>IF(AND($H127="opportunity",$S127=0.9,$R127=0.2),$D127 &amp; ";","")</f>
        <v/>
      </c>
      <c r="AX127" s="58">
        <f>IF(AND($H127="opportunity",$S127=0.9,$R127=0.1),$D127 &amp; ";","")</f>
        <v/>
      </c>
      <c r="AY127" s="58">
        <f>IF(AND($H127="opportunity",$S127=0.9,$R127=0.05),$D127 &amp; ";","")</f>
        <v/>
      </c>
      <c r="AZ127" s="58">
        <f>IF(AND($H127="opportunity",$S127=0.7,$R127=0.8),$D127 &amp; ";","")</f>
        <v/>
      </c>
      <c r="BA127" s="58">
        <f>IF(AND($H127="opportunity",$S127=0.7,$R127=0.4),$D127 &amp; ";","")</f>
        <v/>
      </c>
      <c r="BB127" s="58">
        <f>IF(AND($H127="opportunity",$S127=0.7,$R127=0.2),$D127 &amp; ";","")</f>
        <v/>
      </c>
      <c r="BC127" s="58">
        <f>IF(AND($H127="opportunity",$S127=0.7,$R127=0.1),$D127 &amp; ";","")</f>
        <v/>
      </c>
      <c r="BD127" s="58">
        <f>IF(AND($H127="opportunity",$S127=0.7,$R127=0.05),$D127 &amp; ";","")</f>
        <v/>
      </c>
      <c r="BE127" s="58">
        <f>IF(AND($H127="opportunity",$S127=0.5,$R127=0.8),$D127 &amp; ";","")</f>
        <v/>
      </c>
      <c r="BF127" s="58">
        <f>IF(AND($H127="opportunity",$S127=0.5,$R127=0.4),$D127 &amp; ";","")</f>
        <v/>
      </c>
      <c r="BG127" s="58">
        <f>IF(AND($H127="opportunity",$S127=0.5,$R127=0.2),$D127 &amp; ";","")</f>
        <v/>
      </c>
      <c r="BH127" s="58">
        <f>IF(AND($H127="opportunity",$S127=0.5,$R127=0.1),$D127 &amp; ";","")</f>
        <v/>
      </c>
      <c r="BI127" s="58">
        <f>IF(AND($H127="opportunity",$S127=0.5,$R127=0.05),$D127 &amp; ";","")</f>
        <v/>
      </c>
      <c r="BJ127" s="58">
        <f>IF(AND($H127="opportunity",$S127=0.3,$R127=0.8),$D127 &amp; ";","")</f>
        <v/>
      </c>
      <c r="BK127" s="58">
        <f>IF(AND($H127="opportunity",$S127=0.3,$R127=0.4),$D127 &amp; ";","")</f>
        <v/>
      </c>
      <c r="BL127" s="58">
        <f>IF(AND($H127="opportunity",$S127=0.3,$R127=0.2),$D127 &amp; ";","")</f>
        <v/>
      </c>
      <c r="BM127" s="58">
        <f>IF(AND($H127="opportunity",$S127=0.3,$R127=0.1),$D127 &amp; ";","")</f>
        <v/>
      </c>
      <c r="BN127" s="58">
        <f>IF(AND($H127="opportunity",$S127=0.3,$R127=0.05),$D127 &amp; ";","")</f>
        <v/>
      </c>
      <c r="BO127" s="58">
        <f>IF(AND($H127="opportunity",$S127=0.1,$R127=0.8),$D127 &amp; ";","")</f>
        <v/>
      </c>
      <c r="BP127" s="58">
        <f>IF(AND($H127="opportunity",$S127=0.1,$R127=0.4),$D127 &amp; ";","")</f>
        <v/>
      </c>
      <c r="BQ127" s="58">
        <f>IF(AND($H127="opportunity",$S127=0.1,$R127=0.2),$D127 &amp; ";","")</f>
        <v/>
      </c>
      <c r="BR127" s="58">
        <f>IF(AND($H127="opportunity",$S127=0.1,$R127=0.1),$D127 &amp; ";","")</f>
        <v/>
      </c>
      <c r="BS127" s="58">
        <f>IF(AND($H127="opportunity",$S127=0.1,$R127=0.05),$D127 &amp; ";","")</f>
        <v/>
      </c>
      <c r="BV127" s="57">
        <f>INDIRECT(ADDRESS(ROW()-22,COLUMN()-45,1,1,"Risk Register"))</f>
        <v/>
      </c>
      <c r="BW127" s="58">
        <f>INDIRECT(ADDRESS(ROW()-22,COLUMN()-44,1,1,"Risk Register"))</f>
        <v/>
      </c>
      <c r="BX127" s="59">
        <f>IF(AND($H127="threat",$P127&lt;=0.05),"gn",IF(AND($H127="threat",$P127&lt;=0.14),"y",IF(AND($H127="threat", $P127&gt;=0.15),"r",IF(AND($H127="opportunity",$P127&lt;=0.05),"gn",IF(AND($H127="opportunity",$P127&lt;=0.14),"lb",IF(AND($H127="opportunity",$P127&gt;=0.15),"db","z"))))))</f>
        <v/>
      </c>
      <c r="BY127" s="58">
        <f>IF(AND($H127="threat",$BW127=0.9,$BV127=0.05),$D127 &amp; ";","")</f>
        <v/>
      </c>
      <c r="BZ127" s="58">
        <f>IF(AND($H127="threat",$BW127=0.9,$BV127=0.1),$D127 &amp; ";","")</f>
        <v/>
      </c>
      <c r="CA127" s="58">
        <f>IF(AND($H127="threat",$BW127=0.9,$BV127=0.2),$D127 &amp; ";","")</f>
        <v/>
      </c>
      <c r="CB127" s="58">
        <f>IF(AND($H127="threat",$BW127=0.9,$BV127=0.4),$D127 &amp; ";","")</f>
        <v/>
      </c>
      <c r="CC127" s="58">
        <f>IF(AND($H127="threat",$BW127=0.9,$BV127=0.8),$D127 &amp; ";","")</f>
        <v/>
      </c>
      <c r="CD127" s="58">
        <f>IF(AND($H127="threat",$BW127=0.7,$BV127=0.05),$D127 &amp; ";","")</f>
        <v/>
      </c>
      <c r="CE127" s="58">
        <f>IF(AND($H127="threat",$BW127=0.7,$BV127=0.1),$D127 &amp; ";","")</f>
        <v/>
      </c>
      <c r="CF127" s="58">
        <f>IF(AND($H127="threat",$BW127=0.7,$BV127=0.2),$D127 &amp; ";","")</f>
        <v/>
      </c>
      <c r="CG127" s="58">
        <f>IF(AND($H127="threat",$BW127=0.7,$BV127=0.4),$D127 &amp; ";","")</f>
        <v/>
      </c>
      <c r="CH127" s="58">
        <f>IF(AND($H127="threat",$BW127=0.7,$BV127=0.8),$D127 &amp; ";","")</f>
        <v/>
      </c>
      <c r="CI127" s="58">
        <f>IF(AND($H127="threat",$BW127=0.5,$BV127=0.05),$D127 &amp; ";","")</f>
        <v/>
      </c>
      <c r="CJ127" s="58">
        <f>IF(AND($H127="threat",$BW127=0.5,$BV127=0.1),$D127 &amp; ";","")</f>
        <v/>
      </c>
      <c r="CK127" s="58">
        <f>IF(AND($H127="threat",$BW127=0.5,$BV127=0.2),$D127 &amp; ";","")</f>
        <v/>
      </c>
      <c r="CL127" s="58">
        <f>IF(AND($H127="threat",$BW127=0.5,$BV127=0.4),$D127 &amp; ";","")</f>
        <v/>
      </c>
      <c r="CM127" s="58">
        <f>IF(AND($H127="threat",$BW127=0.5,$BV127=0.8),$D127 &amp; ";","")</f>
        <v/>
      </c>
      <c r="CN127" s="58">
        <f>IF(AND($H127="threat",$BW127=0.3,$BV127=0.05),$D127 &amp; ";","")</f>
        <v/>
      </c>
      <c r="CO127" s="58">
        <f>IF(AND($H127="threat",$BW127=0.3,$BV127=0.1),$D127 &amp; ";","")</f>
        <v/>
      </c>
      <c r="CP127" s="58">
        <f>IF(AND($H127="threat",$BW127=0.3,$BV127=0.2),$D127 &amp; ";","")</f>
        <v/>
      </c>
      <c r="CQ127" s="58">
        <f>IF(AND($H127="threat",$BW127=0.3,$BV127=0.4),$D127 &amp; ";","")</f>
        <v/>
      </c>
      <c r="CR127" s="58">
        <f>IF(AND($H127="threat",$BW127=0.3,$BV127=0.8),$D127 &amp; ";","")</f>
        <v/>
      </c>
      <c r="CS127" s="58">
        <f>IF(AND($H127="threat",$BW127=0.1,$BV127=0.05),$D127 &amp; ";","")</f>
        <v/>
      </c>
      <c r="CT127" s="58">
        <f>IF(AND($H127="threat",$BW127=0.1,$BV127=0.1),$D127 &amp; ";","")</f>
        <v/>
      </c>
      <c r="CU127" s="58">
        <f>IF(AND($H127="threat",$BW127=0.1,$BV127=0.2),$D127 &amp; ";","")</f>
        <v/>
      </c>
      <c r="CV127" s="58">
        <f>IF(AND($H127="threat",$BW127=0.1,$BV127=0.4),$D127 &amp; ";","")</f>
        <v/>
      </c>
      <c r="CW127" s="58">
        <f>IF(AND($H127="threat",$BW127=0.1,$BV127=0.8),$D127 &amp; ";","")</f>
        <v/>
      </c>
      <c r="CX127" s="39" t="n"/>
      <c r="CY127" s="58">
        <f>IF(AND($H127="opportunity",$BW127=0.9,$BV127=0.8),$D127 &amp; ";","")</f>
        <v/>
      </c>
      <c r="CZ127" s="58">
        <f>IF(AND($H127="opportunity",$BW127=0.9,$BV127=0.4),$D127 &amp; ";","")</f>
        <v/>
      </c>
      <c r="DA127" s="58">
        <f>IF(AND($H127="opportunity",$BW127=0.9,$BV127=0.2),$D127 &amp; ";","")</f>
        <v/>
      </c>
      <c r="DB127" s="58">
        <f>IF(AND($H127="opportunity",$BW127=0.9,$BV127=0.1),$D127 &amp; ";","")</f>
        <v/>
      </c>
      <c r="DC127" s="58">
        <f>IF(AND($H127="opportunity",$BW127=0.9,$BV127=0.05),$D127 &amp; ";","")</f>
        <v/>
      </c>
      <c r="DD127" s="58">
        <f>IF(AND($H127="opportunity",$BW127=0.7,$BV127=0.8),$D127 &amp; ";","")</f>
        <v/>
      </c>
      <c r="DE127" s="58">
        <f>IF(AND($H127="opportunity",$BW127=0.7,$BV127=0.4),$D127 &amp; ";","")</f>
        <v/>
      </c>
      <c r="DF127" s="58">
        <f>IF(AND($H127="opportunity",$BW127=0.7,$BV127=0.2),$D127 &amp; ";","")</f>
        <v/>
      </c>
      <c r="DG127" s="58">
        <f>IF(AND($H127="opportunity",$BW127=0.7,$BV127=0.1),$D127 &amp; ";","")</f>
        <v/>
      </c>
      <c r="DH127" s="58">
        <f>IF(AND($H127="opportunity",$BW127=0.7,$BV127=0.05),$D127 &amp; ";","")</f>
        <v/>
      </c>
      <c r="DI127" s="58">
        <f>IF(AND($H127="opportunity",$BW127=0.5,$BV127=0.8),$D127 &amp; ";","")</f>
        <v/>
      </c>
      <c r="DJ127" s="58">
        <f>IF(AND($H127="opportunity",$BW127=0.5,$BV127=0.4),$D127 &amp; ";","")</f>
        <v/>
      </c>
      <c r="DK127" s="58">
        <f>IF(AND($H127="opportunity",$BW127=0.5,$BV127=0.2),$D127 &amp; ";","")</f>
        <v/>
      </c>
      <c r="DL127" s="58">
        <f>IF(AND($H127="opportunity",$BW127=0.5,$BV127=0.1),$D127 &amp; ";","")</f>
        <v/>
      </c>
      <c r="DM127" s="58">
        <f>IF(AND($H127="opportunity",$BW127=0.5,$BV127=0.05),$D127 &amp; ";","")</f>
        <v/>
      </c>
      <c r="DN127" s="58">
        <f>IF(AND($H127="opportunity",$BW127=0.3,$BV127=0.8),$D127 &amp; ";","")</f>
        <v/>
      </c>
      <c r="DO127" s="58">
        <f>IF(AND($H127="opportunity",$BW127=0.3,$BV127=0.4),$D127 &amp; ";","")</f>
        <v/>
      </c>
      <c r="DP127" s="58">
        <f>IF(AND($H127="opportunity",$BW127=0.3,$BV127=0.2),$D127 &amp; ";","")</f>
        <v/>
      </c>
      <c r="DQ127" s="58">
        <f>IF(AND($H127="opportunity",$BW127=0.3,$BV127=0.1),$D127 &amp; ";","")</f>
        <v/>
      </c>
      <c r="DR127" s="58">
        <f>IF(AND($H127="opportunity",$BW127=0.3,$BV127=0.05),$D127 &amp; ";","")</f>
        <v/>
      </c>
      <c r="DS127" s="58">
        <f>IF(AND($H127="opportunity",$BW127=0.1,$BV127=0.8),$D127 &amp; ";","")</f>
        <v/>
      </c>
      <c r="DT127" s="58">
        <f>IF(AND($H127="opportunity",$BW127=0.1,$BV127=0.4),$D127 &amp; ";","")</f>
        <v/>
      </c>
      <c r="DU127" s="58">
        <f>IF(AND($H127="opportunity",$BW127=0.1,$BV127=0.2),$D127 &amp; ";","")</f>
        <v/>
      </c>
      <c r="DV127" s="58">
        <f>IF(AND($H127="opportunity",$BW127=0.1,$BV127=0.1),$D127 &amp; ";","")</f>
        <v/>
      </c>
      <c r="DW127" s="58">
        <f>IF(AND($H127="opportunity",$BW127=0.1,$BV127=0.05),$D127 &amp; ";","")</f>
        <v/>
      </c>
    </row>
    <row r="128">
      <c r="D128" s="60">
        <f>INDIRECT(ADDRESS(ROW()-22,COLUMN()-2,1,1,"Risk Register"))</f>
        <v/>
      </c>
      <c r="E128" s="143">
        <f>INDIRECT(ADDRESS(ROW()-22,COLUMN()-1,1,1,"Risk Register"))</f>
        <v/>
      </c>
      <c r="G128" s="56">
        <f>INDIRECT(ADDRESS(ROW()-22,COLUMN()+10,1,1,"Risk Register"))</f>
        <v/>
      </c>
      <c r="H128" s="60">
        <f>INDIRECT(ADDRESS(ROW()-22,COLUMN()+8,1,1,"Risk Register"))</f>
        <v/>
      </c>
      <c r="I128" s="54">
        <f>INDIRECT(ADDRESS(ROW()-22,COLUMN()+3,1,1,"Risk Register"))</f>
        <v/>
      </c>
      <c r="J128" s="143">
        <f>INDIRECT(ADDRESS(ROW()-22,COLUMN()+12,1,1,"Risk Register"))</f>
        <v/>
      </c>
      <c r="K128" s="143">
        <f>INDIRECT(ADDRESS(ROW()-22,COLUMN()-2,1,1,"Risk Register"))</f>
        <v/>
      </c>
      <c r="L128" s="176">
        <f>INDIRECT(ADDRESS(ROW()-22,COLUMN()+15,1,1,"Risk Register"))</f>
        <v/>
      </c>
      <c r="M128" s="54">
        <f>INDIRECT(ADDRESS(ROW()-22,COLUMN()+13,1,1,"Risk Register"))</f>
        <v/>
      </c>
      <c r="N128" s="143">
        <f>INDIRECT(ADDRESS(ROW()-22,COLUMN()-9,1,1,"Risk Register"))</f>
        <v/>
      </c>
      <c r="O128" s="143">
        <f>INDIRECT(ADDRESS(ROW()-22,COLUMN()-8,1,1,"Risk Register"))</f>
        <v/>
      </c>
      <c r="P128" s="56">
        <f>INDIRECT(ADDRESS(ROW()-22,COLUMN()+18,1,1,"Risk Register"))</f>
        <v/>
      </c>
      <c r="R128" s="57">
        <f>INDIRECT(ADDRESS(ROW()-22,COLUMN()-5,1,1,"Risk Register"))</f>
        <v/>
      </c>
      <c r="S128" s="58">
        <f>INDIRECT(ADDRESS(ROW()-22,COLUMN()-4,1,1,"Risk Register"))</f>
        <v/>
      </c>
      <c r="T128" s="59">
        <f>IF(AND($H128="threat",$G128&lt;=0.05),"gn",IF(AND($H128="threat",$G128&lt;=0.14),"y",IF(AND($H128="threat", $G128&gt;=0.15),"r",IF(AND($H128="opportunity",$G128&lt;=0.05),"gn",IF(AND($H128="opportunity",$G128&lt;=0.14),"lb",IF(AND($H128="opportunity",$G128&gt;=0.15),"db","z"))))))</f>
        <v/>
      </c>
      <c r="U128" s="58">
        <f>IF(AND($H128="threat",$S128=0.9,$R128=0.05),$D128 &amp; ";","")</f>
        <v/>
      </c>
      <c r="V128" s="58">
        <f>IF(AND($H128="threat",$S128=0.9,$R128=0.1),$D128 &amp; ";","")</f>
        <v/>
      </c>
      <c r="W128" s="58">
        <f>IF(AND($H128="threat",$S128=0.9,$R128=0.2),$D128 &amp; ";","")</f>
        <v/>
      </c>
      <c r="X128" s="58">
        <f>IF(AND($H128="threat",$S128=0.9,$R128=0.4),$D128 &amp; ";","")</f>
        <v/>
      </c>
      <c r="Y128" s="58">
        <f>IF(AND($H128="threat",$S128=0.9,$R128=0.8),$D128 &amp; ";","")</f>
        <v/>
      </c>
      <c r="Z128" s="58">
        <f>IF(AND($H128="threat",$S128=0.7,$R128=0.05),$D128 &amp; ";","")</f>
        <v/>
      </c>
      <c r="AA128" s="58">
        <f>IF(AND($H128="threat",$S128=0.7,$R128=0.1),$D128 &amp; ";","")</f>
        <v/>
      </c>
      <c r="AB128" s="58">
        <f>IF(AND($H128="threat",$S128=0.7,$R128=0.2),$D128 &amp; ";","")</f>
        <v/>
      </c>
      <c r="AC128" s="58">
        <f>IF(AND($H128="threat",$S128=0.7,$R128=0.4),$D128 &amp; ";","")</f>
        <v/>
      </c>
      <c r="AD128" s="58">
        <f>IF(AND($H128="threat",$S128=0.7,$R128=0.8),$D128 &amp; ";","")</f>
        <v/>
      </c>
      <c r="AE128" s="58">
        <f>IF(AND($H128="threat",$S128=0.5,$R128=0.05),$D128 &amp; ";","")</f>
        <v/>
      </c>
      <c r="AF128" s="58">
        <f>IF(AND($H128="threat",$S128=0.5,$R128=0.1),$D128 &amp; ";","")</f>
        <v/>
      </c>
      <c r="AG128" s="58">
        <f>IF(AND($H128="threat",$S128=0.5,$R128=0.2),$D128 &amp; ";","")</f>
        <v/>
      </c>
      <c r="AH128" s="58">
        <f>IF(AND($H128="threat",$S128=0.5,$R128=0.4),$D128 &amp; ";","")</f>
        <v/>
      </c>
      <c r="AI128" s="58">
        <f>IF(AND($H128="threat",$S128=0.5,$R128=0.8),$D128 &amp; ";","")</f>
        <v/>
      </c>
      <c r="AJ128" s="58">
        <f>IF(AND($H128="threat",$S128=0.3,$R128=0.05),$D128 &amp; ";","")</f>
        <v/>
      </c>
      <c r="AK128" s="58">
        <f>IF(AND($H128="threat",$S128=0.3,$R128=0.1),$D128 &amp; ";","")</f>
        <v/>
      </c>
      <c r="AL128" s="58">
        <f>IF(AND($H128="threat",$S128=0.3,$R128=0.2),$D128 &amp; ";","")</f>
        <v/>
      </c>
      <c r="AM128" s="58">
        <f>IF(AND($H128="threat",$S128=0.3,$R128=0.4),$D128 &amp; ";","")</f>
        <v/>
      </c>
      <c r="AN128" s="58">
        <f>IF(AND($H128="threat",$S128=0.3,$R128=0.8),$D128 &amp; ";","")</f>
        <v/>
      </c>
      <c r="AO128" s="58">
        <f>IF(AND($H128="threat",$S128=0.1,$R128=0.05),$D128 &amp; ";","")</f>
        <v/>
      </c>
      <c r="AP128" s="58">
        <f>IF(AND($H128="threat",$S128=0.1,$R128=0.1),$D128 &amp; ";","")</f>
        <v/>
      </c>
      <c r="AQ128" s="58">
        <f>IF(AND($H128="threat",$S128=0.1,$R128=0.2),$D128 &amp; ";","")</f>
        <v/>
      </c>
      <c r="AR128" s="58">
        <f>IF(AND($H128="threat",$S128=0.1,$R128=0.4),$D128 &amp; ";","")</f>
        <v/>
      </c>
      <c r="AS128" s="58">
        <f>IF(AND($H128="threat",$S128=0.1,$R128=0.8),$D128 &amp; ";","")</f>
        <v/>
      </c>
      <c r="AT128" s="39" t="n"/>
      <c r="AU128" s="58">
        <f>IF(AND($H128="opportunity",$S128=0.9,$R128=0.8),$D128 &amp; ";","")</f>
        <v/>
      </c>
      <c r="AV128" s="58">
        <f>IF(AND($H128="opportunity",$S128=0.9,$R128=0.4),$D128 &amp; ";","")</f>
        <v/>
      </c>
      <c r="AW128" s="58">
        <f>IF(AND($H128="opportunity",$S128=0.9,$R128=0.2),$D128 &amp; ";","")</f>
        <v/>
      </c>
      <c r="AX128" s="58">
        <f>IF(AND($H128="opportunity",$S128=0.9,$R128=0.1),$D128 &amp; ";","")</f>
        <v/>
      </c>
      <c r="AY128" s="58">
        <f>IF(AND($H128="opportunity",$S128=0.9,$R128=0.05),$D128 &amp; ";","")</f>
        <v/>
      </c>
      <c r="AZ128" s="58">
        <f>IF(AND($H128="opportunity",$S128=0.7,$R128=0.8),$D128 &amp; ";","")</f>
        <v/>
      </c>
      <c r="BA128" s="58">
        <f>IF(AND($H128="opportunity",$S128=0.7,$R128=0.4),$D128 &amp; ";","")</f>
        <v/>
      </c>
      <c r="BB128" s="58">
        <f>IF(AND($H128="opportunity",$S128=0.7,$R128=0.2),$D128 &amp; ";","")</f>
        <v/>
      </c>
      <c r="BC128" s="58">
        <f>IF(AND($H128="opportunity",$S128=0.7,$R128=0.1),$D128 &amp; ";","")</f>
        <v/>
      </c>
      <c r="BD128" s="58">
        <f>IF(AND($H128="opportunity",$S128=0.7,$R128=0.05),$D128 &amp; ";","")</f>
        <v/>
      </c>
      <c r="BE128" s="58">
        <f>IF(AND($H128="opportunity",$S128=0.5,$R128=0.8),$D128 &amp; ";","")</f>
        <v/>
      </c>
      <c r="BF128" s="58">
        <f>IF(AND($H128="opportunity",$S128=0.5,$R128=0.4),$D128 &amp; ";","")</f>
        <v/>
      </c>
      <c r="BG128" s="58">
        <f>IF(AND($H128="opportunity",$S128=0.5,$R128=0.2),$D128 &amp; ";","")</f>
        <v/>
      </c>
      <c r="BH128" s="58">
        <f>IF(AND($H128="opportunity",$S128=0.5,$R128=0.1),$D128 &amp; ";","")</f>
        <v/>
      </c>
      <c r="BI128" s="58">
        <f>IF(AND($H128="opportunity",$S128=0.5,$R128=0.05),$D128 &amp; ";","")</f>
        <v/>
      </c>
      <c r="BJ128" s="58">
        <f>IF(AND($H128="opportunity",$S128=0.3,$R128=0.8),$D128 &amp; ";","")</f>
        <v/>
      </c>
      <c r="BK128" s="58">
        <f>IF(AND($H128="opportunity",$S128=0.3,$R128=0.4),$D128 &amp; ";","")</f>
        <v/>
      </c>
      <c r="BL128" s="58">
        <f>IF(AND($H128="opportunity",$S128=0.3,$R128=0.2),$D128 &amp; ";","")</f>
        <v/>
      </c>
      <c r="BM128" s="58">
        <f>IF(AND($H128="opportunity",$S128=0.3,$R128=0.1),$D128 &amp; ";","")</f>
        <v/>
      </c>
      <c r="BN128" s="58">
        <f>IF(AND($H128="opportunity",$S128=0.3,$R128=0.05),$D128 &amp; ";","")</f>
        <v/>
      </c>
      <c r="BO128" s="58">
        <f>IF(AND($H128="opportunity",$S128=0.1,$R128=0.8),$D128 &amp; ";","")</f>
        <v/>
      </c>
      <c r="BP128" s="58">
        <f>IF(AND($H128="opportunity",$S128=0.1,$R128=0.4),$D128 &amp; ";","")</f>
        <v/>
      </c>
      <c r="BQ128" s="58">
        <f>IF(AND($H128="opportunity",$S128=0.1,$R128=0.2),$D128 &amp; ";","")</f>
        <v/>
      </c>
      <c r="BR128" s="58">
        <f>IF(AND($H128="opportunity",$S128=0.1,$R128=0.1),$D128 &amp; ";","")</f>
        <v/>
      </c>
      <c r="BS128" s="58">
        <f>IF(AND($H128="opportunity",$S128=0.1,$R128=0.05),$D128 &amp; ";","")</f>
        <v/>
      </c>
      <c r="BV128" s="57">
        <f>INDIRECT(ADDRESS(ROW()-22,COLUMN()-45,1,1,"Risk Register"))</f>
        <v/>
      </c>
      <c r="BW128" s="58">
        <f>INDIRECT(ADDRESS(ROW()-22,COLUMN()-44,1,1,"Risk Register"))</f>
        <v/>
      </c>
      <c r="BX128" s="59">
        <f>IF(AND($H128="threat",$P128&lt;=0.05),"gn",IF(AND($H128="threat",$P128&lt;=0.14),"y",IF(AND($H128="threat", $P128&gt;=0.15),"r",IF(AND($H128="opportunity",$P128&lt;=0.05),"gn",IF(AND($H128="opportunity",$P128&lt;=0.14),"lb",IF(AND($H128="opportunity",$P128&gt;=0.15),"db","z"))))))</f>
        <v/>
      </c>
      <c r="BY128" s="58">
        <f>IF(AND($H128="threat",$BW128=0.9,$BV128=0.05),$D128 &amp; ";","")</f>
        <v/>
      </c>
      <c r="BZ128" s="58">
        <f>IF(AND($H128="threat",$BW128=0.9,$BV128=0.1),$D128 &amp; ";","")</f>
        <v/>
      </c>
      <c r="CA128" s="58">
        <f>IF(AND($H128="threat",$BW128=0.9,$BV128=0.2),$D128 &amp; ";","")</f>
        <v/>
      </c>
      <c r="CB128" s="58">
        <f>IF(AND($H128="threat",$BW128=0.9,$BV128=0.4),$D128 &amp; ";","")</f>
        <v/>
      </c>
      <c r="CC128" s="58">
        <f>IF(AND($H128="threat",$BW128=0.9,$BV128=0.8),$D128 &amp; ";","")</f>
        <v/>
      </c>
      <c r="CD128" s="58">
        <f>IF(AND($H128="threat",$BW128=0.7,$BV128=0.05),$D128 &amp; ";","")</f>
        <v/>
      </c>
      <c r="CE128" s="58">
        <f>IF(AND($H128="threat",$BW128=0.7,$BV128=0.1),$D128 &amp; ";","")</f>
        <v/>
      </c>
      <c r="CF128" s="58">
        <f>IF(AND($H128="threat",$BW128=0.7,$BV128=0.2),$D128 &amp; ";","")</f>
        <v/>
      </c>
      <c r="CG128" s="58">
        <f>IF(AND($H128="threat",$BW128=0.7,$BV128=0.4),$D128 &amp; ";","")</f>
        <v/>
      </c>
      <c r="CH128" s="58">
        <f>IF(AND($H128="threat",$BW128=0.7,$BV128=0.8),$D128 &amp; ";","")</f>
        <v/>
      </c>
      <c r="CI128" s="58">
        <f>IF(AND($H128="threat",$BW128=0.5,$BV128=0.05),$D128 &amp; ";","")</f>
        <v/>
      </c>
      <c r="CJ128" s="58">
        <f>IF(AND($H128="threat",$BW128=0.5,$BV128=0.1),$D128 &amp; ";","")</f>
        <v/>
      </c>
      <c r="CK128" s="58">
        <f>IF(AND($H128="threat",$BW128=0.5,$BV128=0.2),$D128 &amp; ";","")</f>
        <v/>
      </c>
      <c r="CL128" s="58">
        <f>IF(AND($H128="threat",$BW128=0.5,$BV128=0.4),$D128 &amp; ";","")</f>
        <v/>
      </c>
      <c r="CM128" s="58">
        <f>IF(AND($H128="threat",$BW128=0.5,$BV128=0.8),$D128 &amp; ";","")</f>
        <v/>
      </c>
      <c r="CN128" s="58">
        <f>IF(AND($H128="threat",$BW128=0.3,$BV128=0.05),$D128 &amp; ";","")</f>
        <v/>
      </c>
      <c r="CO128" s="58">
        <f>IF(AND($H128="threat",$BW128=0.3,$BV128=0.1),$D128 &amp; ";","")</f>
        <v/>
      </c>
      <c r="CP128" s="58">
        <f>IF(AND($H128="threat",$BW128=0.3,$BV128=0.2),$D128 &amp; ";","")</f>
        <v/>
      </c>
      <c r="CQ128" s="58">
        <f>IF(AND($H128="threat",$BW128=0.3,$BV128=0.4),$D128 &amp; ";","")</f>
        <v/>
      </c>
      <c r="CR128" s="58">
        <f>IF(AND($H128="threat",$BW128=0.3,$BV128=0.8),$D128 &amp; ";","")</f>
        <v/>
      </c>
      <c r="CS128" s="58">
        <f>IF(AND($H128="threat",$BW128=0.1,$BV128=0.05),$D128 &amp; ";","")</f>
        <v/>
      </c>
      <c r="CT128" s="58">
        <f>IF(AND($H128="threat",$BW128=0.1,$BV128=0.1),$D128 &amp; ";","")</f>
        <v/>
      </c>
      <c r="CU128" s="58">
        <f>IF(AND($H128="threat",$BW128=0.1,$BV128=0.2),$D128 &amp; ";","")</f>
        <v/>
      </c>
      <c r="CV128" s="58">
        <f>IF(AND($H128="threat",$BW128=0.1,$BV128=0.4),$D128 &amp; ";","")</f>
        <v/>
      </c>
      <c r="CW128" s="58">
        <f>IF(AND($H128="threat",$BW128=0.1,$BV128=0.8),$D128 &amp; ";","")</f>
        <v/>
      </c>
      <c r="CX128" s="39" t="n"/>
      <c r="CY128" s="58">
        <f>IF(AND($H128="opportunity",$BW128=0.9,$BV128=0.8),$D128 &amp; ";","")</f>
        <v/>
      </c>
      <c r="CZ128" s="58">
        <f>IF(AND($H128="opportunity",$BW128=0.9,$BV128=0.4),$D128 &amp; ";","")</f>
        <v/>
      </c>
      <c r="DA128" s="58">
        <f>IF(AND($H128="opportunity",$BW128=0.9,$BV128=0.2),$D128 &amp; ";","")</f>
        <v/>
      </c>
      <c r="DB128" s="58">
        <f>IF(AND($H128="opportunity",$BW128=0.9,$BV128=0.1),$D128 &amp; ";","")</f>
        <v/>
      </c>
      <c r="DC128" s="58">
        <f>IF(AND($H128="opportunity",$BW128=0.9,$BV128=0.05),$D128 &amp; ";","")</f>
        <v/>
      </c>
      <c r="DD128" s="58">
        <f>IF(AND($H128="opportunity",$BW128=0.7,$BV128=0.8),$D128 &amp; ";","")</f>
        <v/>
      </c>
      <c r="DE128" s="58">
        <f>IF(AND($H128="opportunity",$BW128=0.7,$BV128=0.4),$D128 &amp; ";","")</f>
        <v/>
      </c>
      <c r="DF128" s="58">
        <f>IF(AND($H128="opportunity",$BW128=0.7,$BV128=0.2),$D128 &amp; ";","")</f>
        <v/>
      </c>
      <c r="DG128" s="58">
        <f>IF(AND($H128="opportunity",$BW128=0.7,$BV128=0.1),$D128 &amp; ";","")</f>
        <v/>
      </c>
      <c r="DH128" s="58">
        <f>IF(AND($H128="opportunity",$BW128=0.7,$BV128=0.05),$D128 &amp; ";","")</f>
        <v/>
      </c>
      <c r="DI128" s="58">
        <f>IF(AND($H128="opportunity",$BW128=0.5,$BV128=0.8),$D128 &amp; ";","")</f>
        <v/>
      </c>
      <c r="DJ128" s="58">
        <f>IF(AND($H128="opportunity",$BW128=0.5,$BV128=0.4),$D128 &amp; ";","")</f>
        <v/>
      </c>
      <c r="DK128" s="58">
        <f>IF(AND($H128="opportunity",$BW128=0.5,$BV128=0.2),$D128 &amp; ";","")</f>
        <v/>
      </c>
      <c r="DL128" s="58">
        <f>IF(AND($H128="opportunity",$BW128=0.5,$BV128=0.1),$D128 &amp; ";","")</f>
        <v/>
      </c>
      <c r="DM128" s="58">
        <f>IF(AND($H128="opportunity",$BW128=0.5,$BV128=0.05),$D128 &amp; ";","")</f>
        <v/>
      </c>
      <c r="DN128" s="58">
        <f>IF(AND($H128="opportunity",$BW128=0.3,$BV128=0.8),$D128 &amp; ";","")</f>
        <v/>
      </c>
      <c r="DO128" s="58">
        <f>IF(AND($H128="opportunity",$BW128=0.3,$BV128=0.4),$D128 &amp; ";","")</f>
        <v/>
      </c>
      <c r="DP128" s="58">
        <f>IF(AND($H128="opportunity",$BW128=0.3,$BV128=0.2),$D128 &amp; ";","")</f>
        <v/>
      </c>
      <c r="DQ128" s="58">
        <f>IF(AND($H128="opportunity",$BW128=0.3,$BV128=0.1),$D128 &amp; ";","")</f>
        <v/>
      </c>
      <c r="DR128" s="58">
        <f>IF(AND($H128="opportunity",$BW128=0.3,$BV128=0.05),$D128 &amp; ";","")</f>
        <v/>
      </c>
      <c r="DS128" s="58">
        <f>IF(AND($H128="opportunity",$BW128=0.1,$BV128=0.8),$D128 &amp; ";","")</f>
        <v/>
      </c>
      <c r="DT128" s="58">
        <f>IF(AND($H128="opportunity",$BW128=0.1,$BV128=0.4),$D128 &amp; ";","")</f>
        <v/>
      </c>
      <c r="DU128" s="58">
        <f>IF(AND($H128="opportunity",$BW128=0.1,$BV128=0.2),$D128 &amp; ";","")</f>
        <v/>
      </c>
      <c r="DV128" s="58">
        <f>IF(AND($H128="opportunity",$BW128=0.1,$BV128=0.1),$D128 &amp; ";","")</f>
        <v/>
      </c>
      <c r="DW128" s="58">
        <f>IF(AND($H128="opportunity",$BW128=0.1,$BV128=0.05),$D128 &amp; ";","")</f>
        <v/>
      </c>
    </row>
    <row r="129">
      <c r="D129" s="60">
        <f>INDIRECT(ADDRESS(ROW()-22,COLUMN()-2,1,1,"Risk Register"))</f>
        <v/>
      </c>
      <c r="E129" s="143">
        <f>INDIRECT(ADDRESS(ROW()-22,COLUMN()-1,1,1,"Risk Register"))</f>
        <v/>
      </c>
      <c r="G129" s="56">
        <f>INDIRECT(ADDRESS(ROW()-22,COLUMN()+10,1,1,"Risk Register"))</f>
        <v/>
      </c>
      <c r="H129" s="60">
        <f>INDIRECT(ADDRESS(ROW()-22,COLUMN()+8,1,1,"Risk Register"))</f>
        <v/>
      </c>
      <c r="I129" s="54">
        <f>INDIRECT(ADDRESS(ROW()-22,COLUMN()+3,1,1,"Risk Register"))</f>
        <v/>
      </c>
      <c r="J129" s="143">
        <f>INDIRECT(ADDRESS(ROW()-22,COLUMN()+12,1,1,"Risk Register"))</f>
        <v/>
      </c>
      <c r="K129" s="143">
        <f>INDIRECT(ADDRESS(ROW()-22,COLUMN()-2,1,1,"Risk Register"))</f>
        <v/>
      </c>
      <c r="L129" s="176">
        <f>INDIRECT(ADDRESS(ROW()-22,COLUMN()+15,1,1,"Risk Register"))</f>
        <v/>
      </c>
      <c r="M129" s="54">
        <f>INDIRECT(ADDRESS(ROW()-22,COLUMN()+13,1,1,"Risk Register"))</f>
        <v/>
      </c>
      <c r="N129" s="143">
        <f>INDIRECT(ADDRESS(ROW()-22,COLUMN()-9,1,1,"Risk Register"))</f>
        <v/>
      </c>
      <c r="O129" s="143">
        <f>INDIRECT(ADDRESS(ROW()-22,COLUMN()-8,1,1,"Risk Register"))</f>
        <v/>
      </c>
      <c r="P129" s="56">
        <f>INDIRECT(ADDRESS(ROW()-22,COLUMN()+18,1,1,"Risk Register"))</f>
        <v/>
      </c>
      <c r="R129" s="57">
        <f>INDIRECT(ADDRESS(ROW()-22,COLUMN()-5,1,1,"Risk Register"))</f>
        <v/>
      </c>
      <c r="S129" s="58">
        <f>INDIRECT(ADDRESS(ROW()-22,COLUMN()-4,1,1,"Risk Register"))</f>
        <v/>
      </c>
      <c r="T129" s="59">
        <f>IF(AND($H129="threat",$G129&lt;=0.05),"gn",IF(AND($H129="threat",$G129&lt;=0.14),"y",IF(AND($H129="threat", $G129&gt;=0.15),"r",IF(AND($H129="opportunity",$G129&lt;=0.05),"gn",IF(AND($H129="opportunity",$G129&lt;=0.14),"lb",IF(AND($H129="opportunity",$G129&gt;=0.15),"db","z"))))))</f>
        <v/>
      </c>
      <c r="U129" s="58">
        <f>IF(AND($H129="threat",$S129=0.9,$R129=0.05),$D129 &amp; ";","")</f>
        <v/>
      </c>
      <c r="V129" s="58">
        <f>IF(AND($H129="threat",$S129=0.9,$R129=0.1),$D129 &amp; ";","")</f>
        <v/>
      </c>
      <c r="W129" s="58">
        <f>IF(AND($H129="threat",$S129=0.9,$R129=0.2),$D129 &amp; ";","")</f>
        <v/>
      </c>
      <c r="X129" s="58">
        <f>IF(AND($H129="threat",$S129=0.9,$R129=0.4),$D129 &amp; ";","")</f>
        <v/>
      </c>
      <c r="Y129" s="58">
        <f>IF(AND($H129="threat",$S129=0.9,$R129=0.8),$D129 &amp; ";","")</f>
        <v/>
      </c>
      <c r="Z129" s="58">
        <f>IF(AND($H129="threat",$S129=0.7,$R129=0.05),$D129 &amp; ";","")</f>
        <v/>
      </c>
      <c r="AA129" s="58">
        <f>IF(AND($H129="threat",$S129=0.7,$R129=0.1),$D129 &amp; ";","")</f>
        <v/>
      </c>
      <c r="AB129" s="58">
        <f>IF(AND($H129="threat",$S129=0.7,$R129=0.2),$D129 &amp; ";","")</f>
        <v/>
      </c>
      <c r="AC129" s="58">
        <f>IF(AND($H129="threat",$S129=0.7,$R129=0.4),$D129 &amp; ";","")</f>
        <v/>
      </c>
      <c r="AD129" s="58">
        <f>IF(AND($H129="threat",$S129=0.7,$R129=0.8),$D129 &amp; ";","")</f>
        <v/>
      </c>
      <c r="AE129" s="58">
        <f>IF(AND($H129="threat",$S129=0.5,$R129=0.05),$D129 &amp; ";","")</f>
        <v/>
      </c>
      <c r="AF129" s="58">
        <f>IF(AND($H129="threat",$S129=0.5,$R129=0.1),$D129 &amp; ";","")</f>
        <v/>
      </c>
      <c r="AG129" s="58">
        <f>IF(AND($H129="threat",$S129=0.5,$R129=0.2),$D129 &amp; ";","")</f>
        <v/>
      </c>
      <c r="AH129" s="58">
        <f>IF(AND($H129="threat",$S129=0.5,$R129=0.4),$D129 &amp; ";","")</f>
        <v/>
      </c>
      <c r="AI129" s="58">
        <f>IF(AND($H129="threat",$S129=0.5,$R129=0.8),$D129 &amp; ";","")</f>
        <v/>
      </c>
      <c r="AJ129" s="58">
        <f>IF(AND($H129="threat",$S129=0.3,$R129=0.05),$D129 &amp; ";","")</f>
        <v/>
      </c>
      <c r="AK129" s="58">
        <f>IF(AND($H129="threat",$S129=0.3,$R129=0.1),$D129 &amp; ";","")</f>
        <v/>
      </c>
      <c r="AL129" s="58">
        <f>IF(AND($H129="threat",$S129=0.3,$R129=0.2),$D129 &amp; ";","")</f>
        <v/>
      </c>
      <c r="AM129" s="58">
        <f>IF(AND($H129="threat",$S129=0.3,$R129=0.4),$D129 &amp; ";","")</f>
        <v/>
      </c>
      <c r="AN129" s="58">
        <f>IF(AND($H129="threat",$S129=0.3,$R129=0.8),$D129 &amp; ";","")</f>
        <v/>
      </c>
      <c r="AO129" s="58">
        <f>IF(AND($H129="threat",$S129=0.1,$R129=0.05),$D129 &amp; ";","")</f>
        <v/>
      </c>
      <c r="AP129" s="58">
        <f>IF(AND($H129="threat",$S129=0.1,$R129=0.1),$D129 &amp; ";","")</f>
        <v/>
      </c>
      <c r="AQ129" s="58">
        <f>IF(AND($H129="threat",$S129=0.1,$R129=0.2),$D129 &amp; ";","")</f>
        <v/>
      </c>
      <c r="AR129" s="58">
        <f>IF(AND($H129="threat",$S129=0.1,$R129=0.4),$D129 &amp; ";","")</f>
        <v/>
      </c>
      <c r="AS129" s="58">
        <f>IF(AND($H129="threat",$S129=0.1,$R129=0.8),$D129 &amp; ";","")</f>
        <v/>
      </c>
      <c r="AT129" s="39" t="n"/>
      <c r="AU129" s="58">
        <f>IF(AND($H129="opportunity",$S129=0.9,$R129=0.8),$D129 &amp; ";","")</f>
        <v/>
      </c>
      <c r="AV129" s="58">
        <f>IF(AND($H129="opportunity",$S129=0.9,$R129=0.4),$D129 &amp; ";","")</f>
        <v/>
      </c>
      <c r="AW129" s="58">
        <f>IF(AND($H129="opportunity",$S129=0.9,$R129=0.2),$D129 &amp; ";","")</f>
        <v/>
      </c>
      <c r="AX129" s="58">
        <f>IF(AND($H129="opportunity",$S129=0.9,$R129=0.1),$D129 &amp; ";","")</f>
        <v/>
      </c>
      <c r="AY129" s="58">
        <f>IF(AND($H129="opportunity",$S129=0.9,$R129=0.05),$D129 &amp; ";","")</f>
        <v/>
      </c>
      <c r="AZ129" s="58">
        <f>IF(AND($H129="opportunity",$S129=0.7,$R129=0.8),$D129 &amp; ";","")</f>
        <v/>
      </c>
      <c r="BA129" s="58">
        <f>IF(AND($H129="opportunity",$S129=0.7,$R129=0.4),$D129 &amp; ";","")</f>
        <v/>
      </c>
      <c r="BB129" s="58">
        <f>IF(AND($H129="opportunity",$S129=0.7,$R129=0.2),$D129 &amp; ";","")</f>
        <v/>
      </c>
      <c r="BC129" s="58">
        <f>IF(AND($H129="opportunity",$S129=0.7,$R129=0.1),$D129 &amp; ";","")</f>
        <v/>
      </c>
      <c r="BD129" s="58">
        <f>IF(AND($H129="opportunity",$S129=0.7,$R129=0.05),$D129 &amp; ";","")</f>
        <v/>
      </c>
      <c r="BE129" s="58">
        <f>IF(AND($H129="opportunity",$S129=0.5,$R129=0.8),$D129 &amp; ";","")</f>
        <v/>
      </c>
      <c r="BF129" s="58">
        <f>IF(AND($H129="opportunity",$S129=0.5,$R129=0.4),$D129 &amp; ";","")</f>
        <v/>
      </c>
      <c r="BG129" s="58">
        <f>IF(AND($H129="opportunity",$S129=0.5,$R129=0.2),$D129 &amp; ";","")</f>
        <v/>
      </c>
      <c r="BH129" s="58">
        <f>IF(AND($H129="opportunity",$S129=0.5,$R129=0.1),$D129 &amp; ";","")</f>
        <v/>
      </c>
      <c r="BI129" s="58">
        <f>IF(AND($H129="opportunity",$S129=0.5,$R129=0.05),$D129 &amp; ";","")</f>
        <v/>
      </c>
      <c r="BJ129" s="58">
        <f>IF(AND($H129="opportunity",$S129=0.3,$R129=0.8),$D129 &amp; ";","")</f>
        <v/>
      </c>
      <c r="BK129" s="58">
        <f>IF(AND($H129="opportunity",$S129=0.3,$R129=0.4),$D129 &amp; ";","")</f>
        <v/>
      </c>
      <c r="BL129" s="58">
        <f>IF(AND($H129="opportunity",$S129=0.3,$R129=0.2),$D129 &amp; ";","")</f>
        <v/>
      </c>
      <c r="BM129" s="58">
        <f>IF(AND($H129="opportunity",$S129=0.3,$R129=0.1),$D129 &amp; ";","")</f>
        <v/>
      </c>
      <c r="BN129" s="58">
        <f>IF(AND($H129="opportunity",$S129=0.3,$R129=0.05),$D129 &amp; ";","")</f>
        <v/>
      </c>
      <c r="BO129" s="58">
        <f>IF(AND($H129="opportunity",$S129=0.1,$R129=0.8),$D129 &amp; ";","")</f>
        <v/>
      </c>
      <c r="BP129" s="58">
        <f>IF(AND($H129="opportunity",$S129=0.1,$R129=0.4),$D129 &amp; ";","")</f>
        <v/>
      </c>
      <c r="BQ129" s="58">
        <f>IF(AND($H129="opportunity",$S129=0.1,$R129=0.2),$D129 &amp; ";","")</f>
        <v/>
      </c>
      <c r="BR129" s="58">
        <f>IF(AND($H129="opportunity",$S129=0.1,$R129=0.1),$D129 &amp; ";","")</f>
        <v/>
      </c>
      <c r="BS129" s="58">
        <f>IF(AND($H129="opportunity",$S129=0.1,$R129=0.05),$D129 &amp; ";","")</f>
        <v/>
      </c>
      <c r="BV129" s="57">
        <f>INDIRECT(ADDRESS(ROW()-22,COLUMN()-45,1,1,"Risk Register"))</f>
        <v/>
      </c>
      <c r="BW129" s="58">
        <f>INDIRECT(ADDRESS(ROW()-22,COLUMN()-44,1,1,"Risk Register"))</f>
        <v/>
      </c>
      <c r="BX129" s="59">
        <f>IF(AND($H129="threat",$P129&lt;=0.05),"gn",IF(AND($H129="threat",$P129&lt;=0.14),"y",IF(AND($H129="threat", $P129&gt;=0.15),"r",IF(AND($H129="opportunity",$P129&lt;=0.05),"gn",IF(AND($H129="opportunity",$P129&lt;=0.14),"lb",IF(AND($H129="opportunity",$P129&gt;=0.15),"db","z"))))))</f>
        <v/>
      </c>
      <c r="BY129" s="58">
        <f>IF(AND($H129="threat",$BW129=0.9,$BV129=0.05),$D129 &amp; ";","")</f>
        <v/>
      </c>
      <c r="BZ129" s="58">
        <f>IF(AND($H129="threat",$BW129=0.9,$BV129=0.1),$D129 &amp; ";","")</f>
        <v/>
      </c>
      <c r="CA129" s="58">
        <f>IF(AND($H129="threat",$BW129=0.9,$BV129=0.2),$D129 &amp; ";","")</f>
        <v/>
      </c>
      <c r="CB129" s="58">
        <f>IF(AND($H129="threat",$BW129=0.9,$BV129=0.4),$D129 &amp; ";","")</f>
        <v/>
      </c>
      <c r="CC129" s="58">
        <f>IF(AND($H129="threat",$BW129=0.9,$BV129=0.8),$D129 &amp; ";","")</f>
        <v/>
      </c>
      <c r="CD129" s="58">
        <f>IF(AND($H129="threat",$BW129=0.7,$BV129=0.05),$D129 &amp; ";","")</f>
        <v/>
      </c>
      <c r="CE129" s="58">
        <f>IF(AND($H129="threat",$BW129=0.7,$BV129=0.1),$D129 &amp; ";","")</f>
        <v/>
      </c>
      <c r="CF129" s="58">
        <f>IF(AND($H129="threat",$BW129=0.7,$BV129=0.2),$D129 &amp; ";","")</f>
        <v/>
      </c>
      <c r="CG129" s="58">
        <f>IF(AND($H129="threat",$BW129=0.7,$BV129=0.4),$D129 &amp; ";","")</f>
        <v/>
      </c>
      <c r="CH129" s="58">
        <f>IF(AND($H129="threat",$BW129=0.7,$BV129=0.8),$D129 &amp; ";","")</f>
        <v/>
      </c>
      <c r="CI129" s="58">
        <f>IF(AND($H129="threat",$BW129=0.5,$BV129=0.05),$D129 &amp; ";","")</f>
        <v/>
      </c>
      <c r="CJ129" s="58">
        <f>IF(AND($H129="threat",$BW129=0.5,$BV129=0.1),$D129 &amp; ";","")</f>
        <v/>
      </c>
      <c r="CK129" s="58">
        <f>IF(AND($H129="threat",$BW129=0.5,$BV129=0.2),$D129 &amp; ";","")</f>
        <v/>
      </c>
      <c r="CL129" s="58">
        <f>IF(AND($H129="threat",$BW129=0.5,$BV129=0.4),$D129 &amp; ";","")</f>
        <v/>
      </c>
      <c r="CM129" s="58">
        <f>IF(AND($H129="threat",$BW129=0.5,$BV129=0.8),$D129 &amp; ";","")</f>
        <v/>
      </c>
      <c r="CN129" s="58">
        <f>IF(AND($H129="threat",$BW129=0.3,$BV129=0.05),$D129 &amp; ";","")</f>
        <v/>
      </c>
      <c r="CO129" s="58">
        <f>IF(AND($H129="threat",$BW129=0.3,$BV129=0.1),$D129 &amp; ";","")</f>
        <v/>
      </c>
      <c r="CP129" s="58">
        <f>IF(AND($H129="threat",$BW129=0.3,$BV129=0.2),$D129 &amp; ";","")</f>
        <v/>
      </c>
      <c r="CQ129" s="58">
        <f>IF(AND($H129="threat",$BW129=0.3,$BV129=0.4),$D129 &amp; ";","")</f>
        <v/>
      </c>
      <c r="CR129" s="58">
        <f>IF(AND($H129="threat",$BW129=0.3,$BV129=0.8),$D129 &amp; ";","")</f>
        <v/>
      </c>
      <c r="CS129" s="58">
        <f>IF(AND($H129="threat",$BW129=0.1,$BV129=0.05),$D129 &amp; ";","")</f>
        <v/>
      </c>
      <c r="CT129" s="58">
        <f>IF(AND($H129="threat",$BW129=0.1,$BV129=0.1),$D129 &amp; ";","")</f>
        <v/>
      </c>
      <c r="CU129" s="58">
        <f>IF(AND($H129="threat",$BW129=0.1,$BV129=0.2),$D129 &amp; ";","")</f>
        <v/>
      </c>
      <c r="CV129" s="58">
        <f>IF(AND($H129="threat",$BW129=0.1,$BV129=0.4),$D129 &amp; ";","")</f>
        <v/>
      </c>
      <c r="CW129" s="58">
        <f>IF(AND($H129="threat",$BW129=0.1,$BV129=0.8),$D129 &amp; ";","")</f>
        <v/>
      </c>
      <c r="CX129" s="39" t="n"/>
      <c r="CY129" s="58">
        <f>IF(AND($H129="opportunity",$BW129=0.9,$BV129=0.8),$D129 &amp; ";","")</f>
        <v/>
      </c>
      <c r="CZ129" s="58">
        <f>IF(AND($H129="opportunity",$BW129=0.9,$BV129=0.4),$D129 &amp; ";","")</f>
        <v/>
      </c>
      <c r="DA129" s="58">
        <f>IF(AND($H129="opportunity",$BW129=0.9,$BV129=0.2),$D129 &amp; ";","")</f>
        <v/>
      </c>
      <c r="DB129" s="58">
        <f>IF(AND($H129="opportunity",$BW129=0.9,$BV129=0.1),$D129 &amp; ";","")</f>
        <v/>
      </c>
      <c r="DC129" s="58">
        <f>IF(AND($H129="opportunity",$BW129=0.9,$BV129=0.05),$D129 &amp; ";","")</f>
        <v/>
      </c>
      <c r="DD129" s="58">
        <f>IF(AND($H129="opportunity",$BW129=0.7,$BV129=0.8),$D129 &amp; ";","")</f>
        <v/>
      </c>
      <c r="DE129" s="58">
        <f>IF(AND($H129="opportunity",$BW129=0.7,$BV129=0.4),$D129 &amp; ";","")</f>
        <v/>
      </c>
      <c r="DF129" s="58">
        <f>IF(AND($H129="opportunity",$BW129=0.7,$BV129=0.2),$D129 &amp; ";","")</f>
        <v/>
      </c>
      <c r="DG129" s="58">
        <f>IF(AND($H129="opportunity",$BW129=0.7,$BV129=0.1),$D129 &amp; ";","")</f>
        <v/>
      </c>
      <c r="DH129" s="58">
        <f>IF(AND($H129="opportunity",$BW129=0.7,$BV129=0.05),$D129 &amp; ";","")</f>
        <v/>
      </c>
      <c r="DI129" s="58">
        <f>IF(AND($H129="opportunity",$BW129=0.5,$BV129=0.8),$D129 &amp; ";","")</f>
        <v/>
      </c>
      <c r="DJ129" s="58">
        <f>IF(AND($H129="opportunity",$BW129=0.5,$BV129=0.4),$D129 &amp; ";","")</f>
        <v/>
      </c>
      <c r="DK129" s="58">
        <f>IF(AND($H129="opportunity",$BW129=0.5,$BV129=0.2),$D129 &amp; ";","")</f>
        <v/>
      </c>
      <c r="DL129" s="58">
        <f>IF(AND($H129="opportunity",$BW129=0.5,$BV129=0.1),$D129 &amp; ";","")</f>
        <v/>
      </c>
      <c r="DM129" s="58">
        <f>IF(AND($H129="opportunity",$BW129=0.5,$BV129=0.05),$D129 &amp; ";","")</f>
        <v/>
      </c>
      <c r="DN129" s="58">
        <f>IF(AND($H129="opportunity",$BW129=0.3,$BV129=0.8),$D129 &amp; ";","")</f>
        <v/>
      </c>
      <c r="DO129" s="58">
        <f>IF(AND($H129="opportunity",$BW129=0.3,$BV129=0.4),$D129 &amp; ";","")</f>
        <v/>
      </c>
      <c r="DP129" s="58">
        <f>IF(AND($H129="opportunity",$BW129=0.3,$BV129=0.2),$D129 &amp; ";","")</f>
        <v/>
      </c>
      <c r="DQ129" s="58">
        <f>IF(AND($H129="opportunity",$BW129=0.3,$BV129=0.1),$D129 &amp; ";","")</f>
        <v/>
      </c>
      <c r="DR129" s="58">
        <f>IF(AND($H129="opportunity",$BW129=0.3,$BV129=0.05),$D129 &amp; ";","")</f>
        <v/>
      </c>
      <c r="DS129" s="58">
        <f>IF(AND($H129="opportunity",$BW129=0.1,$BV129=0.8),$D129 &amp; ";","")</f>
        <v/>
      </c>
      <c r="DT129" s="58">
        <f>IF(AND($H129="opportunity",$BW129=0.1,$BV129=0.4),$D129 &amp; ";","")</f>
        <v/>
      </c>
      <c r="DU129" s="58">
        <f>IF(AND($H129="opportunity",$BW129=0.1,$BV129=0.2),$D129 &amp; ";","")</f>
        <v/>
      </c>
      <c r="DV129" s="58">
        <f>IF(AND($H129="opportunity",$BW129=0.1,$BV129=0.1),$D129 &amp; ";","")</f>
        <v/>
      </c>
      <c r="DW129" s="58">
        <f>IF(AND($H129="opportunity",$BW129=0.1,$BV129=0.05),$D129 &amp; ";","")</f>
        <v/>
      </c>
    </row>
    <row r="130">
      <c r="D130" s="60">
        <f>INDIRECT(ADDRESS(ROW()-22,COLUMN()-2,1,1,"Risk Register"))</f>
        <v/>
      </c>
      <c r="E130" s="143">
        <f>INDIRECT(ADDRESS(ROW()-22,COLUMN()-1,1,1,"Risk Register"))</f>
        <v/>
      </c>
      <c r="G130" s="56">
        <f>INDIRECT(ADDRESS(ROW()-22,COLUMN()+10,1,1,"Risk Register"))</f>
        <v/>
      </c>
      <c r="H130" s="60">
        <f>INDIRECT(ADDRESS(ROW()-22,COLUMN()+8,1,1,"Risk Register"))</f>
        <v/>
      </c>
      <c r="I130" s="54">
        <f>INDIRECT(ADDRESS(ROW()-22,COLUMN()+3,1,1,"Risk Register"))</f>
        <v/>
      </c>
      <c r="J130" s="143">
        <f>INDIRECT(ADDRESS(ROW()-22,COLUMN()+12,1,1,"Risk Register"))</f>
        <v/>
      </c>
      <c r="K130" s="143">
        <f>INDIRECT(ADDRESS(ROW()-22,COLUMN()-2,1,1,"Risk Register"))</f>
        <v/>
      </c>
      <c r="L130" s="176">
        <f>INDIRECT(ADDRESS(ROW()-22,COLUMN()+15,1,1,"Risk Register"))</f>
        <v/>
      </c>
      <c r="M130" s="54">
        <f>INDIRECT(ADDRESS(ROW()-22,COLUMN()+13,1,1,"Risk Register"))</f>
        <v/>
      </c>
      <c r="N130" s="143">
        <f>INDIRECT(ADDRESS(ROW()-22,COLUMN()-9,1,1,"Risk Register"))</f>
        <v/>
      </c>
      <c r="O130" s="143">
        <f>INDIRECT(ADDRESS(ROW()-22,COLUMN()-8,1,1,"Risk Register"))</f>
        <v/>
      </c>
      <c r="P130" s="56">
        <f>INDIRECT(ADDRESS(ROW()-22,COLUMN()+18,1,1,"Risk Register"))</f>
        <v/>
      </c>
      <c r="R130" s="57">
        <f>INDIRECT(ADDRESS(ROW()-22,COLUMN()-5,1,1,"Risk Register"))</f>
        <v/>
      </c>
      <c r="S130" s="58">
        <f>INDIRECT(ADDRESS(ROW()-22,COLUMN()-4,1,1,"Risk Register"))</f>
        <v/>
      </c>
      <c r="T130" s="59">
        <f>IF(AND($H130="threat",$G130&lt;=0.05),"gn",IF(AND($H130="threat",$G130&lt;=0.14),"y",IF(AND($H130="threat", $G130&gt;=0.15),"r",IF(AND($H130="opportunity",$G130&lt;=0.05),"gn",IF(AND($H130="opportunity",$G130&lt;=0.14),"lb",IF(AND($H130="opportunity",$G130&gt;=0.15),"db","z"))))))</f>
        <v/>
      </c>
      <c r="U130" s="58">
        <f>IF(AND($H130="threat",$S130=0.9,$R130=0.05),$D130 &amp; ";","")</f>
        <v/>
      </c>
      <c r="V130" s="58">
        <f>IF(AND($H130="threat",$S130=0.9,$R130=0.1),$D130 &amp; ";","")</f>
        <v/>
      </c>
      <c r="W130" s="58">
        <f>IF(AND($H130="threat",$S130=0.9,$R130=0.2),$D130 &amp; ";","")</f>
        <v/>
      </c>
      <c r="X130" s="58">
        <f>IF(AND($H130="threat",$S130=0.9,$R130=0.4),$D130 &amp; ";","")</f>
        <v/>
      </c>
      <c r="Y130" s="58">
        <f>IF(AND($H130="threat",$S130=0.9,$R130=0.8),$D130 &amp; ";","")</f>
        <v/>
      </c>
      <c r="Z130" s="58">
        <f>IF(AND($H130="threat",$S130=0.7,$R130=0.05),$D130 &amp; ";","")</f>
        <v/>
      </c>
      <c r="AA130" s="58">
        <f>IF(AND($H130="threat",$S130=0.7,$R130=0.1),$D130 &amp; ";","")</f>
        <v/>
      </c>
      <c r="AB130" s="58">
        <f>IF(AND($H130="threat",$S130=0.7,$R130=0.2),$D130 &amp; ";","")</f>
        <v/>
      </c>
      <c r="AC130" s="58">
        <f>IF(AND($H130="threat",$S130=0.7,$R130=0.4),$D130 &amp; ";","")</f>
        <v/>
      </c>
      <c r="AD130" s="58">
        <f>IF(AND($H130="threat",$S130=0.7,$R130=0.8),$D130 &amp; ";","")</f>
        <v/>
      </c>
      <c r="AE130" s="58">
        <f>IF(AND($H130="threat",$S130=0.5,$R130=0.05),$D130 &amp; ";","")</f>
        <v/>
      </c>
      <c r="AF130" s="58">
        <f>IF(AND($H130="threat",$S130=0.5,$R130=0.1),$D130 &amp; ";","")</f>
        <v/>
      </c>
      <c r="AG130" s="58">
        <f>IF(AND($H130="threat",$S130=0.5,$R130=0.2),$D130 &amp; ";","")</f>
        <v/>
      </c>
      <c r="AH130" s="58">
        <f>IF(AND($H130="threat",$S130=0.5,$R130=0.4),$D130 &amp; ";","")</f>
        <v/>
      </c>
      <c r="AI130" s="58">
        <f>IF(AND($H130="threat",$S130=0.5,$R130=0.8),$D130 &amp; ";","")</f>
        <v/>
      </c>
      <c r="AJ130" s="58">
        <f>IF(AND($H130="threat",$S130=0.3,$R130=0.05),$D130 &amp; ";","")</f>
        <v/>
      </c>
      <c r="AK130" s="58">
        <f>IF(AND($H130="threat",$S130=0.3,$R130=0.1),$D130 &amp; ";","")</f>
        <v/>
      </c>
      <c r="AL130" s="58">
        <f>IF(AND($H130="threat",$S130=0.3,$R130=0.2),$D130 &amp; ";","")</f>
        <v/>
      </c>
      <c r="AM130" s="58">
        <f>IF(AND($H130="threat",$S130=0.3,$R130=0.4),$D130 &amp; ";","")</f>
        <v/>
      </c>
      <c r="AN130" s="58">
        <f>IF(AND($H130="threat",$S130=0.3,$R130=0.8),$D130 &amp; ";","")</f>
        <v/>
      </c>
      <c r="AO130" s="58">
        <f>IF(AND($H130="threat",$S130=0.1,$R130=0.05),$D130 &amp; ";","")</f>
        <v/>
      </c>
      <c r="AP130" s="58">
        <f>IF(AND($H130="threat",$S130=0.1,$R130=0.1),$D130 &amp; ";","")</f>
        <v/>
      </c>
      <c r="AQ130" s="58">
        <f>IF(AND($H130="threat",$S130=0.1,$R130=0.2),$D130 &amp; ";","")</f>
        <v/>
      </c>
      <c r="AR130" s="58">
        <f>IF(AND($H130="threat",$S130=0.1,$R130=0.4),$D130 &amp; ";","")</f>
        <v/>
      </c>
      <c r="AS130" s="58">
        <f>IF(AND($H130="threat",$S130=0.1,$R130=0.8),$D130 &amp; ";","")</f>
        <v/>
      </c>
      <c r="AT130" s="39" t="n"/>
      <c r="AU130" s="58">
        <f>IF(AND($H130="opportunity",$S130=0.9,$R130=0.8),$D130 &amp; ";","")</f>
        <v/>
      </c>
      <c r="AV130" s="58">
        <f>IF(AND($H130="opportunity",$S130=0.9,$R130=0.4),$D130 &amp; ";","")</f>
        <v/>
      </c>
      <c r="AW130" s="58">
        <f>IF(AND($H130="opportunity",$S130=0.9,$R130=0.2),$D130 &amp; ";","")</f>
        <v/>
      </c>
      <c r="AX130" s="58">
        <f>IF(AND($H130="opportunity",$S130=0.9,$R130=0.1),$D130 &amp; ";","")</f>
        <v/>
      </c>
      <c r="AY130" s="58">
        <f>IF(AND($H130="opportunity",$S130=0.9,$R130=0.05),$D130 &amp; ";","")</f>
        <v/>
      </c>
      <c r="AZ130" s="58">
        <f>IF(AND($H130="opportunity",$S130=0.7,$R130=0.8),$D130 &amp; ";","")</f>
        <v/>
      </c>
      <c r="BA130" s="58">
        <f>IF(AND($H130="opportunity",$S130=0.7,$R130=0.4),$D130 &amp; ";","")</f>
        <v/>
      </c>
      <c r="BB130" s="58">
        <f>IF(AND($H130="opportunity",$S130=0.7,$R130=0.2),$D130 &amp; ";","")</f>
        <v/>
      </c>
      <c r="BC130" s="58">
        <f>IF(AND($H130="opportunity",$S130=0.7,$R130=0.1),$D130 &amp; ";","")</f>
        <v/>
      </c>
      <c r="BD130" s="58">
        <f>IF(AND($H130="opportunity",$S130=0.7,$R130=0.05),$D130 &amp; ";","")</f>
        <v/>
      </c>
      <c r="BE130" s="58">
        <f>IF(AND($H130="opportunity",$S130=0.5,$R130=0.8),$D130 &amp; ";","")</f>
        <v/>
      </c>
      <c r="BF130" s="58">
        <f>IF(AND($H130="opportunity",$S130=0.5,$R130=0.4),$D130 &amp; ";","")</f>
        <v/>
      </c>
      <c r="BG130" s="58">
        <f>IF(AND($H130="opportunity",$S130=0.5,$R130=0.2),$D130 &amp; ";","")</f>
        <v/>
      </c>
      <c r="BH130" s="58">
        <f>IF(AND($H130="opportunity",$S130=0.5,$R130=0.1),$D130 &amp; ";","")</f>
        <v/>
      </c>
      <c r="BI130" s="58">
        <f>IF(AND($H130="opportunity",$S130=0.5,$R130=0.05),$D130 &amp; ";","")</f>
        <v/>
      </c>
      <c r="BJ130" s="58">
        <f>IF(AND($H130="opportunity",$S130=0.3,$R130=0.8),$D130 &amp; ";","")</f>
        <v/>
      </c>
      <c r="BK130" s="58">
        <f>IF(AND($H130="opportunity",$S130=0.3,$R130=0.4),$D130 &amp; ";","")</f>
        <v/>
      </c>
      <c r="BL130" s="58">
        <f>IF(AND($H130="opportunity",$S130=0.3,$R130=0.2),$D130 &amp; ";","")</f>
        <v/>
      </c>
      <c r="BM130" s="58">
        <f>IF(AND($H130="opportunity",$S130=0.3,$R130=0.1),$D130 &amp; ";","")</f>
        <v/>
      </c>
      <c r="BN130" s="58">
        <f>IF(AND($H130="opportunity",$S130=0.3,$R130=0.05),$D130 &amp; ";","")</f>
        <v/>
      </c>
      <c r="BO130" s="58">
        <f>IF(AND($H130="opportunity",$S130=0.1,$R130=0.8),$D130 &amp; ";","")</f>
        <v/>
      </c>
      <c r="BP130" s="58">
        <f>IF(AND($H130="opportunity",$S130=0.1,$R130=0.4),$D130 &amp; ";","")</f>
        <v/>
      </c>
      <c r="BQ130" s="58">
        <f>IF(AND($H130="opportunity",$S130=0.1,$R130=0.2),$D130 &amp; ";","")</f>
        <v/>
      </c>
      <c r="BR130" s="58">
        <f>IF(AND($H130="opportunity",$S130=0.1,$R130=0.1),$D130 &amp; ";","")</f>
        <v/>
      </c>
      <c r="BS130" s="58">
        <f>IF(AND($H130="opportunity",$S130=0.1,$R130=0.05),$D130 &amp; ";","")</f>
        <v/>
      </c>
      <c r="BV130" s="57">
        <f>INDIRECT(ADDRESS(ROW()-22,COLUMN()-45,1,1,"Risk Register"))</f>
        <v/>
      </c>
      <c r="BW130" s="58">
        <f>INDIRECT(ADDRESS(ROW()-22,COLUMN()-44,1,1,"Risk Register"))</f>
        <v/>
      </c>
      <c r="BX130" s="59">
        <f>IF(AND($H130="threat",$P130&lt;=0.05),"gn",IF(AND($H130="threat",$P130&lt;=0.14),"y",IF(AND($H130="threat", $P130&gt;=0.15),"r",IF(AND($H130="opportunity",$P130&lt;=0.05),"gn",IF(AND($H130="opportunity",$P130&lt;=0.14),"lb",IF(AND($H130="opportunity",$P130&gt;=0.15),"db","z"))))))</f>
        <v/>
      </c>
      <c r="BY130" s="58">
        <f>IF(AND($H130="threat",$BW130=0.9,$BV130=0.05),$D130 &amp; ";","")</f>
        <v/>
      </c>
      <c r="BZ130" s="58">
        <f>IF(AND($H130="threat",$BW130=0.9,$BV130=0.1),$D130 &amp; ";","")</f>
        <v/>
      </c>
      <c r="CA130" s="58">
        <f>IF(AND($H130="threat",$BW130=0.9,$BV130=0.2),$D130 &amp; ";","")</f>
        <v/>
      </c>
      <c r="CB130" s="58">
        <f>IF(AND($H130="threat",$BW130=0.9,$BV130=0.4),$D130 &amp; ";","")</f>
        <v/>
      </c>
      <c r="CC130" s="58">
        <f>IF(AND($H130="threat",$BW130=0.9,$BV130=0.8),$D130 &amp; ";","")</f>
        <v/>
      </c>
      <c r="CD130" s="58">
        <f>IF(AND($H130="threat",$BW130=0.7,$BV130=0.05),$D130 &amp; ";","")</f>
        <v/>
      </c>
      <c r="CE130" s="58">
        <f>IF(AND($H130="threat",$BW130=0.7,$BV130=0.1),$D130 &amp; ";","")</f>
        <v/>
      </c>
      <c r="CF130" s="58">
        <f>IF(AND($H130="threat",$BW130=0.7,$BV130=0.2),$D130 &amp; ";","")</f>
        <v/>
      </c>
      <c r="CG130" s="58">
        <f>IF(AND($H130="threat",$BW130=0.7,$BV130=0.4),$D130 &amp; ";","")</f>
        <v/>
      </c>
      <c r="CH130" s="58">
        <f>IF(AND($H130="threat",$BW130=0.7,$BV130=0.8),$D130 &amp; ";","")</f>
        <v/>
      </c>
      <c r="CI130" s="58">
        <f>IF(AND($H130="threat",$BW130=0.5,$BV130=0.05),$D130 &amp; ";","")</f>
        <v/>
      </c>
      <c r="CJ130" s="58">
        <f>IF(AND($H130="threat",$BW130=0.5,$BV130=0.1),$D130 &amp; ";","")</f>
        <v/>
      </c>
      <c r="CK130" s="58">
        <f>IF(AND($H130="threat",$BW130=0.5,$BV130=0.2),$D130 &amp; ";","")</f>
        <v/>
      </c>
      <c r="CL130" s="58">
        <f>IF(AND($H130="threat",$BW130=0.5,$BV130=0.4),$D130 &amp; ";","")</f>
        <v/>
      </c>
      <c r="CM130" s="58">
        <f>IF(AND($H130="threat",$BW130=0.5,$BV130=0.8),$D130 &amp; ";","")</f>
        <v/>
      </c>
      <c r="CN130" s="58">
        <f>IF(AND($H130="threat",$BW130=0.3,$BV130=0.05),$D130 &amp; ";","")</f>
        <v/>
      </c>
      <c r="CO130" s="58">
        <f>IF(AND($H130="threat",$BW130=0.3,$BV130=0.1),$D130 &amp; ";","")</f>
        <v/>
      </c>
      <c r="CP130" s="58">
        <f>IF(AND($H130="threat",$BW130=0.3,$BV130=0.2),$D130 &amp; ";","")</f>
        <v/>
      </c>
      <c r="CQ130" s="58">
        <f>IF(AND($H130="threat",$BW130=0.3,$BV130=0.4),$D130 &amp; ";","")</f>
        <v/>
      </c>
      <c r="CR130" s="58">
        <f>IF(AND($H130="threat",$BW130=0.3,$BV130=0.8),$D130 &amp; ";","")</f>
        <v/>
      </c>
      <c r="CS130" s="58">
        <f>IF(AND($H130="threat",$BW130=0.1,$BV130=0.05),$D130 &amp; ";","")</f>
        <v/>
      </c>
      <c r="CT130" s="58">
        <f>IF(AND($H130="threat",$BW130=0.1,$BV130=0.1),$D130 &amp; ";","")</f>
        <v/>
      </c>
      <c r="CU130" s="58">
        <f>IF(AND($H130="threat",$BW130=0.1,$BV130=0.2),$D130 &amp; ";","")</f>
        <v/>
      </c>
      <c r="CV130" s="58">
        <f>IF(AND($H130="threat",$BW130=0.1,$BV130=0.4),$D130 &amp; ";","")</f>
        <v/>
      </c>
      <c r="CW130" s="58">
        <f>IF(AND($H130="threat",$BW130=0.1,$BV130=0.8),$D130 &amp; ";","")</f>
        <v/>
      </c>
      <c r="CX130" s="39" t="n"/>
      <c r="CY130" s="58">
        <f>IF(AND($H130="opportunity",$BW130=0.9,$BV130=0.8),$D130 &amp; ";","")</f>
        <v/>
      </c>
      <c r="CZ130" s="58">
        <f>IF(AND($H130="opportunity",$BW130=0.9,$BV130=0.4),$D130 &amp; ";","")</f>
        <v/>
      </c>
      <c r="DA130" s="58">
        <f>IF(AND($H130="opportunity",$BW130=0.9,$BV130=0.2),$D130 &amp; ";","")</f>
        <v/>
      </c>
      <c r="DB130" s="58">
        <f>IF(AND($H130="opportunity",$BW130=0.9,$BV130=0.1),$D130 &amp; ";","")</f>
        <v/>
      </c>
      <c r="DC130" s="58">
        <f>IF(AND($H130="opportunity",$BW130=0.9,$BV130=0.05),$D130 &amp; ";","")</f>
        <v/>
      </c>
      <c r="DD130" s="58">
        <f>IF(AND($H130="opportunity",$BW130=0.7,$BV130=0.8),$D130 &amp; ";","")</f>
        <v/>
      </c>
      <c r="DE130" s="58">
        <f>IF(AND($H130="opportunity",$BW130=0.7,$BV130=0.4),$D130 &amp; ";","")</f>
        <v/>
      </c>
      <c r="DF130" s="58">
        <f>IF(AND($H130="opportunity",$BW130=0.7,$BV130=0.2),$D130 &amp; ";","")</f>
        <v/>
      </c>
      <c r="DG130" s="58">
        <f>IF(AND($H130="opportunity",$BW130=0.7,$BV130=0.1),$D130 &amp; ";","")</f>
        <v/>
      </c>
      <c r="DH130" s="58">
        <f>IF(AND($H130="opportunity",$BW130=0.7,$BV130=0.05),$D130 &amp; ";","")</f>
        <v/>
      </c>
      <c r="DI130" s="58">
        <f>IF(AND($H130="opportunity",$BW130=0.5,$BV130=0.8),$D130 &amp; ";","")</f>
        <v/>
      </c>
      <c r="DJ130" s="58">
        <f>IF(AND($H130="opportunity",$BW130=0.5,$BV130=0.4),$D130 &amp; ";","")</f>
        <v/>
      </c>
      <c r="DK130" s="58">
        <f>IF(AND($H130="opportunity",$BW130=0.5,$BV130=0.2),$D130 &amp; ";","")</f>
        <v/>
      </c>
      <c r="DL130" s="58">
        <f>IF(AND($H130="opportunity",$BW130=0.5,$BV130=0.1),$D130 &amp; ";","")</f>
        <v/>
      </c>
      <c r="DM130" s="58">
        <f>IF(AND($H130="opportunity",$BW130=0.5,$BV130=0.05),$D130 &amp; ";","")</f>
        <v/>
      </c>
      <c r="DN130" s="58">
        <f>IF(AND($H130="opportunity",$BW130=0.3,$BV130=0.8),$D130 &amp; ";","")</f>
        <v/>
      </c>
      <c r="DO130" s="58">
        <f>IF(AND($H130="opportunity",$BW130=0.3,$BV130=0.4),$D130 &amp; ";","")</f>
        <v/>
      </c>
      <c r="DP130" s="58">
        <f>IF(AND($H130="opportunity",$BW130=0.3,$BV130=0.2),$D130 &amp; ";","")</f>
        <v/>
      </c>
      <c r="DQ130" s="58">
        <f>IF(AND($H130="opportunity",$BW130=0.3,$BV130=0.1),$D130 &amp; ";","")</f>
        <v/>
      </c>
      <c r="DR130" s="58">
        <f>IF(AND($H130="opportunity",$BW130=0.3,$BV130=0.05),$D130 &amp; ";","")</f>
        <v/>
      </c>
      <c r="DS130" s="58">
        <f>IF(AND($H130="opportunity",$BW130=0.1,$BV130=0.8),$D130 &amp; ";","")</f>
        <v/>
      </c>
      <c r="DT130" s="58">
        <f>IF(AND($H130="opportunity",$BW130=0.1,$BV130=0.4),$D130 &amp; ";","")</f>
        <v/>
      </c>
      <c r="DU130" s="58">
        <f>IF(AND($H130="opportunity",$BW130=0.1,$BV130=0.2),$D130 &amp; ";","")</f>
        <v/>
      </c>
      <c r="DV130" s="58">
        <f>IF(AND($H130="opportunity",$BW130=0.1,$BV130=0.1),$D130 &amp; ";","")</f>
        <v/>
      </c>
      <c r="DW130" s="58">
        <f>IF(AND($H130="opportunity",$BW130=0.1,$BV130=0.05),$D130 &amp; ";","")</f>
        <v/>
      </c>
    </row>
    <row r="131">
      <c r="D131" s="60">
        <f>INDIRECT(ADDRESS(ROW()-22,COLUMN()-2,1,1,"Risk Register"))</f>
        <v/>
      </c>
      <c r="E131" s="143">
        <f>INDIRECT(ADDRESS(ROW()-22,COLUMN()-1,1,1,"Risk Register"))</f>
        <v/>
      </c>
      <c r="G131" s="56">
        <f>INDIRECT(ADDRESS(ROW()-22,COLUMN()+10,1,1,"Risk Register"))</f>
        <v/>
      </c>
      <c r="H131" s="60">
        <f>INDIRECT(ADDRESS(ROW()-22,COLUMN()+8,1,1,"Risk Register"))</f>
        <v/>
      </c>
      <c r="I131" s="54">
        <f>INDIRECT(ADDRESS(ROW()-22,COLUMN()+3,1,1,"Risk Register"))</f>
        <v/>
      </c>
      <c r="J131" s="143">
        <f>INDIRECT(ADDRESS(ROW()-22,COLUMN()+12,1,1,"Risk Register"))</f>
        <v/>
      </c>
      <c r="K131" s="143">
        <f>INDIRECT(ADDRESS(ROW()-22,COLUMN()-2,1,1,"Risk Register"))</f>
        <v/>
      </c>
      <c r="L131" s="176">
        <f>INDIRECT(ADDRESS(ROW()-22,COLUMN()+15,1,1,"Risk Register"))</f>
        <v/>
      </c>
      <c r="M131" s="54">
        <f>INDIRECT(ADDRESS(ROW()-22,COLUMN()+13,1,1,"Risk Register"))</f>
        <v/>
      </c>
      <c r="N131" s="143">
        <f>INDIRECT(ADDRESS(ROW()-22,COLUMN()-9,1,1,"Risk Register"))</f>
        <v/>
      </c>
      <c r="O131" s="143">
        <f>INDIRECT(ADDRESS(ROW()-22,COLUMN()-8,1,1,"Risk Register"))</f>
        <v/>
      </c>
      <c r="P131" s="56">
        <f>INDIRECT(ADDRESS(ROW()-22,COLUMN()+18,1,1,"Risk Register"))</f>
        <v/>
      </c>
      <c r="R131" s="57">
        <f>INDIRECT(ADDRESS(ROW()-22,COLUMN()-5,1,1,"Risk Register"))</f>
        <v/>
      </c>
      <c r="S131" s="58">
        <f>INDIRECT(ADDRESS(ROW()-22,COLUMN()-4,1,1,"Risk Register"))</f>
        <v/>
      </c>
      <c r="T131" s="59">
        <f>IF(AND($H131="threat",$G131&lt;=0.05),"gn",IF(AND($H131="threat",$G131&lt;=0.14),"y",IF(AND($H131="threat", $G131&gt;=0.15),"r",IF(AND($H131="opportunity",$G131&lt;=0.05),"gn",IF(AND($H131="opportunity",$G131&lt;=0.14),"lb",IF(AND($H131="opportunity",$G131&gt;=0.15),"db","z"))))))</f>
        <v/>
      </c>
      <c r="U131" s="58">
        <f>IF(AND($H131="threat",$S131=0.9,$R131=0.05),$D131 &amp; ";","")</f>
        <v/>
      </c>
      <c r="V131" s="58">
        <f>IF(AND($H131="threat",$S131=0.9,$R131=0.1),$D131 &amp; ";","")</f>
        <v/>
      </c>
      <c r="W131" s="58">
        <f>IF(AND($H131="threat",$S131=0.9,$R131=0.2),$D131 &amp; ";","")</f>
        <v/>
      </c>
      <c r="X131" s="58">
        <f>IF(AND($H131="threat",$S131=0.9,$R131=0.4),$D131 &amp; ";","")</f>
        <v/>
      </c>
      <c r="Y131" s="58">
        <f>IF(AND($H131="threat",$S131=0.9,$R131=0.8),$D131 &amp; ";","")</f>
        <v/>
      </c>
      <c r="Z131" s="58">
        <f>IF(AND($H131="threat",$S131=0.7,$R131=0.05),$D131 &amp; ";","")</f>
        <v/>
      </c>
      <c r="AA131" s="58">
        <f>IF(AND($H131="threat",$S131=0.7,$R131=0.1),$D131 &amp; ";","")</f>
        <v/>
      </c>
      <c r="AB131" s="58">
        <f>IF(AND($H131="threat",$S131=0.7,$R131=0.2),$D131 &amp; ";","")</f>
        <v/>
      </c>
      <c r="AC131" s="58">
        <f>IF(AND($H131="threat",$S131=0.7,$R131=0.4),$D131 &amp; ";","")</f>
        <v/>
      </c>
      <c r="AD131" s="58">
        <f>IF(AND($H131="threat",$S131=0.7,$R131=0.8),$D131 &amp; ";","")</f>
        <v/>
      </c>
      <c r="AE131" s="58">
        <f>IF(AND($H131="threat",$S131=0.5,$R131=0.05),$D131 &amp; ";","")</f>
        <v/>
      </c>
      <c r="AF131" s="58">
        <f>IF(AND($H131="threat",$S131=0.5,$R131=0.1),$D131 &amp; ";","")</f>
        <v/>
      </c>
      <c r="AG131" s="58">
        <f>IF(AND($H131="threat",$S131=0.5,$R131=0.2),$D131 &amp; ";","")</f>
        <v/>
      </c>
      <c r="AH131" s="58">
        <f>IF(AND($H131="threat",$S131=0.5,$R131=0.4),$D131 &amp; ";","")</f>
        <v/>
      </c>
      <c r="AI131" s="58">
        <f>IF(AND($H131="threat",$S131=0.5,$R131=0.8),$D131 &amp; ";","")</f>
        <v/>
      </c>
      <c r="AJ131" s="58">
        <f>IF(AND($H131="threat",$S131=0.3,$R131=0.05),$D131 &amp; ";","")</f>
        <v/>
      </c>
      <c r="AK131" s="58">
        <f>IF(AND($H131="threat",$S131=0.3,$R131=0.1),$D131 &amp; ";","")</f>
        <v/>
      </c>
      <c r="AL131" s="58">
        <f>IF(AND($H131="threat",$S131=0.3,$R131=0.2),$D131 &amp; ";","")</f>
        <v/>
      </c>
      <c r="AM131" s="58">
        <f>IF(AND($H131="threat",$S131=0.3,$R131=0.4),$D131 &amp; ";","")</f>
        <v/>
      </c>
      <c r="AN131" s="58">
        <f>IF(AND($H131="threat",$S131=0.3,$R131=0.8),$D131 &amp; ";","")</f>
        <v/>
      </c>
      <c r="AO131" s="58">
        <f>IF(AND($H131="threat",$S131=0.1,$R131=0.05),$D131 &amp; ";","")</f>
        <v/>
      </c>
      <c r="AP131" s="58">
        <f>IF(AND($H131="threat",$S131=0.1,$R131=0.1),$D131 &amp; ";","")</f>
        <v/>
      </c>
      <c r="AQ131" s="58">
        <f>IF(AND($H131="threat",$S131=0.1,$R131=0.2),$D131 &amp; ";","")</f>
        <v/>
      </c>
      <c r="AR131" s="58">
        <f>IF(AND($H131="threat",$S131=0.1,$R131=0.4),$D131 &amp; ";","")</f>
        <v/>
      </c>
      <c r="AS131" s="58">
        <f>IF(AND($H131="threat",$S131=0.1,$R131=0.8),$D131 &amp; ";","")</f>
        <v/>
      </c>
      <c r="AT131" s="39" t="n"/>
      <c r="AU131" s="58">
        <f>IF(AND($H131="opportunity",$S131=0.9,$R131=0.8),$D131 &amp; ";","")</f>
        <v/>
      </c>
      <c r="AV131" s="58">
        <f>IF(AND($H131="opportunity",$S131=0.9,$R131=0.4),$D131 &amp; ";","")</f>
        <v/>
      </c>
      <c r="AW131" s="58">
        <f>IF(AND($H131="opportunity",$S131=0.9,$R131=0.2),$D131 &amp; ";","")</f>
        <v/>
      </c>
      <c r="AX131" s="58">
        <f>IF(AND($H131="opportunity",$S131=0.9,$R131=0.1),$D131 &amp; ";","")</f>
        <v/>
      </c>
      <c r="AY131" s="58">
        <f>IF(AND($H131="opportunity",$S131=0.9,$R131=0.05),$D131 &amp; ";","")</f>
        <v/>
      </c>
      <c r="AZ131" s="58">
        <f>IF(AND($H131="opportunity",$S131=0.7,$R131=0.8),$D131 &amp; ";","")</f>
        <v/>
      </c>
      <c r="BA131" s="58">
        <f>IF(AND($H131="opportunity",$S131=0.7,$R131=0.4),$D131 &amp; ";","")</f>
        <v/>
      </c>
      <c r="BB131" s="58">
        <f>IF(AND($H131="opportunity",$S131=0.7,$R131=0.2),$D131 &amp; ";","")</f>
        <v/>
      </c>
      <c r="BC131" s="58">
        <f>IF(AND($H131="opportunity",$S131=0.7,$R131=0.1),$D131 &amp; ";","")</f>
        <v/>
      </c>
      <c r="BD131" s="58">
        <f>IF(AND($H131="opportunity",$S131=0.7,$R131=0.05),$D131 &amp; ";","")</f>
        <v/>
      </c>
      <c r="BE131" s="58">
        <f>IF(AND($H131="opportunity",$S131=0.5,$R131=0.8),$D131 &amp; ";","")</f>
        <v/>
      </c>
      <c r="BF131" s="58">
        <f>IF(AND($H131="opportunity",$S131=0.5,$R131=0.4),$D131 &amp; ";","")</f>
        <v/>
      </c>
      <c r="BG131" s="58">
        <f>IF(AND($H131="opportunity",$S131=0.5,$R131=0.2),$D131 &amp; ";","")</f>
        <v/>
      </c>
      <c r="BH131" s="58">
        <f>IF(AND($H131="opportunity",$S131=0.5,$R131=0.1),$D131 &amp; ";","")</f>
        <v/>
      </c>
      <c r="BI131" s="58">
        <f>IF(AND($H131="opportunity",$S131=0.5,$R131=0.05),$D131 &amp; ";","")</f>
        <v/>
      </c>
      <c r="BJ131" s="58">
        <f>IF(AND($H131="opportunity",$S131=0.3,$R131=0.8),$D131 &amp; ";","")</f>
        <v/>
      </c>
      <c r="BK131" s="58">
        <f>IF(AND($H131="opportunity",$S131=0.3,$R131=0.4),$D131 &amp; ";","")</f>
        <v/>
      </c>
      <c r="BL131" s="58">
        <f>IF(AND($H131="opportunity",$S131=0.3,$R131=0.2),$D131 &amp; ";","")</f>
        <v/>
      </c>
      <c r="BM131" s="58">
        <f>IF(AND($H131="opportunity",$S131=0.3,$R131=0.1),$D131 &amp; ";","")</f>
        <v/>
      </c>
      <c r="BN131" s="58">
        <f>IF(AND($H131="opportunity",$S131=0.3,$R131=0.05),$D131 &amp; ";","")</f>
        <v/>
      </c>
      <c r="BO131" s="58">
        <f>IF(AND($H131="opportunity",$S131=0.1,$R131=0.8),$D131 &amp; ";","")</f>
        <v/>
      </c>
      <c r="BP131" s="58">
        <f>IF(AND($H131="opportunity",$S131=0.1,$R131=0.4),$D131 &amp; ";","")</f>
        <v/>
      </c>
      <c r="BQ131" s="58">
        <f>IF(AND($H131="opportunity",$S131=0.1,$R131=0.2),$D131 &amp; ";","")</f>
        <v/>
      </c>
      <c r="BR131" s="58">
        <f>IF(AND($H131="opportunity",$S131=0.1,$R131=0.1),$D131 &amp; ";","")</f>
        <v/>
      </c>
      <c r="BS131" s="58">
        <f>IF(AND($H131="opportunity",$S131=0.1,$R131=0.05),$D131 &amp; ";","")</f>
        <v/>
      </c>
      <c r="BV131" s="57">
        <f>INDIRECT(ADDRESS(ROW()-22,COLUMN()-45,1,1,"Risk Register"))</f>
        <v/>
      </c>
      <c r="BW131" s="58">
        <f>INDIRECT(ADDRESS(ROW()-22,COLUMN()-44,1,1,"Risk Register"))</f>
        <v/>
      </c>
      <c r="BX131" s="59">
        <f>IF(AND($H131="threat",$P131&lt;=0.05),"gn",IF(AND($H131="threat",$P131&lt;=0.14),"y",IF(AND($H131="threat", $P131&gt;=0.15),"r",IF(AND($H131="opportunity",$P131&lt;=0.05),"gn",IF(AND($H131="opportunity",$P131&lt;=0.14),"lb",IF(AND($H131="opportunity",$P131&gt;=0.15),"db","z"))))))</f>
        <v/>
      </c>
      <c r="BY131" s="58">
        <f>IF(AND($H131="threat",$BW131=0.9,$BV131=0.05),$D131 &amp; ";","")</f>
        <v/>
      </c>
      <c r="BZ131" s="58">
        <f>IF(AND($H131="threat",$BW131=0.9,$BV131=0.1),$D131 &amp; ";","")</f>
        <v/>
      </c>
      <c r="CA131" s="58">
        <f>IF(AND($H131="threat",$BW131=0.9,$BV131=0.2),$D131 &amp; ";","")</f>
        <v/>
      </c>
      <c r="CB131" s="58">
        <f>IF(AND($H131="threat",$BW131=0.9,$BV131=0.4),$D131 &amp; ";","")</f>
        <v/>
      </c>
      <c r="CC131" s="58">
        <f>IF(AND($H131="threat",$BW131=0.9,$BV131=0.8),$D131 &amp; ";","")</f>
        <v/>
      </c>
      <c r="CD131" s="58">
        <f>IF(AND($H131="threat",$BW131=0.7,$BV131=0.05),$D131 &amp; ";","")</f>
        <v/>
      </c>
      <c r="CE131" s="58">
        <f>IF(AND($H131="threat",$BW131=0.7,$BV131=0.1),$D131 &amp; ";","")</f>
        <v/>
      </c>
      <c r="CF131" s="58">
        <f>IF(AND($H131="threat",$BW131=0.7,$BV131=0.2),$D131 &amp; ";","")</f>
        <v/>
      </c>
      <c r="CG131" s="58">
        <f>IF(AND($H131="threat",$BW131=0.7,$BV131=0.4),$D131 &amp; ";","")</f>
        <v/>
      </c>
      <c r="CH131" s="58">
        <f>IF(AND($H131="threat",$BW131=0.7,$BV131=0.8),$D131 &amp; ";","")</f>
        <v/>
      </c>
      <c r="CI131" s="58">
        <f>IF(AND($H131="threat",$BW131=0.5,$BV131=0.05),$D131 &amp; ";","")</f>
        <v/>
      </c>
      <c r="CJ131" s="58">
        <f>IF(AND($H131="threat",$BW131=0.5,$BV131=0.1),$D131 &amp; ";","")</f>
        <v/>
      </c>
      <c r="CK131" s="58">
        <f>IF(AND($H131="threat",$BW131=0.5,$BV131=0.2),$D131 &amp; ";","")</f>
        <v/>
      </c>
      <c r="CL131" s="58">
        <f>IF(AND($H131="threat",$BW131=0.5,$BV131=0.4),$D131 &amp; ";","")</f>
        <v/>
      </c>
      <c r="CM131" s="58">
        <f>IF(AND($H131="threat",$BW131=0.5,$BV131=0.8),$D131 &amp; ";","")</f>
        <v/>
      </c>
      <c r="CN131" s="58">
        <f>IF(AND($H131="threat",$BW131=0.3,$BV131=0.05),$D131 &amp; ";","")</f>
        <v/>
      </c>
      <c r="CO131" s="58">
        <f>IF(AND($H131="threat",$BW131=0.3,$BV131=0.1),$D131 &amp; ";","")</f>
        <v/>
      </c>
      <c r="CP131" s="58">
        <f>IF(AND($H131="threat",$BW131=0.3,$BV131=0.2),$D131 &amp; ";","")</f>
        <v/>
      </c>
      <c r="CQ131" s="58">
        <f>IF(AND($H131="threat",$BW131=0.3,$BV131=0.4),$D131 &amp; ";","")</f>
        <v/>
      </c>
      <c r="CR131" s="58">
        <f>IF(AND($H131="threat",$BW131=0.3,$BV131=0.8),$D131 &amp; ";","")</f>
        <v/>
      </c>
      <c r="CS131" s="58">
        <f>IF(AND($H131="threat",$BW131=0.1,$BV131=0.05),$D131 &amp; ";","")</f>
        <v/>
      </c>
      <c r="CT131" s="58">
        <f>IF(AND($H131="threat",$BW131=0.1,$BV131=0.1),$D131 &amp; ";","")</f>
        <v/>
      </c>
      <c r="CU131" s="58">
        <f>IF(AND($H131="threat",$BW131=0.1,$BV131=0.2),$D131 &amp; ";","")</f>
        <v/>
      </c>
      <c r="CV131" s="58">
        <f>IF(AND($H131="threat",$BW131=0.1,$BV131=0.4),$D131 &amp; ";","")</f>
        <v/>
      </c>
      <c r="CW131" s="58">
        <f>IF(AND($H131="threat",$BW131=0.1,$BV131=0.8),$D131 &amp; ";","")</f>
        <v/>
      </c>
      <c r="CX131" s="39" t="n"/>
      <c r="CY131" s="58">
        <f>IF(AND($H131="opportunity",$BW131=0.9,$BV131=0.8),$D131 &amp; ";","")</f>
        <v/>
      </c>
      <c r="CZ131" s="58">
        <f>IF(AND($H131="opportunity",$BW131=0.9,$BV131=0.4),$D131 &amp; ";","")</f>
        <v/>
      </c>
      <c r="DA131" s="58">
        <f>IF(AND($H131="opportunity",$BW131=0.9,$BV131=0.2),$D131 &amp; ";","")</f>
        <v/>
      </c>
      <c r="DB131" s="58">
        <f>IF(AND($H131="opportunity",$BW131=0.9,$BV131=0.1),$D131 &amp; ";","")</f>
        <v/>
      </c>
      <c r="DC131" s="58">
        <f>IF(AND($H131="opportunity",$BW131=0.9,$BV131=0.05),$D131 &amp; ";","")</f>
        <v/>
      </c>
      <c r="DD131" s="58">
        <f>IF(AND($H131="opportunity",$BW131=0.7,$BV131=0.8),$D131 &amp; ";","")</f>
        <v/>
      </c>
      <c r="DE131" s="58">
        <f>IF(AND($H131="opportunity",$BW131=0.7,$BV131=0.4),$D131 &amp; ";","")</f>
        <v/>
      </c>
      <c r="DF131" s="58">
        <f>IF(AND($H131="opportunity",$BW131=0.7,$BV131=0.2),$D131 &amp; ";","")</f>
        <v/>
      </c>
      <c r="DG131" s="58">
        <f>IF(AND($H131="opportunity",$BW131=0.7,$BV131=0.1),$D131 &amp; ";","")</f>
        <v/>
      </c>
      <c r="DH131" s="58">
        <f>IF(AND($H131="opportunity",$BW131=0.7,$BV131=0.05),$D131 &amp; ";","")</f>
        <v/>
      </c>
      <c r="DI131" s="58">
        <f>IF(AND($H131="opportunity",$BW131=0.5,$BV131=0.8),$D131 &amp; ";","")</f>
        <v/>
      </c>
      <c r="DJ131" s="58">
        <f>IF(AND($H131="opportunity",$BW131=0.5,$BV131=0.4),$D131 &amp; ";","")</f>
        <v/>
      </c>
      <c r="DK131" s="58">
        <f>IF(AND($H131="opportunity",$BW131=0.5,$BV131=0.2),$D131 &amp; ";","")</f>
        <v/>
      </c>
      <c r="DL131" s="58">
        <f>IF(AND($H131="opportunity",$BW131=0.5,$BV131=0.1),$D131 &amp; ";","")</f>
        <v/>
      </c>
      <c r="DM131" s="58">
        <f>IF(AND($H131="opportunity",$BW131=0.5,$BV131=0.05),$D131 &amp; ";","")</f>
        <v/>
      </c>
      <c r="DN131" s="58">
        <f>IF(AND($H131="opportunity",$BW131=0.3,$BV131=0.8),$D131 &amp; ";","")</f>
        <v/>
      </c>
      <c r="DO131" s="58">
        <f>IF(AND($H131="opportunity",$BW131=0.3,$BV131=0.4),$D131 &amp; ";","")</f>
        <v/>
      </c>
      <c r="DP131" s="58">
        <f>IF(AND($H131="opportunity",$BW131=0.3,$BV131=0.2),$D131 &amp; ";","")</f>
        <v/>
      </c>
      <c r="DQ131" s="58">
        <f>IF(AND($H131="opportunity",$BW131=0.3,$BV131=0.1),$D131 &amp; ";","")</f>
        <v/>
      </c>
      <c r="DR131" s="58">
        <f>IF(AND($H131="opportunity",$BW131=0.3,$BV131=0.05),$D131 &amp; ";","")</f>
        <v/>
      </c>
      <c r="DS131" s="58">
        <f>IF(AND($H131="opportunity",$BW131=0.1,$BV131=0.8),$D131 &amp; ";","")</f>
        <v/>
      </c>
      <c r="DT131" s="58">
        <f>IF(AND($H131="opportunity",$BW131=0.1,$BV131=0.4),$D131 &amp; ";","")</f>
        <v/>
      </c>
      <c r="DU131" s="58">
        <f>IF(AND($H131="opportunity",$BW131=0.1,$BV131=0.2),$D131 &amp; ";","")</f>
        <v/>
      </c>
      <c r="DV131" s="58">
        <f>IF(AND($H131="opportunity",$BW131=0.1,$BV131=0.1),$D131 &amp; ";","")</f>
        <v/>
      </c>
      <c r="DW131" s="58">
        <f>IF(AND($H131="opportunity",$BW131=0.1,$BV131=0.05),$D131 &amp; ";","")</f>
        <v/>
      </c>
    </row>
    <row r="132">
      <c r="D132" s="60">
        <f>INDIRECT(ADDRESS(ROW()-22,COLUMN()-2,1,1,"Risk Register"))</f>
        <v/>
      </c>
      <c r="E132" s="143">
        <f>INDIRECT(ADDRESS(ROW()-22,COLUMN()-1,1,1,"Risk Register"))</f>
        <v/>
      </c>
      <c r="G132" s="56">
        <f>INDIRECT(ADDRESS(ROW()-22,COLUMN()+10,1,1,"Risk Register"))</f>
        <v/>
      </c>
      <c r="H132" s="60">
        <f>INDIRECT(ADDRESS(ROW()-22,COLUMN()+8,1,1,"Risk Register"))</f>
        <v/>
      </c>
      <c r="I132" s="54">
        <f>INDIRECT(ADDRESS(ROW()-22,COLUMN()+3,1,1,"Risk Register"))</f>
        <v/>
      </c>
      <c r="J132" s="143">
        <f>INDIRECT(ADDRESS(ROW()-22,COLUMN()+12,1,1,"Risk Register"))</f>
        <v/>
      </c>
      <c r="K132" s="143">
        <f>INDIRECT(ADDRESS(ROW()-22,COLUMN()-2,1,1,"Risk Register"))</f>
        <v/>
      </c>
      <c r="L132" s="176">
        <f>INDIRECT(ADDRESS(ROW()-22,COLUMN()+15,1,1,"Risk Register"))</f>
        <v/>
      </c>
      <c r="M132" s="54">
        <f>INDIRECT(ADDRESS(ROW()-22,COLUMN()+13,1,1,"Risk Register"))</f>
        <v/>
      </c>
      <c r="N132" s="143">
        <f>INDIRECT(ADDRESS(ROW()-22,COLUMN()-9,1,1,"Risk Register"))</f>
        <v/>
      </c>
      <c r="O132" s="143">
        <f>INDIRECT(ADDRESS(ROW()-22,COLUMN()-8,1,1,"Risk Register"))</f>
        <v/>
      </c>
      <c r="P132" s="56">
        <f>INDIRECT(ADDRESS(ROW()-22,COLUMN()+18,1,1,"Risk Register"))</f>
        <v/>
      </c>
      <c r="R132" s="57">
        <f>INDIRECT(ADDRESS(ROW()-22,COLUMN()-5,1,1,"Risk Register"))</f>
        <v/>
      </c>
      <c r="S132" s="58">
        <f>INDIRECT(ADDRESS(ROW()-22,COLUMN()-4,1,1,"Risk Register"))</f>
        <v/>
      </c>
      <c r="T132" s="59">
        <f>IF(AND($H132="threat",$G132&lt;=0.05),"gn",IF(AND($H132="threat",$G132&lt;=0.14),"y",IF(AND($H132="threat", $G132&gt;=0.15),"r",IF(AND($H132="opportunity",$G132&lt;=0.05),"gn",IF(AND($H132="opportunity",$G132&lt;=0.14),"lb",IF(AND($H132="opportunity",$G132&gt;=0.15),"db","z"))))))</f>
        <v/>
      </c>
      <c r="U132" s="58">
        <f>IF(AND($H132="threat",$S132=0.9,$R132=0.05),$D132 &amp; ";","")</f>
        <v/>
      </c>
      <c r="V132" s="58">
        <f>IF(AND($H132="threat",$S132=0.9,$R132=0.1),$D132 &amp; ";","")</f>
        <v/>
      </c>
      <c r="W132" s="58">
        <f>IF(AND($H132="threat",$S132=0.9,$R132=0.2),$D132 &amp; ";","")</f>
        <v/>
      </c>
      <c r="X132" s="58">
        <f>IF(AND($H132="threat",$S132=0.9,$R132=0.4),$D132 &amp; ";","")</f>
        <v/>
      </c>
      <c r="Y132" s="58">
        <f>IF(AND($H132="threat",$S132=0.9,$R132=0.8),$D132 &amp; ";","")</f>
        <v/>
      </c>
      <c r="Z132" s="58">
        <f>IF(AND($H132="threat",$S132=0.7,$R132=0.05),$D132 &amp; ";","")</f>
        <v/>
      </c>
      <c r="AA132" s="58">
        <f>IF(AND($H132="threat",$S132=0.7,$R132=0.1),$D132 &amp; ";","")</f>
        <v/>
      </c>
      <c r="AB132" s="58">
        <f>IF(AND($H132="threat",$S132=0.7,$R132=0.2),$D132 &amp; ";","")</f>
        <v/>
      </c>
      <c r="AC132" s="58">
        <f>IF(AND($H132="threat",$S132=0.7,$R132=0.4),$D132 &amp; ";","")</f>
        <v/>
      </c>
      <c r="AD132" s="58">
        <f>IF(AND($H132="threat",$S132=0.7,$R132=0.8),$D132 &amp; ";","")</f>
        <v/>
      </c>
      <c r="AE132" s="58">
        <f>IF(AND($H132="threat",$S132=0.5,$R132=0.05),$D132 &amp; ";","")</f>
        <v/>
      </c>
      <c r="AF132" s="58">
        <f>IF(AND($H132="threat",$S132=0.5,$R132=0.1),$D132 &amp; ";","")</f>
        <v/>
      </c>
      <c r="AG132" s="58">
        <f>IF(AND($H132="threat",$S132=0.5,$R132=0.2),$D132 &amp; ";","")</f>
        <v/>
      </c>
      <c r="AH132" s="58">
        <f>IF(AND($H132="threat",$S132=0.5,$R132=0.4),$D132 &amp; ";","")</f>
        <v/>
      </c>
      <c r="AI132" s="58">
        <f>IF(AND($H132="threat",$S132=0.5,$R132=0.8),$D132 &amp; ";","")</f>
        <v/>
      </c>
      <c r="AJ132" s="58">
        <f>IF(AND($H132="threat",$S132=0.3,$R132=0.05),$D132 &amp; ";","")</f>
        <v/>
      </c>
      <c r="AK132" s="58">
        <f>IF(AND($H132="threat",$S132=0.3,$R132=0.1),$D132 &amp; ";","")</f>
        <v/>
      </c>
      <c r="AL132" s="58">
        <f>IF(AND($H132="threat",$S132=0.3,$R132=0.2),$D132 &amp; ";","")</f>
        <v/>
      </c>
      <c r="AM132" s="58">
        <f>IF(AND($H132="threat",$S132=0.3,$R132=0.4),$D132 &amp; ";","")</f>
        <v/>
      </c>
      <c r="AN132" s="58">
        <f>IF(AND($H132="threat",$S132=0.3,$R132=0.8),$D132 &amp; ";","")</f>
        <v/>
      </c>
      <c r="AO132" s="58">
        <f>IF(AND($H132="threat",$S132=0.1,$R132=0.05),$D132 &amp; ";","")</f>
        <v/>
      </c>
      <c r="AP132" s="58">
        <f>IF(AND($H132="threat",$S132=0.1,$R132=0.1),$D132 &amp; ";","")</f>
        <v/>
      </c>
      <c r="AQ132" s="58">
        <f>IF(AND($H132="threat",$S132=0.1,$R132=0.2),$D132 &amp; ";","")</f>
        <v/>
      </c>
      <c r="AR132" s="58">
        <f>IF(AND($H132="threat",$S132=0.1,$R132=0.4),$D132 &amp; ";","")</f>
        <v/>
      </c>
      <c r="AS132" s="58">
        <f>IF(AND($H132="threat",$S132=0.1,$R132=0.8),$D132 &amp; ";","")</f>
        <v/>
      </c>
      <c r="AT132" s="39" t="n"/>
      <c r="AU132" s="58">
        <f>IF(AND($H132="opportunity",$S132=0.9,$R132=0.8),$D132 &amp; ";","")</f>
        <v/>
      </c>
      <c r="AV132" s="58">
        <f>IF(AND($H132="opportunity",$S132=0.9,$R132=0.4),$D132 &amp; ";","")</f>
        <v/>
      </c>
      <c r="AW132" s="58">
        <f>IF(AND($H132="opportunity",$S132=0.9,$R132=0.2),$D132 &amp; ";","")</f>
        <v/>
      </c>
      <c r="AX132" s="58">
        <f>IF(AND($H132="opportunity",$S132=0.9,$R132=0.1),$D132 &amp; ";","")</f>
        <v/>
      </c>
      <c r="AY132" s="58">
        <f>IF(AND($H132="opportunity",$S132=0.9,$R132=0.05),$D132 &amp; ";","")</f>
        <v/>
      </c>
      <c r="AZ132" s="58">
        <f>IF(AND($H132="opportunity",$S132=0.7,$R132=0.8),$D132 &amp; ";","")</f>
        <v/>
      </c>
      <c r="BA132" s="58">
        <f>IF(AND($H132="opportunity",$S132=0.7,$R132=0.4),$D132 &amp; ";","")</f>
        <v/>
      </c>
      <c r="BB132" s="58">
        <f>IF(AND($H132="opportunity",$S132=0.7,$R132=0.2),$D132 &amp; ";","")</f>
        <v/>
      </c>
      <c r="BC132" s="58">
        <f>IF(AND($H132="opportunity",$S132=0.7,$R132=0.1),$D132 &amp; ";","")</f>
        <v/>
      </c>
      <c r="BD132" s="58">
        <f>IF(AND($H132="opportunity",$S132=0.7,$R132=0.05),$D132 &amp; ";","")</f>
        <v/>
      </c>
      <c r="BE132" s="58">
        <f>IF(AND($H132="opportunity",$S132=0.5,$R132=0.8),$D132 &amp; ";","")</f>
        <v/>
      </c>
      <c r="BF132" s="58">
        <f>IF(AND($H132="opportunity",$S132=0.5,$R132=0.4),$D132 &amp; ";","")</f>
        <v/>
      </c>
      <c r="BG132" s="58">
        <f>IF(AND($H132="opportunity",$S132=0.5,$R132=0.2),$D132 &amp; ";","")</f>
        <v/>
      </c>
      <c r="BH132" s="58">
        <f>IF(AND($H132="opportunity",$S132=0.5,$R132=0.1),$D132 &amp; ";","")</f>
        <v/>
      </c>
      <c r="BI132" s="58">
        <f>IF(AND($H132="opportunity",$S132=0.5,$R132=0.05),$D132 &amp; ";","")</f>
        <v/>
      </c>
      <c r="BJ132" s="58">
        <f>IF(AND($H132="opportunity",$S132=0.3,$R132=0.8),$D132 &amp; ";","")</f>
        <v/>
      </c>
      <c r="BK132" s="58">
        <f>IF(AND($H132="opportunity",$S132=0.3,$R132=0.4),$D132 &amp; ";","")</f>
        <v/>
      </c>
      <c r="BL132" s="58">
        <f>IF(AND($H132="opportunity",$S132=0.3,$R132=0.2),$D132 &amp; ";","")</f>
        <v/>
      </c>
      <c r="BM132" s="58">
        <f>IF(AND($H132="opportunity",$S132=0.3,$R132=0.1),$D132 &amp; ";","")</f>
        <v/>
      </c>
      <c r="BN132" s="58">
        <f>IF(AND($H132="opportunity",$S132=0.3,$R132=0.05),$D132 &amp; ";","")</f>
        <v/>
      </c>
      <c r="BO132" s="58">
        <f>IF(AND($H132="opportunity",$S132=0.1,$R132=0.8),$D132 &amp; ";","")</f>
        <v/>
      </c>
      <c r="BP132" s="58">
        <f>IF(AND($H132="opportunity",$S132=0.1,$R132=0.4),$D132 &amp; ";","")</f>
        <v/>
      </c>
      <c r="BQ132" s="58">
        <f>IF(AND($H132="opportunity",$S132=0.1,$R132=0.2),$D132 &amp; ";","")</f>
        <v/>
      </c>
      <c r="BR132" s="58">
        <f>IF(AND($H132="opportunity",$S132=0.1,$R132=0.1),$D132 &amp; ";","")</f>
        <v/>
      </c>
      <c r="BS132" s="58">
        <f>IF(AND($H132="opportunity",$S132=0.1,$R132=0.05),$D132 &amp; ";","")</f>
        <v/>
      </c>
      <c r="BV132" s="57">
        <f>INDIRECT(ADDRESS(ROW()-22,COLUMN()-45,1,1,"Risk Register"))</f>
        <v/>
      </c>
      <c r="BW132" s="58">
        <f>INDIRECT(ADDRESS(ROW()-22,COLUMN()-44,1,1,"Risk Register"))</f>
        <v/>
      </c>
      <c r="BX132" s="59">
        <f>IF(AND($H132="threat",$P132&lt;=0.05),"gn",IF(AND($H132="threat",$P132&lt;=0.14),"y",IF(AND($H132="threat", $P132&gt;=0.15),"r",IF(AND($H132="opportunity",$P132&lt;=0.05),"gn",IF(AND($H132="opportunity",$P132&lt;=0.14),"lb",IF(AND($H132="opportunity",$P132&gt;=0.15),"db","z"))))))</f>
        <v/>
      </c>
      <c r="BY132" s="58">
        <f>IF(AND($H132="threat",$BW132=0.9,$BV132=0.05),$D132 &amp; ";","")</f>
        <v/>
      </c>
      <c r="BZ132" s="58">
        <f>IF(AND($H132="threat",$BW132=0.9,$BV132=0.1),$D132 &amp; ";","")</f>
        <v/>
      </c>
      <c r="CA132" s="58">
        <f>IF(AND($H132="threat",$BW132=0.9,$BV132=0.2),$D132 &amp; ";","")</f>
        <v/>
      </c>
      <c r="CB132" s="58">
        <f>IF(AND($H132="threat",$BW132=0.9,$BV132=0.4),$D132 &amp; ";","")</f>
        <v/>
      </c>
      <c r="CC132" s="58">
        <f>IF(AND($H132="threat",$BW132=0.9,$BV132=0.8),$D132 &amp; ";","")</f>
        <v/>
      </c>
      <c r="CD132" s="58">
        <f>IF(AND($H132="threat",$BW132=0.7,$BV132=0.05),$D132 &amp; ";","")</f>
        <v/>
      </c>
      <c r="CE132" s="58">
        <f>IF(AND($H132="threat",$BW132=0.7,$BV132=0.1),$D132 &amp; ";","")</f>
        <v/>
      </c>
      <c r="CF132" s="58">
        <f>IF(AND($H132="threat",$BW132=0.7,$BV132=0.2),$D132 &amp; ";","")</f>
        <v/>
      </c>
      <c r="CG132" s="58">
        <f>IF(AND($H132="threat",$BW132=0.7,$BV132=0.4),$D132 &amp; ";","")</f>
        <v/>
      </c>
      <c r="CH132" s="58">
        <f>IF(AND($H132="threat",$BW132=0.7,$BV132=0.8),$D132 &amp; ";","")</f>
        <v/>
      </c>
      <c r="CI132" s="58">
        <f>IF(AND($H132="threat",$BW132=0.5,$BV132=0.05),$D132 &amp; ";","")</f>
        <v/>
      </c>
      <c r="CJ132" s="58">
        <f>IF(AND($H132="threat",$BW132=0.5,$BV132=0.1),$D132 &amp; ";","")</f>
        <v/>
      </c>
      <c r="CK132" s="58">
        <f>IF(AND($H132="threat",$BW132=0.5,$BV132=0.2),$D132 &amp; ";","")</f>
        <v/>
      </c>
      <c r="CL132" s="58">
        <f>IF(AND($H132="threat",$BW132=0.5,$BV132=0.4),$D132 &amp; ";","")</f>
        <v/>
      </c>
      <c r="CM132" s="58">
        <f>IF(AND($H132="threat",$BW132=0.5,$BV132=0.8),$D132 &amp; ";","")</f>
        <v/>
      </c>
      <c r="CN132" s="58">
        <f>IF(AND($H132="threat",$BW132=0.3,$BV132=0.05),$D132 &amp; ";","")</f>
        <v/>
      </c>
      <c r="CO132" s="58">
        <f>IF(AND($H132="threat",$BW132=0.3,$BV132=0.1),$D132 &amp; ";","")</f>
        <v/>
      </c>
      <c r="CP132" s="58">
        <f>IF(AND($H132="threat",$BW132=0.3,$BV132=0.2),$D132 &amp; ";","")</f>
        <v/>
      </c>
      <c r="CQ132" s="58">
        <f>IF(AND($H132="threat",$BW132=0.3,$BV132=0.4),$D132 &amp; ";","")</f>
        <v/>
      </c>
      <c r="CR132" s="58">
        <f>IF(AND($H132="threat",$BW132=0.3,$BV132=0.8),$D132 &amp; ";","")</f>
        <v/>
      </c>
      <c r="CS132" s="58">
        <f>IF(AND($H132="threat",$BW132=0.1,$BV132=0.05),$D132 &amp; ";","")</f>
        <v/>
      </c>
      <c r="CT132" s="58">
        <f>IF(AND($H132="threat",$BW132=0.1,$BV132=0.1),$D132 &amp; ";","")</f>
        <v/>
      </c>
      <c r="CU132" s="58">
        <f>IF(AND($H132="threat",$BW132=0.1,$BV132=0.2),$D132 &amp; ";","")</f>
        <v/>
      </c>
      <c r="CV132" s="58">
        <f>IF(AND($H132="threat",$BW132=0.1,$BV132=0.4),$D132 &amp; ";","")</f>
        <v/>
      </c>
      <c r="CW132" s="58">
        <f>IF(AND($H132="threat",$BW132=0.1,$BV132=0.8),$D132 &amp; ";","")</f>
        <v/>
      </c>
      <c r="CX132" s="39" t="n"/>
      <c r="CY132" s="58">
        <f>IF(AND($H132="opportunity",$BW132=0.9,$BV132=0.8),$D132 &amp; ";","")</f>
        <v/>
      </c>
      <c r="CZ132" s="58">
        <f>IF(AND($H132="opportunity",$BW132=0.9,$BV132=0.4),$D132 &amp; ";","")</f>
        <v/>
      </c>
      <c r="DA132" s="58">
        <f>IF(AND($H132="opportunity",$BW132=0.9,$BV132=0.2),$D132 &amp; ";","")</f>
        <v/>
      </c>
      <c r="DB132" s="58">
        <f>IF(AND($H132="opportunity",$BW132=0.9,$BV132=0.1),$D132 &amp; ";","")</f>
        <v/>
      </c>
      <c r="DC132" s="58">
        <f>IF(AND($H132="opportunity",$BW132=0.9,$BV132=0.05),$D132 &amp; ";","")</f>
        <v/>
      </c>
      <c r="DD132" s="58">
        <f>IF(AND($H132="opportunity",$BW132=0.7,$BV132=0.8),$D132 &amp; ";","")</f>
        <v/>
      </c>
      <c r="DE132" s="58">
        <f>IF(AND($H132="opportunity",$BW132=0.7,$BV132=0.4),$D132 &amp; ";","")</f>
        <v/>
      </c>
      <c r="DF132" s="58">
        <f>IF(AND($H132="opportunity",$BW132=0.7,$BV132=0.2),$D132 &amp; ";","")</f>
        <v/>
      </c>
      <c r="DG132" s="58">
        <f>IF(AND($H132="opportunity",$BW132=0.7,$BV132=0.1),$D132 &amp; ";","")</f>
        <v/>
      </c>
      <c r="DH132" s="58">
        <f>IF(AND($H132="opportunity",$BW132=0.7,$BV132=0.05),$D132 &amp; ";","")</f>
        <v/>
      </c>
      <c r="DI132" s="58">
        <f>IF(AND($H132="opportunity",$BW132=0.5,$BV132=0.8),$D132 &amp; ";","")</f>
        <v/>
      </c>
      <c r="DJ132" s="58">
        <f>IF(AND($H132="opportunity",$BW132=0.5,$BV132=0.4),$D132 &amp; ";","")</f>
        <v/>
      </c>
      <c r="DK132" s="58">
        <f>IF(AND($H132="opportunity",$BW132=0.5,$BV132=0.2),$D132 &amp; ";","")</f>
        <v/>
      </c>
      <c r="DL132" s="58">
        <f>IF(AND($H132="opportunity",$BW132=0.5,$BV132=0.1),$D132 &amp; ";","")</f>
        <v/>
      </c>
      <c r="DM132" s="58">
        <f>IF(AND($H132="opportunity",$BW132=0.5,$BV132=0.05),$D132 &amp; ";","")</f>
        <v/>
      </c>
      <c r="DN132" s="58">
        <f>IF(AND($H132="opportunity",$BW132=0.3,$BV132=0.8),$D132 &amp; ";","")</f>
        <v/>
      </c>
      <c r="DO132" s="58">
        <f>IF(AND($H132="opportunity",$BW132=0.3,$BV132=0.4),$D132 &amp; ";","")</f>
        <v/>
      </c>
      <c r="DP132" s="58">
        <f>IF(AND($H132="opportunity",$BW132=0.3,$BV132=0.2),$D132 &amp; ";","")</f>
        <v/>
      </c>
      <c r="DQ132" s="58">
        <f>IF(AND($H132="opportunity",$BW132=0.3,$BV132=0.1),$D132 &amp; ";","")</f>
        <v/>
      </c>
      <c r="DR132" s="58">
        <f>IF(AND($H132="opportunity",$BW132=0.3,$BV132=0.05),$D132 &amp; ";","")</f>
        <v/>
      </c>
      <c r="DS132" s="58">
        <f>IF(AND($H132="opportunity",$BW132=0.1,$BV132=0.8),$D132 &amp; ";","")</f>
        <v/>
      </c>
      <c r="DT132" s="58">
        <f>IF(AND($H132="opportunity",$BW132=0.1,$BV132=0.4),$D132 &amp; ";","")</f>
        <v/>
      </c>
      <c r="DU132" s="58">
        <f>IF(AND($H132="opportunity",$BW132=0.1,$BV132=0.2),$D132 &amp; ";","")</f>
        <v/>
      </c>
      <c r="DV132" s="58">
        <f>IF(AND($H132="opportunity",$BW132=0.1,$BV132=0.1),$D132 &amp; ";","")</f>
        <v/>
      </c>
      <c r="DW132" s="58">
        <f>IF(AND($H132="opportunity",$BW132=0.1,$BV132=0.05),$D132 &amp; ";","")</f>
        <v/>
      </c>
    </row>
    <row r="133">
      <c r="D133" s="60">
        <f>INDIRECT(ADDRESS(ROW()-22,COLUMN()-2,1,1,"Risk Register"))</f>
        <v/>
      </c>
      <c r="E133" s="143">
        <f>INDIRECT(ADDRESS(ROW()-22,COLUMN()-1,1,1,"Risk Register"))</f>
        <v/>
      </c>
      <c r="G133" s="56">
        <f>INDIRECT(ADDRESS(ROW()-22,COLUMN()+10,1,1,"Risk Register"))</f>
        <v/>
      </c>
      <c r="H133" s="60">
        <f>INDIRECT(ADDRESS(ROW()-22,COLUMN()+8,1,1,"Risk Register"))</f>
        <v/>
      </c>
      <c r="I133" s="54">
        <f>INDIRECT(ADDRESS(ROW()-22,COLUMN()+3,1,1,"Risk Register"))</f>
        <v/>
      </c>
      <c r="J133" s="143">
        <f>INDIRECT(ADDRESS(ROW()-22,COLUMN()+12,1,1,"Risk Register"))</f>
        <v/>
      </c>
      <c r="K133" s="143">
        <f>INDIRECT(ADDRESS(ROW()-22,COLUMN()-2,1,1,"Risk Register"))</f>
        <v/>
      </c>
      <c r="L133" s="176">
        <f>INDIRECT(ADDRESS(ROW()-22,COLUMN()+15,1,1,"Risk Register"))</f>
        <v/>
      </c>
      <c r="M133" s="54">
        <f>INDIRECT(ADDRESS(ROW()-22,COLUMN()+13,1,1,"Risk Register"))</f>
        <v/>
      </c>
      <c r="N133" s="143">
        <f>INDIRECT(ADDRESS(ROW()-22,COLUMN()-9,1,1,"Risk Register"))</f>
        <v/>
      </c>
      <c r="O133" s="143">
        <f>INDIRECT(ADDRESS(ROW()-22,COLUMN()-8,1,1,"Risk Register"))</f>
        <v/>
      </c>
      <c r="P133" s="56">
        <f>INDIRECT(ADDRESS(ROW()-22,COLUMN()+18,1,1,"Risk Register"))</f>
        <v/>
      </c>
      <c r="R133" s="57">
        <f>INDIRECT(ADDRESS(ROW()-22,COLUMN()-5,1,1,"Risk Register"))</f>
        <v/>
      </c>
      <c r="S133" s="58">
        <f>INDIRECT(ADDRESS(ROW()-22,COLUMN()-4,1,1,"Risk Register"))</f>
        <v/>
      </c>
      <c r="T133" s="59">
        <f>IF(AND($H133="threat",$G133&lt;=0.05),"gn",IF(AND($H133="threat",$G133&lt;=0.14),"y",IF(AND($H133="threat", $G133&gt;=0.15),"r",IF(AND($H133="opportunity",$G133&lt;=0.05),"gn",IF(AND($H133="opportunity",$G133&lt;=0.14),"lb",IF(AND($H133="opportunity",$G133&gt;=0.15),"db","z"))))))</f>
        <v/>
      </c>
      <c r="U133" s="58">
        <f>IF(AND($H133="threat",$S133=0.9,$R133=0.05),$D133 &amp; ";","")</f>
        <v/>
      </c>
      <c r="V133" s="58">
        <f>IF(AND($H133="threat",$S133=0.9,$R133=0.1),$D133 &amp; ";","")</f>
        <v/>
      </c>
      <c r="W133" s="58">
        <f>IF(AND($H133="threat",$S133=0.9,$R133=0.2),$D133 &amp; ";","")</f>
        <v/>
      </c>
      <c r="X133" s="58">
        <f>IF(AND($H133="threat",$S133=0.9,$R133=0.4),$D133 &amp; ";","")</f>
        <v/>
      </c>
      <c r="Y133" s="58">
        <f>IF(AND($H133="threat",$S133=0.9,$R133=0.8),$D133 &amp; ";","")</f>
        <v/>
      </c>
      <c r="Z133" s="58">
        <f>IF(AND($H133="threat",$S133=0.7,$R133=0.05),$D133 &amp; ";","")</f>
        <v/>
      </c>
      <c r="AA133" s="58">
        <f>IF(AND($H133="threat",$S133=0.7,$R133=0.1),$D133 &amp; ";","")</f>
        <v/>
      </c>
      <c r="AB133" s="58">
        <f>IF(AND($H133="threat",$S133=0.7,$R133=0.2),$D133 &amp; ";","")</f>
        <v/>
      </c>
      <c r="AC133" s="58">
        <f>IF(AND($H133="threat",$S133=0.7,$R133=0.4),$D133 &amp; ";","")</f>
        <v/>
      </c>
      <c r="AD133" s="58">
        <f>IF(AND($H133="threat",$S133=0.7,$R133=0.8),$D133 &amp; ";","")</f>
        <v/>
      </c>
      <c r="AE133" s="58">
        <f>IF(AND($H133="threat",$S133=0.5,$R133=0.05),$D133 &amp; ";","")</f>
        <v/>
      </c>
      <c r="AF133" s="58">
        <f>IF(AND($H133="threat",$S133=0.5,$R133=0.1),$D133 &amp; ";","")</f>
        <v/>
      </c>
      <c r="AG133" s="58">
        <f>IF(AND($H133="threat",$S133=0.5,$R133=0.2),$D133 &amp; ";","")</f>
        <v/>
      </c>
      <c r="AH133" s="58">
        <f>IF(AND($H133="threat",$S133=0.5,$R133=0.4),$D133 &amp; ";","")</f>
        <v/>
      </c>
      <c r="AI133" s="58">
        <f>IF(AND($H133="threat",$S133=0.5,$R133=0.8),$D133 &amp; ";","")</f>
        <v/>
      </c>
      <c r="AJ133" s="58">
        <f>IF(AND($H133="threat",$S133=0.3,$R133=0.05),$D133 &amp; ";","")</f>
        <v/>
      </c>
      <c r="AK133" s="58">
        <f>IF(AND($H133="threat",$S133=0.3,$R133=0.1),$D133 &amp; ";","")</f>
        <v/>
      </c>
      <c r="AL133" s="58">
        <f>IF(AND($H133="threat",$S133=0.3,$R133=0.2),$D133 &amp; ";","")</f>
        <v/>
      </c>
      <c r="AM133" s="58">
        <f>IF(AND($H133="threat",$S133=0.3,$R133=0.4),$D133 &amp; ";","")</f>
        <v/>
      </c>
      <c r="AN133" s="58">
        <f>IF(AND($H133="threat",$S133=0.3,$R133=0.8),$D133 &amp; ";","")</f>
        <v/>
      </c>
      <c r="AO133" s="58">
        <f>IF(AND($H133="threat",$S133=0.1,$R133=0.05),$D133 &amp; ";","")</f>
        <v/>
      </c>
      <c r="AP133" s="58">
        <f>IF(AND($H133="threat",$S133=0.1,$R133=0.1),$D133 &amp; ";","")</f>
        <v/>
      </c>
      <c r="AQ133" s="58">
        <f>IF(AND($H133="threat",$S133=0.1,$R133=0.2),$D133 &amp; ";","")</f>
        <v/>
      </c>
      <c r="AR133" s="58">
        <f>IF(AND($H133="threat",$S133=0.1,$R133=0.4),$D133 &amp; ";","")</f>
        <v/>
      </c>
      <c r="AS133" s="58">
        <f>IF(AND($H133="threat",$S133=0.1,$R133=0.8),$D133 &amp; ";","")</f>
        <v/>
      </c>
      <c r="AT133" s="39" t="n"/>
      <c r="AU133" s="58">
        <f>IF(AND($H133="opportunity",$S133=0.9,$R133=0.8),$D133 &amp; ";","")</f>
        <v/>
      </c>
      <c r="AV133" s="58">
        <f>IF(AND($H133="opportunity",$S133=0.9,$R133=0.4),$D133 &amp; ";","")</f>
        <v/>
      </c>
      <c r="AW133" s="58">
        <f>IF(AND($H133="opportunity",$S133=0.9,$R133=0.2),$D133 &amp; ";","")</f>
        <v/>
      </c>
      <c r="AX133" s="58">
        <f>IF(AND($H133="opportunity",$S133=0.9,$R133=0.1),$D133 &amp; ";","")</f>
        <v/>
      </c>
      <c r="AY133" s="58">
        <f>IF(AND($H133="opportunity",$S133=0.9,$R133=0.05),$D133 &amp; ";","")</f>
        <v/>
      </c>
      <c r="AZ133" s="58">
        <f>IF(AND($H133="opportunity",$S133=0.7,$R133=0.8),$D133 &amp; ";","")</f>
        <v/>
      </c>
      <c r="BA133" s="58">
        <f>IF(AND($H133="opportunity",$S133=0.7,$R133=0.4),$D133 &amp; ";","")</f>
        <v/>
      </c>
      <c r="BB133" s="58">
        <f>IF(AND($H133="opportunity",$S133=0.7,$R133=0.2),$D133 &amp; ";","")</f>
        <v/>
      </c>
      <c r="BC133" s="58">
        <f>IF(AND($H133="opportunity",$S133=0.7,$R133=0.1),$D133 &amp; ";","")</f>
        <v/>
      </c>
      <c r="BD133" s="58">
        <f>IF(AND($H133="opportunity",$S133=0.7,$R133=0.05),$D133 &amp; ";","")</f>
        <v/>
      </c>
      <c r="BE133" s="58">
        <f>IF(AND($H133="opportunity",$S133=0.5,$R133=0.8),$D133 &amp; ";","")</f>
        <v/>
      </c>
      <c r="BF133" s="58">
        <f>IF(AND($H133="opportunity",$S133=0.5,$R133=0.4),$D133 &amp; ";","")</f>
        <v/>
      </c>
      <c r="BG133" s="58">
        <f>IF(AND($H133="opportunity",$S133=0.5,$R133=0.2),$D133 &amp; ";","")</f>
        <v/>
      </c>
      <c r="BH133" s="58">
        <f>IF(AND($H133="opportunity",$S133=0.5,$R133=0.1),$D133 &amp; ";","")</f>
        <v/>
      </c>
      <c r="BI133" s="58">
        <f>IF(AND($H133="opportunity",$S133=0.5,$R133=0.05),$D133 &amp; ";","")</f>
        <v/>
      </c>
      <c r="BJ133" s="58">
        <f>IF(AND($H133="opportunity",$S133=0.3,$R133=0.8),$D133 &amp; ";","")</f>
        <v/>
      </c>
      <c r="BK133" s="58">
        <f>IF(AND($H133="opportunity",$S133=0.3,$R133=0.4),$D133 &amp; ";","")</f>
        <v/>
      </c>
      <c r="BL133" s="58">
        <f>IF(AND($H133="opportunity",$S133=0.3,$R133=0.2),$D133 &amp; ";","")</f>
        <v/>
      </c>
      <c r="BM133" s="58">
        <f>IF(AND($H133="opportunity",$S133=0.3,$R133=0.1),$D133 &amp; ";","")</f>
        <v/>
      </c>
      <c r="BN133" s="58">
        <f>IF(AND($H133="opportunity",$S133=0.3,$R133=0.05),$D133 &amp; ";","")</f>
        <v/>
      </c>
      <c r="BO133" s="58">
        <f>IF(AND($H133="opportunity",$S133=0.1,$R133=0.8),$D133 &amp; ";","")</f>
        <v/>
      </c>
      <c r="BP133" s="58">
        <f>IF(AND($H133="opportunity",$S133=0.1,$R133=0.4),$D133 &amp; ";","")</f>
        <v/>
      </c>
      <c r="BQ133" s="58">
        <f>IF(AND($H133="opportunity",$S133=0.1,$R133=0.2),$D133 &amp; ";","")</f>
        <v/>
      </c>
      <c r="BR133" s="58">
        <f>IF(AND($H133="opportunity",$S133=0.1,$R133=0.1),$D133 &amp; ";","")</f>
        <v/>
      </c>
      <c r="BS133" s="58">
        <f>IF(AND($H133="opportunity",$S133=0.1,$R133=0.05),$D133 &amp; ";","")</f>
        <v/>
      </c>
      <c r="BV133" s="57">
        <f>INDIRECT(ADDRESS(ROW()-22,COLUMN()-45,1,1,"Risk Register"))</f>
        <v/>
      </c>
      <c r="BW133" s="58">
        <f>INDIRECT(ADDRESS(ROW()-22,COLUMN()-44,1,1,"Risk Register"))</f>
        <v/>
      </c>
      <c r="BX133" s="59">
        <f>IF(AND($H133="threat",$P133&lt;=0.05),"gn",IF(AND($H133="threat",$P133&lt;=0.14),"y",IF(AND($H133="threat", $P133&gt;=0.15),"r",IF(AND($H133="opportunity",$P133&lt;=0.05),"gn",IF(AND($H133="opportunity",$P133&lt;=0.14),"lb",IF(AND($H133="opportunity",$P133&gt;=0.15),"db","z"))))))</f>
        <v/>
      </c>
      <c r="BY133" s="58">
        <f>IF(AND($H133="threat",$BW133=0.9,$BV133=0.05),$D133 &amp; ";","")</f>
        <v/>
      </c>
      <c r="BZ133" s="58">
        <f>IF(AND($H133="threat",$BW133=0.9,$BV133=0.1),$D133 &amp; ";","")</f>
        <v/>
      </c>
      <c r="CA133" s="58">
        <f>IF(AND($H133="threat",$BW133=0.9,$BV133=0.2),$D133 &amp; ";","")</f>
        <v/>
      </c>
      <c r="CB133" s="58">
        <f>IF(AND($H133="threat",$BW133=0.9,$BV133=0.4),$D133 &amp; ";","")</f>
        <v/>
      </c>
      <c r="CC133" s="58">
        <f>IF(AND($H133="threat",$BW133=0.9,$BV133=0.8),$D133 &amp; ";","")</f>
        <v/>
      </c>
      <c r="CD133" s="58">
        <f>IF(AND($H133="threat",$BW133=0.7,$BV133=0.05),$D133 &amp; ";","")</f>
        <v/>
      </c>
      <c r="CE133" s="58">
        <f>IF(AND($H133="threat",$BW133=0.7,$BV133=0.1),$D133 &amp; ";","")</f>
        <v/>
      </c>
      <c r="CF133" s="58">
        <f>IF(AND($H133="threat",$BW133=0.7,$BV133=0.2),$D133 &amp; ";","")</f>
        <v/>
      </c>
      <c r="CG133" s="58">
        <f>IF(AND($H133="threat",$BW133=0.7,$BV133=0.4),$D133 &amp; ";","")</f>
        <v/>
      </c>
      <c r="CH133" s="58">
        <f>IF(AND($H133="threat",$BW133=0.7,$BV133=0.8),$D133 &amp; ";","")</f>
        <v/>
      </c>
      <c r="CI133" s="58">
        <f>IF(AND($H133="threat",$BW133=0.5,$BV133=0.05),$D133 &amp; ";","")</f>
        <v/>
      </c>
      <c r="CJ133" s="58">
        <f>IF(AND($H133="threat",$BW133=0.5,$BV133=0.1),$D133 &amp; ";","")</f>
        <v/>
      </c>
      <c r="CK133" s="58">
        <f>IF(AND($H133="threat",$BW133=0.5,$BV133=0.2),$D133 &amp; ";","")</f>
        <v/>
      </c>
      <c r="CL133" s="58">
        <f>IF(AND($H133="threat",$BW133=0.5,$BV133=0.4),$D133 &amp; ";","")</f>
        <v/>
      </c>
      <c r="CM133" s="58">
        <f>IF(AND($H133="threat",$BW133=0.5,$BV133=0.8),$D133 &amp; ";","")</f>
        <v/>
      </c>
      <c r="CN133" s="58">
        <f>IF(AND($H133="threat",$BW133=0.3,$BV133=0.05),$D133 &amp; ";","")</f>
        <v/>
      </c>
      <c r="CO133" s="58">
        <f>IF(AND($H133="threat",$BW133=0.3,$BV133=0.1),$D133 &amp; ";","")</f>
        <v/>
      </c>
      <c r="CP133" s="58">
        <f>IF(AND($H133="threat",$BW133=0.3,$BV133=0.2),$D133 &amp; ";","")</f>
        <v/>
      </c>
      <c r="CQ133" s="58">
        <f>IF(AND($H133="threat",$BW133=0.3,$BV133=0.4),$D133 &amp; ";","")</f>
        <v/>
      </c>
      <c r="CR133" s="58">
        <f>IF(AND($H133="threat",$BW133=0.3,$BV133=0.8),$D133 &amp; ";","")</f>
        <v/>
      </c>
      <c r="CS133" s="58">
        <f>IF(AND($H133="threat",$BW133=0.1,$BV133=0.05),$D133 &amp; ";","")</f>
        <v/>
      </c>
      <c r="CT133" s="58">
        <f>IF(AND($H133="threat",$BW133=0.1,$BV133=0.1),$D133 &amp; ";","")</f>
        <v/>
      </c>
      <c r="CU133" s="58">
        <f>IF(AND($H133="threat",$BW133=0.1,$BV133=0.2),$D133 &amp; ";","")</f>
        <v/>
      </c>
      <c r="CV133" s="58">
        <f>IF(AND($H133="threat",$BW133=0.1,$BV133=0.4),$D133 &amp; ";","")</f>
        <v/>
      </c>
      <c r="CW133" s="58">
        <f>IF(AND($H133="threat",$BW133=0.1,$BV133=0.8),$D133 &amp; ";","")</f>
        <v/>
      </c>
      <c r="CX133" s="39" t="n"/>
      <c r="CY133" s="58">
        <f>IF(AND($H133="opportunity",$BW133=0.9,$BV133=0.8),$D133 &amp; ";","")</f>
        <v/>
      </c>
      <c r="CZ133" s="58">
        <f>IF(AND($H133="opportunity",$BW133=0.9,$BV133=0.4),$D133 &amp; ";","")</f>
        <v/>
      </c>
      <c r="DA133" s="58">
        <f>IF(AND($H133="opportunity",$BW133=0.9,$BV133=0.2),$D133 &amp; ";","")</f>
        <v/>
      </c>
      <c r="DB133" s="58">
        <f>IF(AND($H133="opportunity",$BW133=0.9,$BV133=0.1),$D133 &amp; ";","")</f>
        <v/>
      </c>
      <c r="DC133" s="58">
        <f>IF(AND($H133="opportunity",$BW133=0.9,$BV133=0.05),$D133 &amp; ";","")</f>
        <v/>
      </c>
      <c r="DD133" s="58">
        <f>IF(AND($H133="opportunity",$BW133=0.7,$BV133=0.8),$D133 &amp; ";","")</f>
        <v/>
      </c>
      <c r="DE133" s="58">
        <f>IF(AND($H133="opportunity",$BW133=0.7,$BV133=0.4),$D133 &amp; ";","")</f>
        <v/>
      </c>
      <c r="DF133" s="58">
        <f>IF(AND($H133="opportunity",$BW133=0.7,$BV133=0.2),$D133 &amp; ";","")</f>
        <v/>
      </c>
      <c r="DG133" s="58">
        <f>IF(AND($H133="opportunity",$BW133=0.7,$BV133=0.1),$D133 &amp; ";","")</f>
        <v/>
      </c>
      <c r="DH133" s="58">
        <f>IF(AND($H133="opportunity",$BW133=0.7,$BV133=0.05),$D133 &amp; ";","")</f>
        <v/>
      </c>
      <c r="DI133" s="58">
        <f>IF(AND($H133="opportunity",$BW133=0.5,$BV133=0.8),$D133 &amp; ";","")</f>
        <v/>
      </c>
      <c r="DJ133" s="58">
        <f>IF(AND($H133="opportunity",$BW133=0.5,$BV133=0.4),$D133 &amp; ";","")</f>
        <v/>
      </c>
      <c r="DK133" s="58">
        <f>IF(AND($H133="opportunity",$BW133=0.5,$BV133=0.2),$D133 &amp; ";","")</f>
        <v/>
      </c>
      <c r="DL133" s="58">
        <f>IF(AND($H133="opportunity",$BW133=0.5,$BV133=0.1),$D133 &amp; ";","")</f>
        <v/>
      </c>
      <c r="DM133" s="58">
        <f>IF(AND($H133="opportunity",$BW133=0.5,$BV133=0.05),$D133 &amp; ";","")</f>
        <v/>
      </c>
      <c r="DN133" s="58">
        <f>IF(AND($H133="opportunity",$BW133=0.3,$BV133=0.8),$D133 &amp; ";","")</f>
        <v/>
      </c>
      <c r="DO133" s="58">
        <f>IF(AND($H133="opportunity",$BW133=0.3,$BV133=0.4),$D133 &amp; ";","")</f>
        <v/>
      </c>
      <c r="DP133" s="58">
        <f>IF(AND($H133="opportunity",$BW133=0.3,$BV133=0.2),$D133 &amp; ";","")</f>
        <v/>
      </c>
      <c r="DQ133" s="58">
        <f>IF(AND($H133="opportunity",$BW133=0.3,$BV133=0.1),$D133 &amp; ";","")</f>
        <v/>
      </c>
      <c r="DR133" s="58">
        <f>IF(AND($H133="opportunity",$BW133=0.3,$BV133=0.05),$D133 &amp; ";","")</f>
        <v/>
      </c>
      <c r="DS133" s="58">
        <f>IF(AND($H133="opportunity",$BW133=0.1,$BV133=0.8),$D133 &amp; ";","")</f>
        <v/>
      </c>
      <c r="DT133" s="58">
        <f>IF(AND($H133="opportunity",$BW133=0.1,$BV133=0.4),$D133 &amp; ";","")</f>
        <v/>
      </c>
      <c r="DU133" s="58">
        <f>IF(AND($H133="opportunity",$BW133=0.1,$BV133=0.2),$D133 &amp; ";","")</f>
        <v/>
      </c>
      <c r="DV133" s="58">
        <f>IF(AND($H133="opportunity",$BW133=0.1,$BV133=0.1),$D133 &amp; ";","")</f>
        <v/>
      </c>
      <c r="DW133" s="58">
        <f>IF(AND($H133="opportunity",$BW133=0.1,$BV133=0.05),$D133 &amp; ";","")</f>
        <v/>
      </c>
    </row>
    <row r="134">
      <c r="D134" s="60">
        <f>INDIRECT(ADDRESS(ROW()-22,COLUMN()-2,1,1,"Risk Register"))</f>
        <v/>
      </c>
      <c r="E134" s="143">
        <f>INDIRECT(ADDRESS(ROW()-22,COLUMN()-1,1,1,"Risk Register"))</f>
        <v/>
      </c>
      <c r="G134" s="56">
        <f>INDIRECT(ADDRESS(ROW()-22,COLUMN()+10,1,1,"Risk Register"))</f>
        <v/>
      </c>
      <c r="H134" s="60">
        <f>INDIRECT(ADDRESS(ROW()-22,COLUMN()+8,1,1,"Risk Register"))</f>
        <v/>
      </c>
      <c r="I134" s="54">
        <f>INDIRECT(ADDRESS(ROW()-22,COLUMN()+3,1,1,"Risk Register"))</f>
        <v/>
      </c>
      <c r="J134" s="143">
        <f>INDIRECT(ADDRESS(ROW()-22,COLUMN()+12,1,1,"Risk Register"))</f>
        <v/>
      </c>
      <c r="K134" s="143">
        <f>INDIRECT(ADDRESS(ROW()-22,COLUMN()-2,1,1,"Risk Register"))</f>
        <v/>
      </c>
      <c r="L134" s="176">
        <f>INDIRECT(ADDRESS(ROW()-22,COLUMN()+15,1,1,"Risk Register"))</f>
        <v/>
      </c>
      <c r="M134" s="54">
        <f>INDIRECT(ADDRESS(ROW()-22,COLUMN()+13,1,1,"Risk Register"))</f>
        <v/>
      </c>
      <c r="N134" s="143">
        <f>INDIRECT(ADDRESS(ROW()-22,COLUMN()-9,1,1,"Risk Register"))</f>
        <v/>
      </c>
      <c r="O134" s="143">
        <f>INDIRECT(ADDRESS(ROW()-22,COLUMN()-8,1,1,"Risk Register"))</f>
        <v/>
      </c>
      <c r="P134" s="56">
        <f>INDIRECT(ADDRESS(ROW()-22,COLUMN()+18,1,1,"Risk Register"))</f>
        <v/>
      </c>
      <c r="R134" s="57">
        <f>INDIRECT(ADDRESS(ROW()-22,COLUMN()-5,1,1,"Risk Register"))</f>
        <v/>
      </c>
      <c r="S134" s="58">
        <f>INDIRECT(ADDRESS(ROW()-22,COLUMN()-4,1,1,"Risk Register"))</f>
        <v/>
      </c>
      <c r="T134" s="59">
        <f>IF(AND($H134="threat",$G134&lt;=0.05),"gn",IF(AND($H134="threat",$G134&lt;=0.14),"y",IF(AND($H134="threat", $G134&gt;=0.15),"r",IF(AND($H134="opportunity",$G134&lt;=0.05),"gn",IF(AND($H134="opportunity",$G134&lt;=0.14),"lb",IF(AND($H134="opportunity",$G134&gt;=0.15),"db","z"))))))</f>
        <v/>
      </c>
      <c r="U134" s="58">
        <f>IF(AND($H134="threat",$S134=0.9,$R134=0.05),$D134 &amp; ";","")</f>
        <v/>
      </c>
      <c r="V134" s="58">
        <f>IF(AND($H134="threat",$S134=0.9,$R134=0.1),$D134 &amp; ";","")</f>
        <v/>
      </c>
      <c r="W134" s="58">
        <f>IF(AND($H134="threat",$S134=0.9,$R134=0.2),$D134 &amp; ";","")</f>
        <v/>
      </c>
      <c r="X134" s="58">
        <f>IF(AND($H134="threat",$S134=0.9,$R134=0.4),$D134 &amp; ";","")</f>
        <v/>
      </c>
      <c r="Y134" s="58">
        <f>IF(AND($H134="threat",$S134=0.9,$R134=0.8),$D134 &amp; ";","")</f>
        <v/>
      </c>
      <c r="Z134" s="58">
        <f>IF(AND($H134="threat",$S134=0.7,$R134=0.05),$D134 &amp; ";","")</f>
        <v/>
      </c>
      <c r="AA134" s="58">
        <f>IF(AND($H134="threat",$S134=0.7,$R134=0.1),$D134 &amp; ";","")</f>
        <v/>
      </c>
      <c r="AB134" s="58">
        <f>IF(AND($H134="threat",$S134=0.7,$R134=0.2),$D134 &amp; ";","")</f>
        <v/>
      </c>
      <c r="AC134" s="58">
        <f>IF(AND($H134="threat",$S134=0.7,$R134=0.4),$D134 &amp; ";","")</f>
        <v/>
      </c>
      <c r="AD134" s="58">
        <f>IF(AND($H134="threat",$S134=0.7,$R134=0.8),$D134 &amp; ";","")</f>
        <v/>
      </c>
      <c r="AE134" s="58">
        <f>IF(AND($H134="threat",$S134=0.5,$R134=0.05),$D134 &amp; ";","")</f>
        <v/>
      </c>
      <c r="AF134" s="58">
        <f>IF(AND($H134="threat",$S134=0.5,$R134=0.1),$D134 &amp; ";","")</f>
        <v/>
      </c>
      <c r="AG134" s="58">
        <f>IF(AND($H134="threat",$S134=0.5,$R134=0.2),$D134 &amp; ";","")</f>
        <v/>
      </c>
      <c r="AH134" s="58">
        <f>IF(AND($H134="threat",$S134=0.5,$R134=0.4),$D134 &amp; ";","")</f>
        <v/>
      </c>
      <c r="AI134" s="58">
        <f>IF(AND($H134="threat",$S134=0.5,$R134=0.8),$D134 &amp; ";","")</f>
        <v/>
      </c>
      <c r="AJ134" s="58">
        <f>IF(AND($H134="threat",$S134=0.3,$R134=0.05),$D134 &amp; ";","")</f>
        <v/>
      </c>
      <c r="AK134" s="58">
        <f>IF(AND($H134="threat",$S134=0.3,$R134=0.1),$D134 &amp; ";","")</f>
        <v/>
      </c>
      <c r="AL134" s="58">
        <f>IF(AND($H134="threat",$S134=0.3,$R134=0.2),$D134 &amp; ";","")</f>
        <v/>
      </c>
      <c r="AM134" s="58">
        <f>IF(AND($H134="threat",$S134=0.3,$R134=0.4),$D134 &amp; ";","")</f>
        <v/>
      </c>
      <c r="AN134" s="58">
        <f>IF(AND($H134="threat",$S134=0.3,$R134=0.8),$D134 &amp; ";","")</f>
        <v/>
      </c>
      <c r="AO134" s="58">
        <f>IF(AND($H134="threat",$S134=0.1,$R134=0.05),$D134 &amp; ";","")</f>
        <v/>
      </c>
      <c r="AP134" s="58">
        <f>IF(AND($H134="threat",$S134=0.1,$R134=0.1),$D134 &amp; ";","")</f>
        <v/>
      </c>
      <c r="AQ134" s="58">
        <f>IF(AND($H134="threat",$S134=0.1,$R134=0.2),$D134 &amp; ";","")</f>
        <v/>
      </c>
      <c r="AR134" s="58">
        <f>IF(AND($H134="threat",$S134=0.1,$R134=0.4),$D134 &amp; ";","")</f>
        <v/>
      </c>
      <c r="AS134" s="58">
        <f>IF(AND($H134="threat",$S134=0.1,$R134=0.8),$D134 &amp; ";","")</f>
        <v/>
      </c>
      <c r="AT134" s="39" t="n"/>
      <c r="AU134" s="58">
        <f>IF(AND($H134="opportunity",$S134=0.9,$R134=0.8),$D134 &amp; ";","")</f>
        <v/>
      </c>
      <c r="AV134" s="58">
        <f>IF(AND($H134="opportunity",$S134=0.9,$R134=0.4),$D134 &amp; ";","")</f>
        <v/>
      </c>
      <c r="AW134" s="58">
        <f>IF(AND($H134="opportunity",$S134=0.9,$R134=0.2),$D134 &amp; ";","")</f>
        <v/>
      </c>
      <c r="AX134" s="58">
        <f>IF(AND($H134="opportunity",$S134=0.9,$R134=0.1),$D134 &amp; ";","")</f>
        <v/>
      </c>
      <c r="AY134" s="58">
        <f>IF(AND($H134="opportunity",$S134=0.9,$R134=0.05),$D134 &amp; ";","")</f>
        <v/>
      </c>
      <c r="AZ134" s="58">
        <f>IF(AND($H134="opportunity",$S134=0.7,$R134=0.8),$D134 &amp; ";","")</f>
        <v/>
      </c>
      <c r="BA134" s="58">
        <f>IF(AND($H134="opportunity",$S134=0.7,$R134=0.4),$D134 &amp; ";","")</f>
        <v/>
      </c>
      <c r="BB134" s="58">
        <f>IF(AND($H134="opportunity",$S134=0.7,$R134=0.2),$D134 &amp; ";","")</f>
        <v/>
      </c>
      <c r="BC134" s="58">
        <f>IF(AND($H134="opportunity",$S134=0.7,$R134=0.1),$D134 &amp; ";","")</f>
        <v/>
      </c>
      <c r="BD134" s="58">
        <f>IF(AND($H134="opportunity",$S134=0.7,$R134=0.05),$D134 &amp; ";","")</f>
        <v/>
      </c>
      <c r="BE134" s="58">
        <f>IF(AND($H134="opportunity",$S134=0.5,$R134=0.8),$D134 &amp; ";","")</f>
        <v/>
      </c>
      <c r="BF134" s="58">
        <f>IF(AND($H134="opportunity",$S134=0.5,$R134=0.4),$D134 &amp; ";","")</f>
        <v/>
      </c>
      <c r="BG134" s="58">
        <f>IF(AND($H134="opportunity",$S134=0.5,$R134=0.2),$D134 &amp; ";","")</f>
        <v/>
      </c>
      <c r="BH134" s="58">
        <f>IF(AND($H134="opportunity",$S134=0.5,$R134=0.1),$D134 &amp; ";","")</f>
        <v/>
      </c>
      <c r="BI134" s="58">
        <f>IF(AND($H134="opportunity",$S134=0.5,$R134=0.05),$D134 &amp; ";","")</f>
        <v/>
      </c>
      <c r="BJ134" s="58">
        <f>IF(AND($H134="opportunity",$S134=0.3,$R134=0.8),$D134 &amp; ";","")</f>
        <v/>
      </c>
      <c r="BK134" s="58">
        <f>IF(AND($H134="opportunity",$S134=0.3,$R134=0.4),$D134 &amp; ";","")</f>
        <v/>
      </c>
      <c r="BL134" s="58">
        <f>IF(AND($H134="opportunity",$S134=0.3,$R134=0.2),$D134 &amp; ";","")</f>
        <v/>
      </c>
      <c r="BM134" s="58">
        <f>IF(AND($H134="opportunity",$S134=0.3,$R134=0.1),$D134 &amp; ";","")</f>
        <v/>
      </c>
      <c r="BN134" s="58">
        <f>IF(AND($H134="opportunity",$S134=0.3,$R134=0.05),$D134 &amp; ";","")</f>
        <v/>
      </c>
      <c r="BO134" s="58">
        <f>IF(AND($H134="opportunity",$S134=0.1,$R134=0.8),$D134 &amp; ";","")</f>
        <v/>
      </c>
      <c r="BP134" s="58">
        <f>IF(AND($H134="opportunity",$S134=0.1,$R134=0.4),$D134 &amp; ";","")</f>
        <v/>
      </c>
      <c r="BQ134" s="58">
        <f>IF(AND($H134="opportunity",$S134=0.1,$R134=0.2),$D134 &amp; ";","")</f>
        <v/>
      </c>
      <c r="BR134" s="58">
        <f>IF(AND($H134="opportunity",$S134=0.1,$R134=0.1),$D134 &amp; ";","")</f>
        <v/>
      </c>
      <c r="BS134" s="58">
        <f>IF(AND($H134="opportunity",$S134=0.1,$R134=0.05),$D134 &amp; ";","")</f>
        <v/>
      </c>
      <c r="BV134" s="57">
        <f>INDIRECT(ADDRESS(ROW()-22,COLUMN()-45,1,1,"Risk Register"))</f>
        <v/>
      </c>
      <c r="BW134" s="58">
        <f>INDIRECT(ADDRESS(ROW()-22,COLUMN()-44,1,1,"Risk Register"))</f>
        <v/>
      </c>
      <c r="BX134" s="59">
        <f>IF(AND($H134="threat",$P134&lt;=0.05),"gn",IF(AND($H134="threat",$P134&lt;=0.14),"y",IF(AND($H134="threat", $P134&gt;=0.15),"r",IF(AND($H134="opportunity",$P134&lt;=0.05),"gn",IF(AND($H134="opportunity",$P134&lt;=0.14),"lb",IF(AND($H134="opportunity",$P134&gt;=0.15),"db","z"))))))</f>
        <v/>
      </c>
      <c r="BY134" s="58">
        <f>IF(AND($H134="threat",$BW134=0.9,$BV134=0.05),$D134 &amp; ";","")</f>
        <v/>
      </c>
      <c r="BZ134" s="58">
        <f>IF(AND($H134="threat",$BW134=0.9,$BV134=0.1),$D134 &amp; ";","")</f>
        <v/>
      </c>
      <c r="CA134" s="58">
        <f>IF(AND($H134="threat",$BW134=0.9,$BV134=0.2),$D134 &amp; ";","")</f>
        <v/>
      </c>
      <c r="CB134" s="58">
        <f>IF(AND($H134="threat",$BW134=0.9,$BV134=0.4),$D134 &amp; ";","")</f>
        <v/>
      </c>
      <c r="CC134" s="58">
        <f>IF(AND($H134="threat",$BW134=0.9,$BV134=0.8),$D134 &amp; ";","")</f>
        <v/>
      </c>
      <c r="CD134" s="58">
        <f>IF(AND($H134="threat",$BW134=0.7,$BV134=0.05),$D134 &amp; ";","")</f>
        <v/>
      </c>
      <c r="CE134" s="58">
        <f>IF(AND($H134="threat",$BW134=0.7,$BV134=0.1),$D134 &amp; ";","")</f>
        <v/>
      </c>
      <c r="CF134" s="58">
        <f>IF(AND($H134="threat",$BW134=0.7,$BV134=0.2),$D134 &amp; ";","")</f>
        <v/>
      </c>
      <c r="CG134" s="58">
        <f>IF(AND($H134="threat",$BW134=0.7,$BV134=0.4),$D134 &amp; ";","")</f>
        <v/>
      </c>
      <c r="CH134" s="58">
        <f>IF(AND($H134="threat",$BW134=0.7,$BV134=0.8),$D134 &amp; ";","")</f>
        <v/>
      </c>
      <c r="CI134" s="58">
        <f>IF(AND($H134="threat",$BW134=0.5,$BV134=0.05),$D134 &amp; ";","")</f>
        <v/>
      </c>
      <c r="CJ134" s="58">
        <f>IF(AND($H134="threat",$BW134=0.5,$BV134=0.1),$D134 &amp; ";","")</f>
        <v/>
      </c>
      <c r="CK134" s="58">
        <f>IF(AND($H134="threat",$BW134=0.5,$BV134=0.2),$D134 &amp; ";","")</f>
        <v/>
      </c>
      <c r="CL134" s="58">
        <f>IF(AND($H134="threat",$BW134=0.5,$BV134=0.4),$D134 &amp; ";","")</f>
        <v/>
      </c>
      <c r="CM134" s="58">
        <f>IF(AND($H134="threat",$BW134=0.5,$BV134=0.8),$D134 &amp; ";","")</f>
        <v/>
      </c>
      <c r="CN134" s="58">
        <f>IF(AND($H134="threat",$BW134=0.3,$BV134=0.05),$D134 &amp; ";","")</f>
        <v/>
      </c>
      <c r="CO134" s="58">
        <f>IF(AND($H134="threat",$BW134=0.3,$BV134=0.1),$D134 &amp; ";","")</f>
        <v/>
      </c>
      <c r="CP134" s="58">
        <f>IF(AND($H134="threat",$BW134=0.3,$BV134=0.2),$D134 &amp; ";","")</f>
        <v/>
      </c>
      <c r="CQ134" s="58">
        <f>IF(AND($H134="threat",$BW134=0.3,$BV134=0.4),$D134 &amp; ";","")</f>
        <v/>
      </c>
      <c r="CR134" s="58">
        <f>IF(AND($H134="threat",$BW134=0.3,$BV134=0.8),$D134 &amp; ";","")</f>
        <v/>
      </c>
      <c r="CS134" s="58">
        <f>IF(AND($H134="threat",$BW134=0.1,$BV134=0.05),$D134 &amp; ";","")</f>
        <v/>
      </c>
      <c r="CT134" s="58">
        <f>IF(AND($H134="threat",$BW134=0.1,$BV134=0.1),$D134 &amp; ";","")</f>
        <v/>
      </c>
      <c r="CU134" s="58">
        <f>IF(AND($H134="threat",$BW134=0.1,$BV134=0.2),$D134 &amp; ";","")</f>
        <v/>
      </c>
      <c r="CV134" s="58">
        <f>IF(AND($H134="threat",$BW134=0.1,$BV134=0.4),$D134 &amp; ";","")</f>
        <v/>
      </c>
      <c r="CW134" s="58">
        <f>IF(AND($H134="threat",$BW134=0.1,$BV134=0.8),$D134 &amp; ";","")</f>
        <v/>
      </c>
      <c r="CX134" s="39" t="n"/>
      <c r="CY134" s="58">
        <f>IF(AND($H134="opportunity",$BW134=0.9,$BV134=0.8),$D134 &amp; ";","")</f>
        <v/>
      </c>
      <c r="CZ134" s="58">
        <f>IF(AND($H134="opportunity",$BW134=0.9,$BV134=0.4),$D134 &amp; ";","")</f>
        <v/>
      </c>
      <c r="DA134" s="58">
        <f>IF(AND($H134="opportunity",$BW134=0.9,$BV134=0.2),$D134 &amp; ";","")</f>
        <v/>
      </c>
      <c r="DB134" s="58">
        <f>IF(AND($H134="opportunity",$BW134=0.9,$BV134=0.1),$D134 &amp; ";","")</f>
        <v/>
      </c>
      <c r="DC134" s="58">
        <f>IF(AND($H134="opportunity",$BW134=0.9,$BV134=0.05),$D134 &amp; ";","")</f>
        <v/>
      </c>
      <c r="DD134" s="58">
        <f>IF(AND($H134="opportunity",$BW134=0.7,$BV134=0.8),$D134 &amp; ";","")</f>
        <v/>
      </c>
      <c r="DE134" s="58">
        <f>IF(AND($H134="opportunity",$BW134=0.7,$BV134=0.4),$D134 &amp; ";","")</f>
        <v/>
      </c>
      <c r="DF134" s="58">
        <f>IF(AND($H134="opportunity",$BW134=0.7,$BV134=0.2),$D134 &amp; ";","")</f>
        <v/>
      </c>
      <c r="DG134" s="58">
        <f>IF(AND($H134="opportunity",$BW134=0.7,$BV134=0.1),$D134 &amp; ";","")</f>
        <v/>
      </c>
      <c r="DH134" s="58">
        <f>IF(AND($H134="opportunity",$BW134=0.7,$BV134=0.05),$D134 &amp; ";","")</f>
        <v/>
      </c>
      <c r="DI134" s="58">
        <f>IF(AND($H134="opportunity",$BW134=0.5,$BV134=0.8),$D134 &amp; ";","")</f>
        <v/>
      </c>
      <c r="DJ134" s="58">
        <f>IF(AND($H134="opportunity",$BW134=0.5,$BV134=0.4),$D134 &amp; ";","")</f>
        <v/>
      </c>
      <c r="DK134" s="58">
        <f>IF(AND($H134="opportunity",$BW134=0.5,$BV134=0.2),$D134 &amp; ";","")</f>
        <v/>
      </c>
      <c r="DL134" s="58">
        <f>IF(AND($H134="opportunity",$BW134=0.5,$BV134=0.1),$D134 &amp; ";","")</f>
        <v/>
      </c>
      <c r="DM134" s="58">
        <f>IF(AND($H134="opportunity",$BW134=0.5,$BV134=0.05),$D134 &amp; ";","")</f>
        <v/>
      </c>
      <c r="DN134" s="58">
        <f>IF(AND($H134="opportunity",$BW134=0.3,$BV134=0.8),$D134 &amp; ";","")</f>
        <v/>
      </c>
      <c r="DO134" s="58">
        <f>IF(AND($H134="opportunity",$BW134=0.3,$BV134=0.4),$D134 &amp; ";","")</f>
        <v/>
      </c>
      <c r="DP134" s="58">
        <f>IF(AND($H134="opportunity",$BW134=0.3,$BV134=0.2),$D134 &amp; ";","")</f>
        <v/>
      </c>
      <c r="DQ134" s="58">
        <f>IF(AND($H134="opportunity",$BW134=0.3,$BV134=0.1),$D134 &amp; ";","")</f>
        <v/>
      </c>
      <c r="DR134" s="58">
        <f>IF(AND($H134="opportunity",$BW134=0.3,$BV134=0.05),$D134 &amp; ";","")</f>
        <v/>
      </c>
      <c r="DS134" s="58">
        <f>IF(AND($H134="opportunity",$BW134=0.1,$BV134=0.8),$D134 &amp; ";","")</f>
        <v/>
      </c>
      <c r="DT134" s="58">
        <f>IF(AND($H134="opportunity",$BW134=0.1,$BV134=0.4),$D134 &amp; ";","")</f>
        <v/>
      </c>
      <c r="DU134" s="58">
        <f>IF(AND($H134="opportunity",$BW134=0.1,$BV134=0.2),$D134 &amp; ";","")</f>
        <v/>
      </c>
      <c r="DV134" s="58">
        <f>IF(AND($H134="opportunity",$BW134=0.1,$BV134=0.1),$D134 &amp; ";","")</f>
        <v/>
      </c>
      <c r="DW134" s="58">
        <f>IF(AND($H134="opportunity",$BW134=0.1,$BV134=0.05),$D134 &amp; ";","")</f>
        <v/>
      </c>
    </row>
    <row r="135">
      <c r="D135" s="60">
        <f>INDIRECT(ADDRESS(ROW()-22,COLUMN()-2,1,1,"Risk Register"))</f>
        <v/>
      </c>
      <c r="E135" s="143">
        <f>INDIRECT(ADDRESS(ROW()-22,COLUMN()-1,1,1,"Risk Register"))</f>
        <v/>
      </c>
      <c r="G135" s="56">
        <f>INDIRECT(ADDRESS(ROW()-22,COLUMN()+10,1,1,"Risk Register"))</f>
        <v/>
      </c>
      <c r="H135" s="60">
        <f>INDIRECT(ADDRESS(ROW()-22,COLUMN()+8,1,1,"Risk Register"))</f>
        <v/>
      </c>
      <c r="I135" s="54">
        <f>INDIRECT(ADDRESS(ROW()-22,COLUMN()+3,1,1,"Risk Register"))</f>
        <v/>
      </c>
      <c r="J135" s="143">
        <f>INDIRECT(ADDRESS(ROW()-22,COLUMN()+12,1,1,"Risk Register"))</f>
        <v/>
      </c>
      <c r="K135" s="143">
        <f>INDIRECT(ADDRESS(ROW()-22,COLUMN()-2,1,1,"Risk Register"))</f>
        <v/>
      </c>
      <c r="L135" s="176">
        <f>INDIRECT(ADDRESS(ROW()-22,COLUMN()+15,1,1,"Risk Register"))</f>
        <v/>
      </c>
      <c r="M135" s="54">
        <f>INDIRECT(ADDRESS(ROW()-22,COLUMN()+13,1,1,"Risk Register"))</f>
        <v/>
      </c>
      <c r="N135" s="143">
        <f>INDIRECT(ADDRESS(ROW()-22,COLUMN()-9,1,1,"Risk Register"))</f>
        <v/>
      </c>
      <c r="O135" s="143">
        <f>INDIRECT(ADDRESS(ROW()-22,COLUMN()-8,1,1,"Risk Register"))</f>
        <v/>
      </c>
      <c r="P135" s="56">
        <f>INDIRECT(ADDRESS(ROW()-22,COLUMN()+18,1,1,"Risk Register"))</f>
        <v/>
      </c>
      <c r="R135" s="57">
        <f>INDIRECT(ADDRESS(ROW()-22,COLUMN()-5,1,1,"Risk Register"))</f>
        <v/>
      </c>
      <c r="S135" s="58">
        <f>INDIRECT(ADDRESS(ROW()-22,COLUMN()-4,1,1,"Risk Register"))</f>
        <v/>
      </c>
      <c r="T135" s="59">
        <f>IF(AND($H135="threat",$G135&lt;=0.05),"gn",IF(AND($H135="threat",$G135&lt;=0.14),"y",IF(AND($H135="threat", $G135&gt;=0.15),"r",IF(AND($H135="opportunity",$G135&lt;=0.05),"gn",IF(AND($H135="opportunity",$G135&lt;=0.14),"lb",IF(AND($H135="opportunity",$G135&gt;=0.15),"db","z"))))))</f>
        <v/>
      </c>
      <c r="U135" s="58">
        <f>IF(AND($H135="threat",$S135=0.9,$R135=0.05),$D135 &amp; ";","")</f>
        <v/>
      </c>
      <c r="V135" s="58">
        <f>IF(AND($H135="threat",$S135=0.9,$R135=0.1),$D135 &amp; ";","")</f>
        <v/>
      </c>
      <c r="W135" s="58">
        <f>IF(AND($H135="threat",$S135=0.9,$R135=0.2),$D135 &amp; ";","")</f>
        <v/>
      </c>
      <c r="X135" s="58">
        <f>IF(AND($H135="threat",$S135=0.9,$R135=0.4),$D135 &amp; ";","")</f>
        <v/>
      </c>
      <c r="Y135" s="58">
        <f>IF(AND($H135="threat",$S135=0.9,$R135=0.8),$D135 &amp; ";","")</f>
        <v/>
      </c>
      <c r="Z135" s="58">
        <f>IF(AND($H135="threat",$S135=0.7,$R135=0.05),$D135 &amp; ";","")</f>
        <v/>
      </c>
      <c r="AA135" s="58">
        <f>IF(AND($H135="threat",$S135=0.7,$R135=0.1),$D135 &amp; ";","")</f>
        <v/>
      </c>
      <c r="AB135" s="58">
        <f>IF(AND($H135="threat",$S135=0.7,$R135=0.2),$D135 &amp; ";","")</f>
        <v/>
      </c>
      <c r="AC135" s="58">
        <f>IF(AND($H135="threat",$S135=0.7,$R135=0.4),$D135 &amp; ";","")</f>
        <v/>
      </c>
      <c r="AD135" s="58">
        <f>IF(AND($H135="threat",$S135=0.7,$R135=0.8),$D135 &amp; ";","")</f>
        <v/>
      </c>
      <c r="AE135" s="58">
        <f>IF(AND($H135="threat",$S135=0.5,$R135=0.05),$D135 &amp; ";","")</f>
        <v/>
      </c>
      <c r="AF135" s="58">
        <f>IF(AND($H135="threat",$S135=0.5,$R135=0.1),$D135 &amp; ";","")</f>
        <v/>
      </c>
      <c r="AG135" s="58">
        <f>IF(AND($H135="threat",$S135=0.5,$R135=0.2),$D135 &amp; ";","")</f>
        <v/>
      </c>
      <c r="AH135" s="58">
        <f>IF(AND($H135="threat",$S135=0.5,$R135=0.4),$D135 &amp; ";","")</f>
        <v/>
      </c>
      <c r="AI135" s="58">
        <f>IF(AND($H135="threat",$S135=0.5,$R135=0.8),$D135 &amp; ";","")</f>
        <v/>
      </c>
      <c r="AJ135" s="58">
        <f>IF(AND($H135="threat",$S135=0.3,$R135=0.05),$D135 &amp; ";","")</f>
        <v/>
      </c>
      <c r="AK135" s="58">
        <f>IF(AND($H135="threat",$S135=0.3,$R135=0.1),$D135 &amp; ";","")</f>
        <v/>
      </c>
      <c r="AL135" s="58">
        <f>IF(AND($H135="threat",$S135=0.3,$R135=0.2),$D135 &amp; ";","")</f>
        <v/>
      </c>
      <c r="AM135" s="58">
        <f>IF(AND($H135="threat",$S135=0.3,$R135=0.4),$D135 &amp; ";","")</f>
        <v/>
      </c>
      <c r="AN135" s="58">
        <f>IF(AND($H135="threat",$S135=0.3,$R135=0.8),$D135 &amp; ";","")</f>
        <v/>
      </c>
      <c r="AO135" s="58">
        <f>IF(AND($H135="threat",$S135=0.1,$R135=0.05),$D135 &amp; ";","")</f>
        <v/>
      </c>
      <c r="AP135" s="58">
        <f>IF(AND($H135="threat",$S135=0.1,$R135=0.1),$D135 &amp; ";","")</f>
        <v/>
      </c>
      <c r="AQ135" s="58">
        <f>IF(AND($H135="threat",$S135=0.1,$R135=0.2),$D135 &amp; ";","")</f>
        <v/>
      </c>
      <c r="AR135" s="58">
        <f>IF(AND($H135="threat",$S135=0.1,$R135=0.4),$D135 &amp; ";","")</f>
        <v/>
      </c>
      <c r="AS135" s="58">
        <f>IF(AND($H135="threat",$S135=0.1,$R135=0.8),$D135 &amp; ";","")</f>
        <v/>
      </c>
      <c r="AT135" s="39" t="n"/>
      <c r="AU135" s="58">
        <f>IF(AND($H135="opportunity",$S135=0.9,$R135=0.8),$D135 &amp; ";","")</f>
        <v/>
      </c>
      <c r="AV135" s="58">
        <f>IF(AND($H135="opportunity",$S135=0.9,$R135=0.4),$D135 &amp; ";","")</f>
        <v/>
      </c>
      <c r="AW135" s="58">
        <f>IF(AND($H135="opportunity",$S135=0.9,$R135=0.2),$D135 &amp; ";","")</f>
        <v/>
      </c>
      <c r="AX135" s="58">
        <f>IF(AND($H135="opportunity",$S135=0.9,$R135=0.1),$D135 &amp; ";","")</f>
        <v/>
      </c>
      <c r="AY135" s="58">
        <f>IF(AND($H135="opportunity",$S135=0.9,$R135=0.05),$D135 &amp; ";","")</f>
        <v/>
      </c>
      <c r="AZ135" s="58">
        <f>IF(AND($H135="opportunity",$S135=0.7,$R135=0.8),$D135 &amp; ";","")</f>
        <v/>
      </c>
      <c r="BA135" s="58">
        <f>IF(AND($H135="opportunity",$S135=0.7,$R135=0.4),$D135 &amp; ";","")</f>
        <v/>
      </c>
      <c r="BB135" s="58">
        <f>IF(AND($H135="opportunity",$S135=0.7,$R135=0.2),$D135 &amp; ";","")</f>
        <v/>
      </c>
      <c r="BC135" s="58">
        <f>IF(AND($H135="opportunity",$S135=0.7,$R135=0.1),$D135 &amp; ";","")</f>
        <v/>
      </c>
      <c r="BD135" s="58">
        <f>IF(AND($H135="opportunity",$S135=0.7,$R135=0.05),$D135 &amp; ";","")</f>
        <v/>
      </c>
      <c r="BE135" s="58">
        <f>IF(AND($H135="opportunity",$S135=0.5,$R135=0.8),$D135 &amp; ";","")</f>
        <v/>
      </c>
      <c r="BF135" s="58">
        <f>IF(AND($H135="opportunity",$S135=0.5,$R135=0.4),$D135 &amp; ";","")</f>
        <v/>
      </c>
      <c r="BG135" s="58">
        <f>IF(AND($H135="opportunity",$S135=0.5,$R135=0.2),$D135 &amp; ";","")</f>
        <v/>
      </c>
      <c r="BH135" s="58">
        <f>IF(AND($H135="opportunity",$S135=0.5,$R135=0.1),$D135 &amp; ";","")</f>
        <v/>
      </c>
      <c r="BI135" s="58">
        <f>IF(AND($H135="opportunity",$S135=0.5,$R135=0.05),$D135 &amp; ";","")</f>
        <v/>
      </c>
      <c r="BJ135" s="58">
        <f>IF(AND($H135="opportunity",$S135=0.3,$R135=0.8),$D135 &amp; ";","")</f>
        <v/>
      </c>
      <c r="BK135" s="58">
        <f>IF(AND($H135="opportunity",$S135=0.3,$R135=0.4),$D135 &amp; ";","")</f>
        <v/>
      </c>
      <c r="BL135" s="58">
        <f>IF(AND($H135="opportunity",$S135=0.3,$R135=0.2),$D135 &amp; ";","")</f>
        <v/>
      </c>
      <c r="BM135" s="58">
        <f>IF(AND($H135="opportunity",$S135=0.3,$R135=0.1),$D135 &amp; ";","")</f>
        <v/>
      </c>
      <c r="BN135" s="58">
        <f>IF(AND($H135="opportunity",$S135=0.3,$R135=0.05),$D135 &amp; ";","")</f>
        <v/>
      </c>
      <c r="BO135" s="58">
        <f>IF(AND($H135="opportunity",$S135=0.1,$R135=0.8),$D135 &amp; ";","")</f>
        <v/>
      </c>
      <c r="BP135" s="58">
        <f>IF(AND($H135="opportunity",$S135=0.1,$R135=0.4),$D135 &amp; ";","")</f>
        <v/>
      </c>
      <c r="BQ135" s="58">
        <f>IF(AND($H135="opportunity",$S135=0.1,$R135=0.2),$D135 &amp; ";","")</f>
        <v/>
      </c>
      <c r="BR135" s="58">
        <f>IF(AND($H135="opportunity",$S135=0.1,$R135=0.1),$D135 &amp; ";","")</f>
        <v/>
      </c>
      <c r="BS135" s="58">
        <f>IF(AND($H135="opportunity",$S135=0.1,$R135=0.05),$D135 &amp; ";","")</f>
        <v/>
      </c>
      <c r="BV135" s="57">
        <f>INDIRECT(ADDRESS(ROW()-22,COLUMN()-45,1,1,"Risk Register"))</f>
        <v/>
      </c>
      <c r="BW135" s="58">
        <f>INDIRECT(ADDRESS(ROW()-22,COLUMN()-44,1,1,"Risk Register"))</f>
        <v/>
      </c>
      <c r="BX135" s="59">
        <f>IF(AND($H135="threat",$P135&lt;=0.05),"gn",IF(AND($H135="threat",$P135&lt;=0.14),"y",IF(AND($H135="threat", $P135&gt;=0.15),"r",IF(AND($H135="opportunity",$P135&lt;=0.05),"gn",IF(AND($H135="opportunity",$P135&lt;=0.14),"lb",IF(AND($H135="opportunity",$P135&gt;=0.15),"db","z"))))))</f>
        <v/>
      </c>
      <c r="BY135" s="58">
        <f>IF(AND($H135="threat",$BW135=0.9,$BV135=0.05),$D135 &amp; ";","")</f>
        <v/>
      </c>
      <c r="BZ135" s="58">
        <f>IF(AND($H135="threat",$BW135=0.9,$BV135=0.1),$D135 &amp; ";","")</f>
        <v/>
      </c>
      <c r="CA135" s="58">
        <f>IF(AND($H135="threat",$BW135=0.9,$BV135=0.2),$D135 &amp; ";","")</f>
        <v/>
      </c>
      <c r="CB135" s="58">
        <f>IF(AND($H135="threat",$BW135=0.9,$BV135=0.4),$D135 &amp; ";","")</f>
        <v/>
      </c>
      <c r="CC135" s="58">
        <f>IF(AND($H135="threat",$BW135=0.9,$BV135=0.8),$D135 &amp; ";","")</f>
        <v/>
      </c>
      <c r="CD135" s="58">
        <f>IF(AND($H135="threat",$BW135=0.7,$BV135=0.05),$D135 &amp; ";","")</f>
        <v/>
      </c>
      <c r="CE135" s="58">
        <f>IF(AND($H135="threat",$BW135=0.7,$BV135=0.1),$D135 &amp; ";","")</f>
        <v/>
      </c>
      <c r="CF135" s="58">
        <f>IF(AND($H135="threat",$BW135=0.7,$BV135=0.2),$D135 &amp; ";","")</f>
        <v/>
      </c>
      <c r="CG135" s="58">
        <f>IF(AND($H135="threat",$BW135=0.7,$BV135=0.4),$D135 &amp; ";","")</f>
        <v/>
      </c>
      <c r="CH135" s="58">
        <f>IF(AND($H135="threat",$BW135=0.7,$BV135=0.8),$D135 &amp; ";","")</f>
        <v/>
      </c>
      <c r="CI135" s="58">
        <f>IF(AND($H135="threat",$BW135=0.5,$BV135=0.05),$D135 &amp; ";","")</f>
        <v/>
      </c>
      <c r="CJ135" s="58">
        <f>IF(AND($H135="threat",$BW135=0.5,$BV135=0.1),$D135 &amp; ";","")</f>
        <v/>
      </c>
      <c r="CK135" s="58">
        <f>IF(AND($H135="threat",$BW135=0.5,$BV135=0.2),$D135 &amp; ";","")</f>
        <v/>
      </c>
      <c r="CL135" s="58">
        <f>IF(AND($H135="threat",$BW135=0.5,$BV135=0.4),$D135 &amp; ";","")</f>
        <v/>
      </c>
      <c r="CM135" s="58">
        <f>IF(AND($H135="threat",$BW135=0.5,$BV135=0.8),$D135 &amp; ";","")</f>
        <v/>
      </c>
      <c r="CN135" s="58">
        <f>IF(AND($H135="threat",$BW135=0.3,$BV135=0.05),$D135 &amp; ";","")</f>
        <v/>
      </c>
      <c r="CO135" s="58">
        <f>IF(AND($H135="threat",$BW135=0.3,$BV135=0.1),$D135 &amp; ";","")</f>
        <v/>
      </c>
      <c r="CP135" s="58">
        <f>IF(AND($H135="threat",$BW135=0.3,$BV135=0.2),$D135 &amp; ";","")</f>
        <v/>
      </c>
      <c r="CQ135" s="58">
        <f>IF(AND($H135="threat",$BW135=0.3,$BV135=0.4),$D135 &amp; ";","")</f>
        <v/>
      </c>
      <c r="CR135" s="58">
        <f>IF(AND($H135="threat",$BW135=0.3,$BV135=0.8),$D135 &amp; ";","")</f>
        <v/>
      </c>
      <c r="CS135" s="58">
        <f>IF(AND($H135="threat",$BW135=0.1,$BV135=0.05),$D135 &amp; ";","")</f>
        <v/>
      </c>
      <c r="CT135" s="58">
        <f>IF(AND($H135="threat",$BW135=0.1,$BV135=0.1),$D135 &amp; ";","")</f>
        <v/>
      </c>
      <c r="CU135" s="58">
        <f>IF(AND($H135="threat",$BW135=0.1,$BV135=0.2),$D135 &amp; ";","")</f>
        <v/>
      </c>
      <c r="CV135" s="58">
        <f>IF(AND($H135="threat",$BW135=0.1,$BV135=0.4),$D135 &amp; ";","")</f>
        <v/>
      </c>
      <c r="CW135" s="58">
        <f>IF(AND($H135="threat",$BW135=0.1,$BV135=0.8),$D135 &amp; ";","")</f>
        <v/>
      </c>
      <c r="CX135" s="39" t="n"/>
      <c r="CY135" s="58">
        <f>IF(AND($H135="opportunity",$BW135=0.9,$BV135=0.8),$D135 &amp; ";","")</f>
        <v/>
      </c>
      <c r="CZ135" s="58">
        <f>IF(AND($H135="opportunity",$BW135=0.9,$BV135=0.4),$D135 &amp; ";","")</f>
        <v/>
      </c>
      <c r="DA135" s="58">
        <f>IF(AND($H135="opportunity",$BW135=0.9,$BV135=0.2),$D135 &amp; ";","")</f>
        <v/>
      </c>
      <c r="DB135" s="58">
        <f>IF(AND($H135="opportunity",$BW135=0.9,$BV135=0.1),$D135 &amp; ";","")</f>
        <v/>
      </c>
      <c r="DC135" s="58">
        <f>IF(AND($H135="opportunity",$BW135=0.9,$BV135=0.05),$D135 &amp; ";","")</f>
        <v/>
      </c>
      <c r="DD135" s="58">
        <f>IF(AND($H135="opportunity",$BW135=0.7,$BV135=0.8),$D135 &amp; ";","")</f>
        <v/>
      </c>
      <c r="DE135" s="58">
        <f>IF(AND($H135="opportunity",$BW135=0.7,$BV135=0.4),$D135 &amp; ";","")</f>
        <v/>
      </c>
      <c r="DF135" s="58">
        <f>IF(AND($H135="opportunity",$BW135=0.7,$BV135=0.2),$D135 &amp; ";","")</f>
        <v/>
      </c>
      <c r="DG135" s="58">
        <f>IF(AND($H135="opportunity",$BW135=0.7,$BV135=0.1),$D135 &amp; ";","")</f>
        <v/>
      </c>
      <c r="DH135" s="58">
        <f>IF(AND($H135="opportunity",$BW135=0.7,$BV135=0.05),$D135 &amp; ";","")</f>
        <v/>
      </c>
      <c r="DI135" s="58">
        <f>IF(AND($H135="opportunity",$BW135=0.5,$BV135=0.8),$D135 &amp; ";","")</f>
        <v/>
      </c>
      <c r="DJ135" s="58">
        <f>IF(AND($H135="opportunity",$BW135=0.5,$BV135=0.4),$D135 &amp; ";","")</f>
        <v/>
      </c>
      <c r="DK135" s="58">
        <f>IF(AND($H135="opportunity",$BW135=0.5,$BV135=0.2),$D135 &amp; ";","")</f>
        <v/>
      </c>
      <c r="DL135" s="58">
        <f>IF(AND($H135="opportunity",$BW135=0.5,$BV135=0.1),$D135 &amp; ";","")</f>
        <v/>
      </c>
      <c r="DM135" s="58">
        <f>IF(AND($H135="opportunity",$BW135=0.5,$BV135=0.05),$D135 &amp; ";","")</f>
        <v/>
      </c>
      <c r="DN135" s="58">
        <f>IF(AND($H135="opportunity",$BW135=0.3,$BV135=0.8),$D135 &amp; ";","")</f>
        <v/>
      </c>
      <c r="DO135" s="58">
        <f>IF(AND($H135="opportunity",$BW135=0.3,$BV135=0.4),$D135 &amp; ";","")</f>
        <v/>
      </c>
      <c r="DP135" s="58">
        <f>IF(AND($H135="opportunity",$BW135=0.3,$BV135=0.2),$D135 &amp; ";","")</f>
        <v/>
      </c>
      <c r="DQ135" s="58">
        <f>IF(AND($H135="opportunity",$BW135=0.3,$BV135=0.1),$D135 &amp; ";","")</f>
        <v/>
      </c>
      <c r="DR135" s="58">
        <f>IF(AND($H135="opportunity",$BW135=0.3,$BV135=0.05),$D135 &amp; ";","")</f>
        <v/>
      </c>
      <c r="DS135" s="58">
        <f>IF(AND($H135="opportunity",$BW135=0.1,$BV135=0.8),$D135 &amp; ";","")</f>
        <v/>
      </c>
      <c r="DT135" s="58">
        <f>IF(AND($H135="opportunity",$BW135=0.1,$BV135=0.4),$D135 &amp; ";","")</f>
        <v/>
      </c>
      <c r="DU135" s="58">
        <f>IF(AND($H135="opportunity",$BW135=0.1,$BV135=0.2),$D135 &amp; ";","")</f>
        <v/>
      </c>
      <c r="DV135" s="58">
        <f>IF(AND($H135="opportunity",$BW135=0.1,$BV135=0.1),$D135 &amp; ";","")</f>
        <v/>
      </c>
      <c r="DW135" s="58">
        <f>IF(AND($H135="opportunity",$BW135=0.1,$BV135=0.05),$D135 &amp; ";","")</f>
        <v/>
      </c>
    </row>
    <row r="136">
      <c r="D136" s="60">
        <f>INDIRECT(ADDRESS(ROW()-22,COLUMN()-2,1,1,"Risk Register"))</f>
        <v/>
      </c>
      <c r="E136" s="143">
        <f>INDIRECT(ADDRESS(ROW()-22,COLUMN()-1,1,1,"Risk Register"))</f>
        <v/>
      </c>
      <c r="G136" s="56">
        <f>INDIRECT(ADDRESS(ROW()-22,COLUMN()+10,1,1,"Risk Register"))</f>
        <v/>
      </c>
      <c r="H136" s="60">
        <f>INDIRECT(ADDRESS(ROW()-22,COLUMN()+8,1,1,"Risk Register"))</f>
        <v/>
      </c>
      <c r="I136" s="54">
        <f>INDIRECT(ADDRESS(ROW()-22,COLUMN()+3,1,1,"Risk Register"))</f>
        <v/>
      </c>
      <c r="J136" s="143">
        <f>INDIRECT(ADDRESS(ROW()-22,COLUMN()+12,1,1,"Risk Register"))</f>
        <v/>
      </c>
      <c r="K136" s="143">
        <f>INDIRECT(ADDRESS(ROW()-22,COLUMN()-2,1,1,"Risk Register"))</f>
        <v/>
      </c>
      <c r="L136" s="176">
        <f>INDIRECT(ADDRESS(ROW()-22,COLUMN()+15,1,1,"Risk Register"))</f>
        <v/>
      </c>
      <c r="M136" s="54">
        <f>INDIRECT(ADDRESS(ROW()-22,COLUMN()+13,1,1,"Risk Register"))</f>
        <v/>
      </c>
      <c r="N136" s="143">
        <f>INDIRECT(ADDRESS(ROW()-22,COLUMN()-9,1,1,"Risk Register"))</f>
        <v/>
      </c>
      <c r="O136" s="143">
        <f>INDIRECT(ADDRESS(ROW()-22,COLUMN()-8,1,1,"Risk Register"))</f>
        <v/>
      </c>
      <c r="P136" s="56">
        <f>INDIRECT(ADDRESS(ROW()-22,COLUMN()+18,1,1,"Risk Register"))</f>
        <v/>
      </c>
      <c r="R136" s="57">
        <f>INDIRECT(ADDRESS(ROW()-22,COLUMN()-5,1,1,"Risk Register"))</f>
        <v/>
      </c>
      <c r="S136" s="58">
        <f>INDIRECT(ADDRESS(ROW()-22,COLUMN()-4,1,1,"Risk Register"))</f>
        <v/>
      </c>
      <c r="T136" s="59">
        <f>IF(AND($H136="threat",$G136&lt;=0.05),"gn",IF(AND($H136="threat",$G136&lt;=0.14),"y",IF(AND($H136="threat", $G136&gt;=0.15),"r",IF(AND($H136="opportunity",$G136&lt;=0.05),"gn",IF(AND($H136="opportunity",$G136&lt;=0.14),"lb",IF(AND($H136="opportunity",$G136&gt;=0.15),"db","z"))))))</f>
        <v/>
      </c>
      <c r="U136" s="58">
        <f>IF(AND($H136="threat",$S136=0.9,$R136=0.05),$D136 &amp; ";","")</f>
        <v/>
      </c>
      <c r="V136" s="58">
        <f>IF(AND($H136="threat",$S136=0.9,$R136=0.1),$D136 &amp; ";","")</f>
        <v/>
      </c>
      <c r="W136" s="58">
        <f>IF(AND($H136="threat",$S136=0.9,$R136=0.2),$D136 &amp; ";","")</f>
        <v/>
      </c>
      <c r="X136" s="58">
        <f>IF(AND($H136="threat",$S136=0.9,$R136=0.4),$D136 &amp; ";","")</f>
        <v/>
      </c>
      <c r="Y136" s="58">
        <f>IF(AND($H136="threat",$S136=0.9,$R136=0.8),$D136 &amp; ";","")</f>
        <v/>
      </c>
      <c r="Z136" s="58">
        <f>IF(AND($H136="threat",$S136=0.7,$R136=0.05),$D136 &amp; ";","")</f>
        <v/>
      </c>
      <c r="AA136" s="58">
        <f>IF(AND($H136="threat",$S136=0.7,$R136=0.1),$D136 &amp; ";","")</f>
        <v/>
      </c>
      <c r="AB136" s="58">
        <f>IF(AND($H136="threat",$S136=0.7,$R136=0.2),$D136 &amp; ";","")</f>
        <v/>
      </c>
      <c r="AC136" s="58">
        <f>IF(AND($H136="threat",$S136=0.7,$R136=0.4),$D136 &amp; ";","")</f>
        <v/>
      </c>
      <c r="AD136" s="58">
        <f>IF(AND($H136="threat",$S136=0.7,$R136=0.8),$D136 &amp; ";","")</f>
        <v/>
      </c>
      <c r="AE136" s="58">
        <f>IF(AND($H136="threat",$S136=0.5,$R136=0.05),$D136 &amp; ";","")</f>
        <v/>
      </c>
      <c r="AF136" s="58">
        <f>IF(AND($H136="threat",$S136=0.5,$R136=0.1),$D136 &amp; ";","")</f>
        <v/>
      </c>
      <c r="AG136" s="58">
        <f>IF(AND($H136="threat",$S136=0.5,$R136=0.2),$D136 &amp; ";","")</f>
        <v/>
      </c>
      <c r="AH136" s="58">
        <f>IF(AND($H136="threat",$S136=0.5,$R136=0.4),$D136 &amp; ";","")</f>
        <v/>
      </c>
      <c r="AI136" s="58">
        <f>IF(AND($H136="threat",$S136=0.5,$R136=0.8),$D136 &amp; ";","")</f>
        <v/>
      </c>
      <c r="AJ136" s="58">
        <f>IF(AND($H136="threat",$S136=0.3,$R136=0.05),$D136 &amp; ";","")</f>
        <v/>
      </c>
      <c r="AK136" s="58">
        <f>IF(AND($H136="threat",$S136=0.3,$R136=0.1),$D136 &amp; ";","")</f>
        <v/>
      </c>
      <c r="AL136" s="58">
        <f>IF(AND($H136="threat",$S136=0.3,$R136=0.2),$D136 &amp; ";","")</f>
        <v/>
      </c>
      <c r="AM136" s="58">
        <f>IF(AND($H136="threat",$S136=0.3,$R136=0.4),$D136 &amp; ";","")</f>
        <v/>
      </c>
      <c r="AN136" s="58">
        <f>IF(AND($H136="threat",$S136=0.3,$R136=0.8),$D136 &amp; ";","")</f>
        <v/>
      </c>
      <c r="AO136" s="58">
        <f>IF(AND($H136="threat",$S136=0.1,$R136=0.05),$D136 &amp; ";","")</f>
        <v/>
      </c>
      <c r="AP136" s="58">
        <f>IF(AND($H136="threat",$S136=0.1,$R136=0.1),$D136 &amp; ";","")</f>
        <v/>
      </c>
      <c r="AQ136" s="58">
        <f>IF(AND($H136="threat",$S136=0.1,$R136=0.2),$D136 &amp; ";","")</f>
        <v/>
      </c>
      <c r="AR136" s="58">
        <f>IF(AND($H136="threat",$S136=0.1,$R136=0.4),$D136 &amp; ";","")</f>
        <v/>
      </c>
      <c r="AS136" s="58">
        <f>IF(AND($H136="threat",$S136=0.1,$R136=0.8),$D136 &amp; ";","")</f>
        <v/>
      </c>
      <c r="AT136" s="39" t="n"/>
      <c r="AU136" s="58">
        <f>IF(AND($H136="opportunity",$S136=0.9,$R136=0.8),$D136 &amp; ";","")</f>
        <v/>
      </c>
      <c r="AV136" s="58">
        <f>IF(AND($H136="opportunity",$S136=0.9,$R136=0.4),$D136 &amp; ";","")</f>
        <v/>
      </c>
      <c r="AW136" s="58">
        <f>IF(AND($H136="opportunity",$S136=0.9,$R136=0.2),$D136 &amp; ";","")</f>
        <v/>
      </c>
      <c r="AX136" s="58">
        <f>IF(AND($H136="opportunity",$S136=0.9,$R136=0.1),$D136 &amp; ";","")</f>
        <v/>
      </c>
      <c r="AY136" s="58">
        <f>IF(AND($H136="opportunity",$S136=0.9,$R136=0.05),$D136 &amp; ";","")</f>
        <v/>
      </c>
      <c r="AZ136" s="58">
        <f>IF(AND($H136="opportunity",$S136=0.7,$R136=0.8),$D136 &amp; ";","")</f>
        <v/>
      </c>
      <c r="BA136" s="58">
        <f>IF(AND($H136="opportunity",$S136=0.7,$R136=0.4),$D136 &amp; ";","")</f>
        <v/>
      </c>
      <c r="BB136" s="58">
        <f>IF(AND($H136="opportunity",$S136=0.7,$R136=0.2),$D136 &amp; ";","")</f>
        <v/>
      </c>
      <c r="BC136" s="58">
        <f>IF(AND($H136="opportunity",$S136=0.7,$R136=0.1),$D136 &amp; ";","")</f>
        <v/>
      </c>
      <c r="BD136" s="58">
        <f>IF(AND($H136="opportunity",$S136=0.7,$R136=0.05),$D136 &amp; ";","")</f>
        <v/>
      </c>
      <c r="BE136" s="58">
        <f>IF(AND($H136="opportunity",$S136=0.5,$R136=0.8),$D136 &amp; ";","")</f>
        <v/>
      </c>
      <c r="BF136" s="58">
        <f>IF(AND($H136="opportunity",$S136=0.5,$R136=0.4),$D136 &amp; ";","")</f>
        <v/>
      </c>
      <c r="BG136" s="58">
        <f>IF(AND($H136="opportunity",$S136=0.5,$R136=0.2),$D136 &amp; ";","")</f>
        <v/>
      </c>
      <c r="BH136" s="58">
        <f>IF(AND($H136="opportunity",$S136=0.5,$R136=0.1),$D136 &amp; ";","")</f>
        <v/>
      </c>
      <c r="BI136" s="58">
        <f>IF(AND($H136="opportunity",$S136=0.5,$R136=0.05),$D136 &amp; ";","")</f>
        <v/>
      </c>
      <c r="BJ136" s="58">
        <f>IF(AND($H136="opportunity",$S136=0.3,$R136=0.8),$D136 &amp; ";","")</f>
        <v/>
      </c>
      <c r="BK136" s="58">
        <f>IF(AND($H136="opportunity",$S136=0.3,$R136=0.4),$D136 &amp; ";","")</f>
        <v/>
      </c>
      <c r="BL136" s="58">
        <f>IF(AND($H136="opportunity",$S136=0.3,$R136=0.2),$D136 &amp; ";","")</f>
        <v/>
      </c>
      <c r="BM136" s="58">
        <f>IF(AND($H136="opportunity",$S136=0.3,$R136=0.1),$D136 &amp; ";","")</f>
        <v/>
      </c>
      <c r="BN136" s="58">
        <f>IF(AND($H136="opportunity",$S136=0.3,$R136=0.05),$D136 &amp; ";","")</f>
        <v/>
      </c>
      <c r="BO136" s="58">
        <f>IF(AND($H136="opportunity",$S136=0.1,$R136=0.8),$D136 &amp; ";","")</f>
        <v/>
      </c>
      <c r="BP136" s="58">
        <f>IF(AND($H136="opportunity",$S136=0.1,$R136=0.4),$D136 &amp; ";","")</f>
        <v/>
      </c>
      <c r="BQ136" s="58">
        <f>IF(AND($H136="opportunity",$S136=0.1,$R136=0.2),$D136 &amp; ";","")</f>
        <v/>
      </c>
      <c r="BR136" s="58">
        <f>IF(AND($H136="opportunity",$S136=0.1,$R136=0.1),$D136 &amp; ";","")</f>
        <v/>
      </c>
      <c r="BS136" s="58">
        <f>IF(AND($H136="opportunity",$S136=0.1,$R136=0.05),$D136 &amp; ";","")</f>
        <v/>
      </c>
      <c r="BV136" s="57">
        <f>INDIRECT(ADDRESS(ROW()-22,COLUMN()-45,1,1,"Risk Register"))</f>
        <v/>
      </c>
      <c r="BW136" s="58">
        <f>INDIRECT(ADDRESS(ROW()-22,COLUMN()-44,1,1,"Risk Register"))</f>
        <v/>
      </c>
      <c r="BX136" s="59">
        <f>IF(AND($H136="threat",$P136&lt;=0.05),"gn",IF(AND($H136="threat",$P136&lt;=0.14),"y",IF(AND($H136="threat", $P136&gt;=0.15),"r",IF(AND($H136="opportunity",$P136&lt;=0.05),"gn",IF(AND($H136="opportunity",$P136&lt;=0.14),"lb",IF(AND($H136="opportunity",$P136&gt;=0.15),"db","z"))))))</f>
        <v/>
      </c>
      <c r="BY136" s="58">
        <f>IF(AND($H136="threat",$BW136=0.9,$BV136=0.05),$D136 &amp; ";","")</f>
        <v/>
      </c>
      <c r="BZ136" s="58">
        <f>IF(AND($H136="threat",$BW136=0.9,$BV136=0.1),$D136 &amp; ";","")</f>
        <v/>
      </c>
      <c r="CA136" s="58">
        <f>IF(AND($H136="threat",$BW136=0.9,$BV136=0.2),$D136 &amp; ";","")</f>
        <v/>
      </c>
      <c r="CB136" s="58">
        <f>IF(AND($H136="threat",$BW136=0.9,$BV136=0.4),$D136 &amp; ";","")</f>
        <v/>
      </c>
      <c r="CC136" s="58">
        <f>IF(AND($H136="threat",$BW136=0.9,$BV136=0.8),$D136 &amp; ";","")</f>
        <v/>
      </c>
      <c r="CD136" s="58">
        <f>IF(AND($H136="threat",$BW136=0.7,$BV136=0.05),$D136 &amp; ";","")</f>
        <v/>
      </c>
      <c r="CE136" s="58">
        <f>IF(AND($H136="threat",$BW136=0.7,$BV136=0.1),$D136 &amp; ";","")</f>
        <v/>
      </c>
      <c r="CF136" s="58">
        <f>IF(AND($H136="threat",$BW136=0.7,$BV136=0.2),$D136 &amp; ";","")</f>
        <v/>
      </c>
      <c r="CG136" s="58">
        <f>IF(AND($H136="threat",$BW136=0.7,$BV136=0.4),$D136 &amp; ";","")</f>
        <v/>
      </c>
      <c r="CH136" s="58">
        <f>IF(AND($H136="threat",$BW136=0.7,$BV136=0.8),$D136 &amp; ";","")</f>
        <v/>
      </c>
      <c r="CI136" s="58">
        <f>IF(AND($H136="threat",$BW136=0.5,$BV136=0.05),$D136 &amp; ";","")</f>
        <v/>
      </c>
      <c r="CJ136" s="58">
        <f>IF(AND($H136="threat",$BW136=0.5,$BV136=0.1),$D136 &amp; ";","")</f>
        <v/>
      </c>
      <c r="CK136" s="58">
        <f>IF(AND($H136="threat",$BW136=0.5,$BV136=0.2),$D136 &amp; ";","")</f>
        <v/>
      </c>
      <c r="CL136" s="58">
        <f>IF(AND($H136="threat",$BW136=0.5,$BV136=0.4),$D136 &amp; ";","")</f>
        <v/>
      </c>
      <c r="CM136" s="58">
        <f>IF(AND($H136="threat",$BW136=0.5,$BV136=0.8),$D136 &amp; ";","")</f>
        <v/>
      </c>
      <c r="CN136" s="58">
        <f>IF(AND($H136="threat",$BW136=0.3,$BV136=0.05),$D136 &amp; ";","")</f>
        <v/>
      </c>
      <c r="CO136" s="58">
        <f>IF(AND($H136="threat",$BW136=0.3,$BV136=0.1),$D136 &amp; ";","")</f>
        <v/>
      </c>
      <c r="CP136" s="58">
        <f>IF(AND($H136="threat",$BW136=0.3,$BV136=0.2),$D136 &amp; ";","")</f>
        <v/>
      </c>
      <c r="CQ136" s="58">
        <f>IF(AND($H136="threat",$BW136=0.3,$BV136=0.4),$D136 &amp; ";","")</f>
        <v/>
      </c>
      <c r="CR136" s="58">
        <f>IF(AND($H136="threat",$BW136=0.3,$BV136=0.8),$D136 &amp; ";","")</f>
        <v/>
      </c>
      <c r="CS136" s="58">
        <f>IF(AND($H136="threat",$BW136=0.1,$BV136=0.05),$D136 &amp; ";","")</f>
        <v/>
      </c>
      <c r="CT136" s="58">
        <f>IF(AND($H136="threat",$BW136=0.1,$BV136=0.1),$D136 &amp; ";","")</f>
        <v/>
      </c>
      <c r="CU136" s="58">
        <f>IF(AND($H136="threat",$BW136=0.1,$BV136=0.2),$D136 &amp; ";","")</f>
        <v/>
      </c>
      <c r="CV136" s="58">
        <f>IF(AND($H136="threat",$BW136=0.1,$BV136=0.4),$D136 &amp; ";","")</f>
        <v/>
      </c>
      <c r="CW136" s="58">
        <f>IF(AND($H136="threat",$BW136=0.1,$BV136=0.8),$D136 &amp; ";","")</f>
        <v/>
      </c>
      <c r="CX136" s="39" t="n"/>
      <c r="CY136" s="58">
        <f>IF(AND($H136="opportunity",$BW136=0.9,$BV136=0.8),$D136 &amp; ";","")</f>
        <v/>
      </c>
      <c r="CZ136" s="58">
        <f>IF(AND($H136="opportunity",$BW136=0.9,$BV136=0.4),$D136 &amp; ";","")</f>
        <v/>
      </c>
      <c r="DA136" s="58">
        <f>IF(AND($H136="opportunity",$BW136=0.9,$BV136=0.2),$D136 &amp; ";","")</f>
        <v/>
      </c>
      <c r="DB136" s="58">
        <f>IF(AND($H136="opportunity",$BW136=0.9,$BV136=0.1),$D136 &amp; ";","")</f>
        <v/>
      </c>
      <c r="DC136" s="58">
        <f>IF(AND($H136="opportunity",$BW136=0.9,$BV136=0.05),$D136 &amp; ";","")</f>
        <v/>
      </c>
      <c r="DD136" s="58">
        <f>IF(AND($H136="opportunity",$BW136=0.7,$BV136=0.8),$D136 &amp; ";","")</f>
        <v/>
      </c>
      <c r="DE136" s="58">
        <f>IF(AND($H136="opportunity",$BW136=0.7,$BV136=0.4),$D136 &amp; ";","")</f>
        <v/>
      </c>
      <c r="DF136" s="58">
        <f>IF(AND($H136="opportunity",$BW136=0.7,$BV136=0.2),$D136 &amp; ";","")</f>
        <v/>
      </c>
      <c r="DG136" s="58">
        <f>IF(AND($H136="opportunity",$BW136=0.7,$BV136=0.1),$D136 &amp; ";","")</f>
        <v/>
      </c>
      <c r="DH136" s="58">
        <f>IF(AND($H136="opportunity",$BW136=0.7,$BV136=0.05),$D136 &amp; ";","")</f>
        <v/>
      </c>
      <c r="DI136" s="58">
        <f>IF(AND($H136="opportunity",$BW136=0.5,$BV136=0.8),$D136 &amp; ";","")</f>
        <v/>
      </c>
      <c r="DJ136" s="58">
        <f>IF(AND($H136="opportunity",$BW136=0.5,$BV136=0.4),$D136 &amp; ";","")</f>
        <v/>
      </c>
      <c r="DK136" s="58">
        <f>IF(AND($H136="opportunity",$BW136=0.5,$BV136=0.2),$D136 &amp; ";","")</f>
        <v/>
      </c>
      <c r="DL136" s="58">
        <f>IF(AND($H136="opportunity",$BW136=0.5,$BV136=0.1),$D136 &amp; ";","")</f>
        <v/>
      </c>
      <c r="DM136" s="58">
        <f>IF(AND($H136="opportunity",$BW136=0.5,$BV136=0.05),$D136 &amp; ";","")</f>
        <v/>
      </c>
      <c r="DN136" s="58">
        <f>IF(AND($H136="opportunity",$BW136=0.3,$BV136=0.8),$D136 &amp; ";","")</f>
        <v/>
      </c>
      <c r="DO136" s="58">
        <f>IF(AND($H136="opportunity",$BW136=0.3,$BV136=0.4),$D136 &amp; ";","")</f>
        <v/>
      </c>
      <c r="DP136" s="58">
        <f>IF(AND($H136="opportunity",$BW136=0.3,$BV136=0.2),$D136 &amp; ";","")</f>
        <v/>
      </c>
      <c r="DQ136" s="58">
        <f>IF(AND($H136="opportunity",$BW136=0.3,$BV136=0.1),$D136 &amp; ";","")</f>
        <v/>
      </c>
      <c r="DR136" s="58">
        <f>IF(AND($H136="opportunity",$BW136=0.3,$BV136=0.05),$D136 &amp; ";","")</f>
        <v/>
      </c>
      <c r="DS136" s="58">
        <f>IF(AND($H136="opportunity",$BW136=0.1,$BV136=0.8),$D136 &amp; ";","")</f>
        <v/>
      </c>
      <c r="DT136" s="58">
        <f>IF(AND($H136="opportunity",$BW136=0.1,$BV136=0.4),$D136 &amp; ";","")</f>
        <v/>
      </c>
      <c r="DU136" s="58">
        <f>IF(AND($H136="opportunity",$BW136=0.1,$BV136=0.2),$D136 &amp; ";","")</f>
        <v/>
      </c>
      <c r="DV136" s="58">
        <f>IF(AND($H136="opportunity",$BW136=0.1,$BV136=0.1),$D136 &amp; ";","")</f>
        <v/>
      </c>
      <c r="DW136" s="58">
        <f>IF(AND($H136="opportunity",$BW136=0.1,$BV136=0.05),$D136 &amp; ";","")</f>
        <v/>
      </c>
    </row>
    <row r="137">
      <c r="D137" s="60">
        <f>INDIRECT(ADDRESS(ROW()-22,COLUMN()-2,1,1,"Risk Register"))</f>
        <v/>
      </c>
      <c r="E137" s="143">
        <f>INDIRECT(ADDRESS(ROW()-22,COLUMN()-1,1,1,"Risk Register"))</f>
        <v/>
      </c>
      <c r="G137" s="56">
        <f>INDIRECT(ADDRESS(ROW()-22,COLUMN()+10,1,1,"Risk Register"))</f>
        <v/>
      </c>
      <c r="H137" s="60">
        <f>INDIRECT(ADDRESS(ROW()-22,COLUMN()+8,1,1,"Risk Register"))</f>
        <v/>
      </c>
      <c r="I137" s="54">
        <f>INDIRECT(ADDRESS(ROW()-22,COLUMN()+3,1,1,"Risk Register"))</f>
        <v/>
      </c>
      <c r="J137" s="143">
        <f>INDIRECT(ADDRESS(ROW()-22,COLUMN()+12,1,1,"Risk Register"))</f>
        <v/>
      </c>
      <c r="K137" s="143">
        <f>INDIRECT(ADDRESS(ROW()-22,COLUMN()-2,1,1,"Risk Register"))</f>
        <v/>
      </c>
      <c r="L137" s="176">
        <f>INDIRECT(ADDRESS(ROW()-22,COLUMN()+15,1,1,"Risk Register"))</f>
        <v/>
      </c>
      <c r="M137" s="54">
        <f>INDIRECT(ADDRESS(ROW()-22,COLUMN()+13,1,1,"Risk Register"))</f>
        <v/>
      </c>
      <c r="N137" s="143">
        <f>INDIRECT(ADDRESS(ROW()-22,COLUMN()-9,1,1,"Risk Register"))</f>
        <v/>
      </c>
      <c r="O137" s="143">
        <f>INDIRECT(ADDRESS(ROW()-22,COLUMN()-8,1,1,"Risk Register"))</f>
        <v/>
      </c>
      <c r="P137" s="56">
        <f>INDIRECT(ADDRESS(ROW()-22,COLUMN()+18,1,1,"Risk Register"))</f>
        <v/>
      </c>
      <c r="R137" s="57">
        <f>INDIRECT(ADDRESS(ROW()-22,COLUMN()-5,1,1,"Risk Register"))</f>
        <v/>
      </c>
      <c r="S137" s="58">
        <f>INDIRECT(ADDRESS(ROW()-22,COLUMN()-4,1,1,"Risk Register"))</f>
        <v/>
      </c>
      <c r="T137" s="59">
        <f>IF(AND($H137="threat",$G137&lt;=0.05),"gn",IF(AND($H137="threat",$G137&lt;=0.14),"y",IF(AND($H137="threat", $G137&gt;=0.15),"r",IF(AND($H137="opportunity",$G137&lt;=0.05),"gn",IF(AND($H137="opportunity",$G137&lt;=0.14),"lb",IF(AND($H137="opportunity",$G137&gt;=0.15),"db","z"))))))</f>
        <v/>
      </c>
      <c r="U137" s="58">
        <f>IF(AND($H137="threat",$S137=0.9,$R137=0.05),$D137 &amp; ";","")</f>
        <v/>
      </c>
      <c r="V137" s="58">
        <f>IF(AND($H137="threat",$S137=0.9,$R137=0.1),$D137 &amp; ";","")</f>
        <v/>
      </c>
      <c r="W137" s="58">
        <f>IF(AND($H137="threat",$S137=0.9,$R137=0.2),$D137 &amp; ";","")</f>
        <v/>
      </c>
      <c r="X137" s="58">
        <f>IF(AND($H137="threat",$S137=0.9,$R137=0.4),$D137 &amp; ";","")</f>
        <v/>
      </c>
      <c r="Y137" s="58">
        <f>IF(AND($H137="threat",$S137=0.9,$R137=0.8),$D137 &amp; ";","")</f>
        <v/>
      </c>
      <c r="Z137" s="58">
        <f>IF(AND($H137="threat",$S137=0.7,$R137=0.05),$D137 &amp; ";","")</f>
        <v/>
      </c>
      <c r="AA137" s="58">
        <f>IF(AND($H137="threat",$S137=0.7,$R137=0.1),$D137 &amp; ";","")</f>
        <v/>
      </c>
      <c r="AB137" s="58">
        <f>IF(AND($H137="threat",$S137=0.7,$R137=0.2),$D137 &amp; ";","")</f>
        <v/>
      </c>
      <c r="AC137" s="58">
        <f>IF(AND($H137="threat",$S137=0.7,$R137=0.4),$D137 &amp; ";","")</f>
        <v/>
      </c>
      <c r="AD137" s="58">
        <f>IF(AND($H137="threat",$S137=0.7,$R137=0.8),$D137 &amp; ";","")</f>
        <v/>
      </c>
      <c r="AE137" s="58">
        <f>IF(AND($H137="threat",$S137=0.5,$R137=0.05),$D137 &amp; ";","")</f>
        <v/>
      </c>
      <c r="AF137" s="58">
        <f>IF(AND($H137="threat",$S137=0.5,$R137=0.1),$D137 &amp; ";","")</f>
        <v/>
      </c>
      <c r="AG137" s="58">
        <f>IF(AND($H137="threat",$S137=0.5,$R137=0.2),$D137 &amp; ";","")</f>
        <v/>
      </c>
      <c r="AH137" s="58">
        <f>IF(AND($H137="threat",$S137=0.5,$R137=0.4),$D137 &amp; ";","")</f>
        <v/>
      </c>
      <c r="AI137" s="58">
        <f>IF(AND($H137="threat",$S137=0.5,$R137=0.8),$D137 &amp; ";","")</f>
        <v/>
      </c>
      <c r="AJ137" s="58">
        <f>IF(AND($H137="threat",$S137=0.3,$R137=0.05),$D137 &amp; ";","")</f>
        <v/>
      </c>
      <c r="AK137" s="58">
        <f>IF(AND($H137="threat",$S137=0.3,$R137=0.1),$D137 &amp; ";","")</f>
        <v/>
      </c>
      <c r="AL137" s="58">
        <f>IF(AND($H137="threat",$S137=0.3,$R137=0.2),$D137 &amp; ";","")</f>
        <v/>
      </c>
      <c r="AM137" s="58">
        <f>IF(AND($H137="threat",$S137=0.3,$R137=0.4),$D137 &amp; ";","")</f>
        <v/>
      </c>
      <c r="AN137" s="58">
        <f>IF(AND($H137="threat",$S137=0.3,$R137=0.8),$D137 &amp; ";","")</f>
        <v/>
      </c>
      <c r="AO137" s="58">
        <f>IF(AND($H137="threat",$S137=0.1,$R137=0.05),$D137 &amp; ";","")</f>
        <v/>
      </c>
      <c r="AP137" s="58">
        <f>IF(AND($H137="threat",$S137=0.1,$R137=0.1),$D137 &amp; ";","")</f>
        <v/>
      </c>
      <c r="AQ137" s="58">
        <f>IF(AND($H137="threat",$S137=0.1,$R137=0.2),$D137 &amp; ";","")</f>
        <v/>
      </c>
      <c r="AR137" s="58">
        <f>IF(AND($H137="threat",$S137=0.1,$R137=0.4),$D137 &amp; ";","")</f>
        <v/>
      </c>
      <c r="AS137" s="58">
        <f>IF(AND($H137="threat",$S137=0.1,$R137=0.8),$D137 &amp; ";","")</f>
        <v/>
      </c>
      <c r="AT137" s="39" t="n"/>
      <c r="AU137" s="58">
        <f>IF(AND($H137="opportunity",$S137=0.9,$R137=0.8),$D137 &amp; ";","")</f>
        <v/>
      </c>
      <c r="AV137" s="58">
        <f>IF(AND($H137="opportunity",$S137=0.9,$R137=0.4),$D137 &amp; ";","")</f>
        <v/>
      </c>
      <c r="AW137" s="58">
        <f>IF(AND($H137="opportunity",$S137=0.9,$R137=0.2),$D137 &amp; ";","")</f>
        <v/>
      </c>
      <c r="AX137" s="58">
        <f>IF(AND($H137="opportunity",$S137=0.9,$R137=0.1),$D137 &amp; ";","")</f>
        <v/>
      </c>
      <c r="AY137" s="58">
        <f>IF(AND($H137="opportunity",$S137=0.9,$R137=0.05),$D137 &amp; ";","")</f>
        <v/>
      </c>
      <c r="AZ137" s="58">
        <f>IF(AND($H137="opportunity",$S137=0.7,$R137=0.8),$D137 &amp; ";","")</f>
        <v/>
      </c>
      <c r="BA137" s="58">
        <f>IF(AND($H137="opportunity",$S137=0.7,$R137=0.4),$D137 &amp; ";","")</f>
        <v/>
      </c>
      <c r="BB137" s="58">
        <f>IF(AND($H137="opportunity",$S137=0.7,$R137=0.2),$D137 &amp; ";","")</f>
        <v/>
      </c>
      <c r="BC137" s="58">
        <f>IF(AND($H137="opportunity",$S137=0.7,$R137=0.1),$D137 &amp; ";","")</f>
        <v/>
      </c>
      <c r="BD137" s="58">
        <f>IF(AND($H137="opportunity",$S137=0.7,$R137=0.05),$D137 &amp; ";","")</f>
        <v/>
      </c>
      <c r="BE137" s="58">
        <f>IF(AND($H137="opportunity",$S137=0.5,$R137=0.8),$D137 &amp; ";","")</f>
        <v/>
      </c>
      <c r="BF137" s="58">
        <f>IF(AND($H137="opportunity",$S137=0.5,$R137=0.4),$D137 &amp; ";","")</f>
        <v/>
      </c>
      <c r="BG137" s="58">
        <f>IF(AND($H137="opportunity",$S137=0.5,$R137=0.2),$D137 &amp; ";","")</f>
        <v/>
      </c>
      <c r="BH137" s="58">
        <f>IF(AND($H137="opportunity",$S137=0.5,$R137=0.1),$D137 &amp; ";","")</f>
        <v/>
      </c>
      <c r="BI137" s="58">
        <f>IF(AND($H137="opportunity",$S137=0.5,$R137=0.05),$D137 &amp; ";","")</f>
        <v/>
      </c>
      <c r="BJ137" s="58">
        <f>IF(AND($H137="opportunity",$S137=0.3,$R137=0.8),$D137 &amp; ";","")</f>
        <v/>
      </c>
      <c r="BK137" s="58">
        <f>IF(AND($H137="opportunity",$S137=0.3,$R137=0.4),$D137 &amp; ";","")</f>
        <v/>
      </c>
      <c r="BL137" s="58">
        <f>IF(AND($H137="opportunity",$S137=0.3,$R137=0.2),$D137 &amp; ";","")</f>
        <v/>
      </c>
      <c r="BM137" s="58">
        <f>IF(AND($H137="opportunity",$S137=0.3,$R137=0.1),$D137 &amp; ";","")</f>
        <v/>
      </c>
      <c r="BN137" s="58">
        <f>IF(AND($H137="opportunity",$S137=0.3,$R137=0.05),$D137 &amp; ";","")</f>
        <v/>
      </c>
      <c r="BO137" s="58">
        <f>IF(AND($H137="opportunity",$S137=0.1,$R137=0.8),$D137 &amp; ";","")</f>
        <v/>
      </c>
      <c r="BP137" s="58">
        <f>IF(AND($H137="opportunity",$S137=0.1,$R137=0.4),$D137 &amp; ";","")</f>
        <v/>
      </c>
      <c r="BQ137" s="58">
        <f>IF(AND($H137="opportunity",$S137=0.1,$R137=0.2),$D137 &amp; ";","")</f>
        <v/>
      </c>
      <c r="BR137" s="58">
        <f>IF(AND($H137="opportunity",$S137=0.1,$R137=0.1),$D137 &amp; ";","")</f>
        <v/>
      </c>
      <c r="BS137" s="58">
        <f>IF(AND($H137="opportunity",$S137=0.1,$R137=0.05),$D137 &amp; ";","")</f>
        <v/>
      </c>
      <c r="BV137" s="57">
        <f>INDIRECT(ADDRESS(ROW()-22,COLUMN()-45,1,1,"Risk Register"))</f>
        <v/>
      </c>
      <c r="BW137" s="58">
        <f>INDIRECT(ADDRESS(ROW()-22,COLUMN()-44,1,1,"Risk Register"))</f>
        <v/>
      </c>
      <c r="BX137" s="59">
        <f>IF(AND($H137="threat",$P137&lt;=0.05),"gn",IF(AND($H137="threat",$P137&lt;=0.14),"y",IF(AND($H137="threat", $P137&gt;=0.15),"r",IF(AND($H137="opportunity",$P137&lt;=0.05),"gn",IF(AND($H137="opportunity",$P137&lt;=0.14),"lb",IF(AND($H137="opportunity",$P137&gt;=0.15),"db","z"))))))</f>
        <v/>
      </c>
      <c r="BY137" s="58">
        <f>IF(AND($H137="threat",$BW137=0.9,$BV137=0.05),$D137 &amp; ";","")</f>
        <v/>
      </c>
      <c r="BZ137" s="58">
        <f>IF(AND($H137="threat",$BW137=0.9,$BV137=0.1),$D137 &amp; ";","")</f>
        <v/>
      </c>
      <c r="CA137" s="58">
        <f>IF(AND($H137="threat",$BW137=0.9,$BV137=0.2),$D137 &amp; ";","")</f>
        <v/>
      </c>
      <c r="CB137" s="58">
        <f>IF(AND($H137="threat",$BW137=0.9,$BV137=0.4),$D137 &amp; ";","")</f>
        <v/>
      </c>
      <c r="CC137" s="58">
        <f>IF(AND($H137="threat",$BW137=0.9,$BV137=0.8),$D137 &amp; ";","")</f>
        <v/>
      </c>
      <c r="CD137" s="58">
        <f>IF(AND($H137="threat",$BW137=0.7,$BV137=0.05),$D137 &amp; ";","")</f>
        <v/>
      </c>
      <c r="CE137" s="58">
        <f>IF(AND($H137="threat",$BW137=0.7,$BV137=0.1),$D137 &amp; ";","")</f>
        <v/>
      </c>
      <c r="CF137" s="58">
        <f>IF(AND($H137="threat",$BW137=0.7,$BV137=0.2),$D137 &amp; ";","")</f>
        <v/>
      </c>
      <c r="CG137" s="58">
        <f>IF(AND($H137="threat",$BW137=0.7,$BV137=0.4),$D137 &amp; ";","")</f>
        <v/>
      </c>
      <c r="CH137" s="58">
        <f>IF(AND($H137="threat",$BW137=0.7,$BV137=0.8),$D137 &amp; ";","")</f>
        <v/>
      </c>
      <c r="CI137" s="58">
        <f>IF(AND($H137="threat",$BW137=0.5,$BV137=0.05),$D137 &amp; ";","")</f>
        <v/>
      </c>
      <c r="CJ137" s="58">
        <f>IF(AND($H137="threat",$BW137=0.5,$BV137=0.1),$D137 &amp; ";","")</f>
        <v/>
      </c>
      <c r="CK137" s="58">
        <f>IF(AND($H137="threat",$BW137=0.5,$BV137=0.2),$D137 &amp; ";","")</f>
        <v/>
      </c>
      <c r="CL137" s="58">
        <f>IF(AND($H137="threat",$BW137=0.5,$BV137=0.4),$D137 &amp; ";","")</f>
        <v/>
      </c>
      <c r="CM137" s="58">
        <f>IF(AND($H137="threat",$BW137=0.5,$BV137=0.8),$D137 &amp; ";","")</f>
        <v/>
      </c>
      <c r="CN137" s="58">
        <f>IF(AND($H137="threat",$BW137=0.3,$BV137=0.05),$D137 &amp; ";","")</f>
        <v/>
      </c>
      <c r="CO137" s="58">
        <f>IF(AND($H137="threat",$BW137=0.3,$BV137=0.1),$D137 &amp; ";","")</f>
        <v/>
      </c>
      <c r="CP137" s="58">
        <f>IF(AND($H137="threat",$BW137=0.3,$BV137=0.2),$D137 &amp; ";","")</f>
        <v/>
      </c>
      <c r="CQ137" s="58">
        <f>IF(AND($H137="threat",$BW137=0.3,$BV137=0.4),$D137 &amp; ";","")</f>
        <v/>
      </c>
      <c r="CR137" s="58">
        <f>IF(AND($H137="threat",$BW137=0.3,$BV137=0.8),$D137 &amp; ";","")</f>
        <v/>
      </c>
      <c r="CS137" s="58">
        <f>IF(AND($H137="threat",$BW137=0.1,$BV137=0.05),$D137 &amp; ";","")</f>
        <v/>
      </c>
      <c r="CT137" s="58">
        <f>IF(AND($H137="threat",$BW137=0.1,$BV137=0.1),$D137 &amp; ";","")</f>
        <v/>
      </c>
      <c r="CU137" s="58">
        <f>IF(AND($H137="threat",$BW137=0.1,$BV137=0.2),$D137 &amp; ";","")</f>
        <v/>
      </c>
      <c r="CV137" s="58">
        <f>IF(AND($H137="threat",$BW137=0.1,$BV137=0.4),$D137 &amp; ";","")</f>
        <v/>
      </c>
      <c r="CW137" s="58">
        <f>IF(AND($H137="threat",$BW137=0.1,$BV137=0.8),$D137 &amp; ";","")</f>
        <v/>
      </c>
      <c r="CX137" s="39" t="n"/>
      <c r="CY137" s="58">
        <f>IF(AND($H137="opportunity",$BW137=0.9,$BV137=0.8),$D137 &amp; ";","")</f>
        <v/>
      </c>
      <c r="CZ137" s="58">
        <f>IF(AND($H137="opportunity",$BW137=0.9,$BV137=0.4),$D137 &amp; ";","")</f>
        <v/>
      </c>
      <c r="DA137" s="58">
        <f>IF(AND($H137="opportunity",$BW137=0.9,$BV137=0.2),$D137 &amp; ";","")</f>
        <v/>
      </c>
      <c r="DB137" s="58">
        <f>IF(AND($H137="opportunity",$BW137=0.9,$BV137=0.1),$D137 &amp; ";","")</f>
        <v/>
      </c>
      <c r="DC137" s="58">
        <f>IF(AND($H137="opportunity",$BW137=0.9,$BV137=0.05),$D137 &amp; ";","")</f>
        <v/>
      </c>
      <c r="DD137" s="58">
        <f>IF(AND($H137="opportunity",$BW137=0.7,$BV137=0.8),$D137 &amp; ";","")</f>
        <v/>
      </c>
      <c r="DE137" s="58">
        <f>IF(AND($H137="opportunity",$BW137=0.7,$BV137=0.4),$D137 &amp; ";","")</f>
        <v/>
      </c>
      <c r="DF137" s="58">
        <f>IF(AND($H137="opportunity",$BW137=0.7,$BV137=0.2),$D137 &amp; ";","")</f>
        <v/>
      </c>
      <c r="DG137" s="58">
        <f>IF(AND($H137="opportunity",$BW137=0.7,$BV137=0.1),$D137 &amp; ";","")</f>
        <v/>
      </c>
      <c r="DH137" s="58">
        <f>IF(AND($H137="opportunity",$BW137=0.7,$BV137=0.05),$D137 &amp; ";","")</f>
        <v/>
      </c>
      <c r="DI137" s="58">
        <f>IF(AND($H137="opportunity",$BW137=0.5,$BV137=0.8),$D137 &amp; ";","")</f>
        <v/>
      </c>
      <c r="DJ137" s="58">
        <f>IF(AND($H137="opportunity",$BW137=0.5,$BV137=0.4),$D137 &amp; ";","")</f>
        <v/>
      </c>
      <c r="DK137" s="58">
        <f>IF(AND($H137="opportunity",$BW137=0.5,$BV137=0.2),$D137 &amp; ";","")</f>
        <v/>
      </c>
      <c r="DL137" s="58">
        <f>IF(AND($H137="opportunity",$BW137=0.5,$BV137=0.1),$D137 &amp; ";","")</f>
        <v/>
      </c>
      <c r="DM137" s="58">
        <f>IF(AND($H137="opportunity",$BW137=0.5,$BV137=0.05),$D137 &amp; ";","")</f>
        <v/>
      </c>
      <c r="DN137" s="58">
        <f>IF(AND($H137="opportunity",$BW137=0.3,$BV137=0.8),$D137 &amp; ";","")</f>
        <v/>
      </c>
      <c r="DO137" s="58">
        <f>IF(AND($H137="opportunity",$BW137=0.3,$BV137=0.4),$D137 &amp; ";","")</f>
        <v/>
      </c>
      <c r="DP137" s="58">
        <f>IF(AND($H137="opportunity",$BW137=0.3,$BV137=0.2),$D137 &amp; ";","")</f>
        <v/>
      </c>
      <c r="DQ137" s="58">
        <f>IF(AND($H137="opportunity",$BW137=0.3,$BV137=0.1),$D137 &amp; ";","")</f>
        <v/>
      </c>
      <c r="DR137" s="58">
        <f>IF(AND($H137="opportunity",$BW137=0.3,$BV137=0.05),$D137 &amp; ";","")</f>
        <v/>
      </c>
      <c r="DS137" s="58">
        <f>IF(AND($H137="opportunity",$BW137=0.1,$BV137=0.8),$D137 &amp; ";","")</f>
        <v/>
      </c>
      <c r="DT137" s="58">
        <f>IF(AND($H137="opportunity",$BW137=0.1,$BV137=0.4),$D137 &amp; ";","")</f>
        <v/>
      </c>
      <c r="DU137" s="58">
        <f>IF(AND($H137="opportunity",$BW137=0.1,$BV137=0.2),$D137 &amp; ";","")</f>
        <v/>
      </c>
      <c r="DV137" s="58">
        <f>IF(AND($H137="opportunity",$BW137=0.1,$BV137=0.1),$D137 &amp; ";","")</f>
        <v/>
      </c>
      <c r="DW137" s="58">
        <f>IF(AND($H137="opportunity",$BW137=0.1,$BV137=0.05),$D137 &amp; ";","")</f>
        <v/>
      </c>
    </row>
    <row r="138">
      <c r="D138" s="60">
        <f>INDIRECT(ADDRESS(ROW()-22,COLUMN()-2,1,1,"Risk Register"))</f>
        <v/>
      </c>
      <c r="E138" s="143">
        <f>INDIRECT(ADDRESS(ROW()-22,COLUMN()-1,1,1,"Risk Register"))</f>
        <v/>
      </c>
      <c r="G138" s="56">
        <f>INDIRECT(ADDRESS(ROW()-22,COLUMN()+10,1,1,"Risk Register"))</f>
        <v/>
      </c>
      <c r="H138" s="60">
        <f>INDIRECT(ADDRESS(ROW()-22,COLUMN()+8,1,1,"Risk Register"))</f>
        <v/>
      </c>
      <c r="I138" s="54">
        <f>INDIRECT(ADDRESS(ROW()-22,COLUMN()+3,1,1,"Risk Register"))</f>
        <v/>
      </c>
      <c r="J138" s="143">
        <f>INDIRECT(ADDRESS(ROW()-22,COLUMN()+12,1,1,"Risk Register"))</f>
        <v/>
      </c>
      <c r="K138" s="143">
        <f>INDIRECT(ADDRESS(ROW()-22,COLUMN()-2,1,1,"Risk Register"))</f>
        <v/>
      </c>
      <c r="L138" s="176">
        <f>INDIRECT(ADDRESS(ROW()-22,COLUMN()+15,1,1,"Risk Register"))</f>
        <v/>
      </c>
      <c r="M138" s="54">
        <f>INDIRECT(ADDRESS(ROW()-22,COLUMN()+13,1,1,"Risk Register"))</f>
        <v/>
      </c>
      <c r="N138" s="143">
        <f>INDIRECT(ADDRESS(ROW()-22,COLUMN()-9,1,1,"Risk Register"))</f>
        <v/>
      </c>
      <c r="O138" s="143">
        <f>INDIRECT(ADDRESS(ROW()-22,COLUMN()-8,1,1,"Risk Register"))</f>
        <v/>
      </c>
      <c r="P138" s="56">
        <f>INDIRECT(ADDRESS(ROW()-22,COLUMN()+18,1,1,"Risk Register"))</f>
        <v/>
      </c>
      <c r="R138" s="57">
        <f>INDIRECT(ADDRESS(ROW()-22,COLUMN()-5,1,1,"Risk Register"))</f>
        <v/>
      </c>
      <c r="S138" s="58">
        <f>INDIRECT(ADDRESS(ROW()-22,COLUMN()-4,1,1,"Risk Register"))</f>
        <v/>
      </c>
      <c r="T138" s="59">
        <f>IF(AND($H138="threat",$G138&lt;=0.05),"gn",IF(AND($H138="threat",$G138&lt;=0.14),"y",IF(AND($H138="threat", $G138&gt;=0.15),"r",IF(AND($H138="opportunity",$G138&lt;=0.05),"gn",IF(AND($H138="opportunity",$G138&lt;=0.14),"lb",IF(AND($H138="opportunity",$G138&gt;=0.15),"db","z"))))))</f>
        <v/>
      </c>
      <c r="U138" s="58">
        <f>IF(AND($H138="threat",$S138=0.9,$R138=0.05),$D138 &amp; ";","")</f>
        <v/>
      </c>
      <c r="V138" s="58">
        <f>IF(AND($H138="threat",$S138=0.9,$R138=0.1),$D138 &amp; ";","")</f>
        <v/>
      </c>
      <c r="W138" s="58">
        <f>IF(AND($H138="threat",$S138=0.9,$R138=0.2),$D138 &amp; ";","")</f>
        <v/>
      </c>
      <c r="X138" s="58">
        <f>IF(AND($H138="threat",$S138=0.9,$R138=0.4),$D138 &amp; ";","")</f>
        <v/>
      </c>
      <c r="Y138" s="58">
        <f>IF(AND($H138="threat",$S138=0.9,$R138=0.8),$D138 &amp; ";","")</f>
        <v/>
      </c>
      <c r="Z138" s="58">
        <f>IF(AND($H138="threat",$S138=0.7,$R138=0.05),$D138 &amp; ";","")</f>
        <v/>
      </c>
      <c r="AA138" s="58">
        <f>IF(AND($H138="threat",$S138=0.7,$R138=0.1),$D138 &amp; ";","")</f>
        <v/>
      </c>
      <c r="AB138" s="58">
        <f>IF(AND($H138="threat",$S138=0.7,$R138=0.2),$D138 &amp; ";","")</f>
        <v/>
      </c>
      <c r="AC138" s="58">
        <f>IF(AND($H138="threat",$S138=0.7,$R138=0.4),$D138 &amp; ";","")</f>
        <v/>
      </c>
      <c r="AD138" s="58">
        <f>IF(AND($H138="threat",$S138=0.7,$R138=0.8),$D138 &amp; ";","")</f>
        <v/>
      </c>
      <c r="AE138" s="58">
        <f>IF(AND($H138="threat",$S138=0.5,$R138=0.05),$D138 &amp; ";","")</f>
        <v/>
      </c>
      <c r="AF138" s="58">
        <f>IF(AND($H138="threat",$S138=0.5,$R138=0.1),$D138 &amp; ";","")</f>
        <v/>
      </c>
      <c r="AG138" s="58">
        <f>IF(AND($H138="threat",$S138=0.5,$R138=0.2),$D138 &amp; ";","")</f>
        <v/>
      </c>
      <c r="AH138" s="58">
        <f>IF(AND($H138="threat",$S138=0.5,$R138=0.4),$D138 &amp; ";","")</f>
        <v/>
      </c>
      <c r="AI138" s="58">
        <f>IF(AND($H138="threat",$S138=0.5,$R138=0.8),$D138 &amp; ";","")</f>
        <v/>
      </c>
      <c r="AJ138" s="58">
        <f>IF(AND($H138="threat",$S138=0.3,$R138=0.05),$D138 &amp; ";","")</f>
        <v/>
      </c>
      <c r="AK138" s="58">
        <f>IF(AND($H138="threat",$S138=0.3,$R138=0.1),$D138 &amp; ";","")</f>
        <v/>
      </c>
      <c r="AL138" s="58">
        <f>IF(AND($H138="threat",$S138=0.3,$R138=0.2),$D138 &amp; ";","")</f>
        <v/>
      </c>
      <c r="AM138" s="58">
        <f>IF(AND($H138="threat",$S138=0.3,$R138=0.4),$D138 &amp; ";","")</f>
        <v/>
      </c>
      <c r="AN138" s="58">
        <f>IF(AND($H138="threat",$S138=0.3,$R138=0.8),$D138 &amp; ";","")</f>
        <v/>
      </c>
      <c r="AO138" s="58">
        <f>IF(AND($H138="threat",$S138=0.1,$R138=0.05),$D138 &amp; ";","")</f>
        <v/>
      </c>
      <c r="AP138" s="58">
        <f>IF(AND($H138="threat",$S138=0.1,$R138=0.1),$D138 &amp; ";","")</f>
        <v/>
      </c>
      <c r="AQ138" s="58">
        <f>IF(AND($H138="threat",$S138=0.1,$R138=0.2),$D138 &amp; ";","")</f>
        <v/>
      </c>
      <c r="AR138" s="58">
        <f>IF(AND($H138="threat",$S138=0.1,$R138=0.4),$D138 &amp; ";","")</f>
        <v/>
      </c>
      <c r="AS138" s="58">
        <f>IF(AND($H138="threat",$S138=0.1,$R138=0.8),$D138 &amp; ";","")</f>
        <v/>
      </c>
      <c r="AT138" s="39" t="n"/>
      <c r="AU138" s="58">
        <f>IF(AND($H138="opportunity",$S138=0.9,$R138=0.8),$D138 &amp; ";","")</f>
        <v/>
      </c>
      <c r="AV138" s="58">
        <f>IF(AND($H138="opportunity",$S138=0.9,$R138=0.4),$D138 &amp; ";","")</f>
        <v/>
      </c>
      <c r="AW138" s="58">
        <f>IF(AND($H138="opportunity",$S138=0.9,$R138=0.2),$D138 &amp; ";","")</f>
        <v/>
      </c>
      <c r="AX138" s="58">
        <f>IF(AND($H138="opportunity",$S138=0.9,$R138=0.1),$D138 &amp; ";","")</f>
        <v/>
      </c>
      <c r="AY138" s="58">
        <f>IF(AND($H138="opportunity",$S138=0.9,$R138=0.05),$D138 &amp; ";","")</f>
        <v/>
      </c>
      <c r="AZ138" s="58">
        <f>IF(AND($H138="opportunity",$S138=0.7,$R138=0.8),$D138 &amp; ";","")</f>
        <v/>
      </c>
      <c r="BA138" s="58">
        <f>IF(AND($H138="opportunity",$S138=0.7,$R138=0.4),$D138 &amp; ";","")</f>
        <v/>
      </c>
      <c r="BB138" s="58">
        <f>IF(AND($H138="opportunity",$S138=0.7,$R138=0.2),$D138 &amp; ";","")</f>
        <v/>
      </c>
      <c r="BC138" s="58">
        <f>IF(AND($H138="opportunity",$S138=0.7,$R138=0.1),$D138 &amp; ";","")</f>
        <v/>
      </c>
      <c r="BD138" s="58">
        <f>IF(AND($H138="opportunity",$S138=0.7,$R138=0.05),$D138 &amp; ";","")</f>
        <v/>
      </c>
      <c r="BE138" s="58">
        <f>IF(AND($H138="opportunity",$S138=0.5,$R138=0.8),$D138 &amp; ";","")</f>
        <v/>
      </c>
      <c r="BF138" s="58">
        <f>IF(AND($H138="opportunity",$S138=0.5,$R138=0.4),$D138 &amp; ";","")</f>
        <v/>
      </c>
      <c r="BG138" s="58">
        <f>IF(AND($H138="opportunity",$S138=0.5,$R138=0.2),$D138 &amp; ";","")</f>
        <v/>
      </c>
      <c r="BH138" s="58">
        <f>IF(AND($H138="opportunity",$S138=0.5,$R138=0.1),$D138 &amp; ";","")</f>
        <v/>
      </c>
      <c r="BI138" s="58">
        <f>IF(AND($H138="opportunity",$S138=0.5,$R138=0.05),$D138 &amp; ";","")</f>
        <v/>
      </c>
      <c r="BJ138" s="58">
        <f>IF(AND($H138="opportunity",$S138=0.3,$R138=0.8),$D138 &amp; ";","")</f>
        <v/>
      </c>
      <c r="BK138" s="58">
        <f>IF(AND($H138="opportunity",$S138=0.3,$R138=0.4),$D138 &amp; ";","")</f>
        <v/>
      </c>
      <c r="BL138" s="58">
        <f>IF(AND($H138="opportunity",$S138=0.3,$R138=0.2),$D138 &amp; ";","")</f>
        <v/>
      </c>
      <c r="BM138" s="58">
        <f>IF(AND($H138="opportunity",$S138=0.3,$R138=0.1),$D138 &amp; ";","")</f>
        <v/>
      </c>
      <c r="BN138" s="58">
        <f>IF(AND($H138="opportunity",$S138=0.3,$R138=0.05),$D138 &amp; ";","")</f>
        <v/>
      </c>
      <c r="BO138" s="58">
        <f>IF(AND($H138="opportunity",$S138=0.1,$R138=0.8),$D138 &amp; ";","")</f>
        <v/>
      </c>
      <c r="BP138" s="58">
        <f>IF(AND($H138="opportunity",$S138=0.1,$R138=0.4),$D138 &amp; ";","")</f>
        <v/>
      </c>
      <c r="BQ138" s="58">
        <f>IF(AND($H138="opportunity",$S138=0.1,$R138=0.2),$D138 &amp; ";","")</f>
        <v/>
      </c>
      <c r="BR138" s="58">
        <f>IF(AND($H138="opportunity",$S138=0.1,$R138=0.1),$D138 &amp; ";","")</f>
        <v/>
      </c>
      <c r="BS138" s="58">
        <f>IF(AND($H138="opportunity",$S138=0.1,$R138=0.05),$D138 &amp; ";","")</f>
        <v/>
      </c>
      <c r="BV138" s="57">
        <f>INDIRECT(ADDRESS(ROW()-22,COLUMN()-45,1,1,"Risk Register"))</f>
        <v/>
      </c>
      <c r="BW138" s="58">
        <f>INDIRECT(ADDRESS(ROW()-22,COLUMN()-44,1,1,"Risk Register"))</f>
        <v/>
      </c>
      <c r="BX138" s="59">
        <f>IF(AND($H138="threat",$P138&lt;=0.05),"gn",IF(AND($H138="threat",$P138&lt;=0.14),"y",IF(AND($H138="threat", $P138&gt;=0.15),"r",IF(AND($H138="opportunity",$P138&lt;=0.05),"gn",IF(AND($H138="opportunity",$P138&lt;=0.14),"lb",IF(AND($H138="opportunity",$P138&gt;=0.15),"db","z"))))))</f>
        <v/>
      </c>
      <c r="BY138" s="58">
        <f>IF(AND($H138="threat",$BW138=0.9,$BV138=0.05),$D138 &amp; ";","")</f>
        <v/>
      </c>
      <c r="BZ138" s="58">
        <f>IF(AND($H138="threat",$BW138=0.9,$BV138=0.1),$D138 &amp; ";","")</f>
        <v/>
      </c>
      <c r="CA138" s="58">
        <f>IF(AND($H138="threat",$BW138=0.9,$BV138=0.2),$D138 &amp; ";","")</f>
        <v/>
      </c>
      <c r="CB138" s="58">
        <f>IF(AND($H138="threat",$BW138=0.9,$BV138=0.4),$D138 &amp; ";","")</f>
        <v/>
      </c>
      <c r="CC138" s="58">
        <f>IF(AND($H138="threat",$BW138=0.9,$BV138=0.8),$D138 &amp; ";","")</f>
        <v/>
      </c>
      <c r="CD138" s="58">
        <f>IF(AND($H138="threat",$BW138=0.7,$BV138=0.05),$D138 &amp; ";","")</f>
        <v/>
      </c>
      <c r="CE138" s="58">
        <f>IF(AND($H138="threat",$BW138=0.7,$BV138=0.1),$D138 &amp; ";","")</f>
        <v/>
      </c>
      <c r="CF138" s="58">
        <f>IF(AND($H138="threat",$BW138=0.7,$BV138=0.2),$D138 &amp; ";","")</f>
        <v/>
      </c>
      <c r="CG138" s="58">
        <f>IF(AND($H138="threat",$BW138=0.7,$BV138=0.4),$D138 &amp; ";","")</f>
        <v/>
      </c>
      <c r="CH138" s="58">
        <f>IF(AND($H138="threat",$BW138=0.7,$BV138=0.8),$D138 &amp; ";","")</f>
        <v/>
      </c>
      <c r="CI138" s="58">
        <f>IF(AND($H138="threat",$BW138=0.5,$BV138=0.05),$D138 &amp; ";","")</f>
        <v/>
      </c>
      <c r="CJ138" s="58">
        <f>IF(AND($H138="threat",$BW138=0.5,$BV138=0.1),$D138 &amp; ";","")</f>
        <v/>
      </c>
      <c r="CK138" s="58">
        <f>IF(AND($H138="threat",$BW138=0.5,$BV138=0.2),$D138 &amp; ";","")</f>
        <v/>
      </c>
      <c r="CL138" s="58">
        <f>IF(AND($H138="threat",$BW138=0.5,$BV138=0.4),$D138 &amp; ";","")</f>
        <v/>
      </c>
      <c r="CM138" s="58">
        <f>IF(AND($H138="threat",$BW138=0.5,$BV138=0.8),$D138 &amp; ";","")</f>
        <v/>
      </c>
      <c r="CN138" s="58">
        <f>IF(AND($H138="threat",$BW138=0.3,$BV138=0.05),$D138 &amp; ";","")</f>
        <v/>
      </c>
      <c r="CO138" s="58">
        <f>IF(AND($H138="threat",$BW138=0.3,$BV138=0.1),$D138 &amp; ";","")</f>
        <v/>
      </c>
      <c r="CP138" s="58">
        <f>IF(AND($H138="threat",$BW138=0.3,$BV138=0.2),$D138 &amp; ";","")</f>
        <v/>
      </c>
      <c r="CQ138" s="58">
        <f>IF(AND($H138="threat",$BW138=0.3,$BV138=0.4),$D138 &amp; ";","")</f>
        <v/>
      </c>
      <c r="CR138" s="58">
        <f>IF(AND($H138="threat",$BW138=0.3,$BV138=0.8),$D138 &amp; ";","")</f>
        <v/>
      </c>
      <c r="CS138" s="58">
        <f>IF(AND($H138="threat",$BW138=0.1,$BV138=0.05),$D138 &amp; ";","")</f>
        <v/>
      </c>
      <c r="CT138" s="58">
        <f>IF(AND($H138="threat",$BW138=0.1,$BV138=0.1),$D138 &amp; ";","")</f>
        <v/>
      </c>
      <c r="CU138" s="58">
        <f>IF(AND($H138="threat",$BW138=0.1,$BV138=0.2),$D138 &amp; ";","")</f>
        <v/>
      </c>
      <c r="CV138" s="58">
        <f>IF(AND($H138="threat",$BW138=0.1,$BV138=0.4),$D138 &amp; ";","")</f>
        <v/>
      </c>
      <c r="CW138" s="58">
        <f>IF(AND($H138="threat",$BW138=0.1,$BV138=0.8),$D138 &amp; ";","")</f>
        <v/>
      </c>
      <c r="CX138" s="39" t="n"/>
      <c r="CY138" s="58">
        <f>IF(AND($H138="opportunity",$BW138=0.9,$BV138=0.8),$D138 &amp; ";","")</f>
        <v/>
      </c>
      <c r="CZ138" s="58">
        <f>IF(AND($H138="opportunity",$BW138=0.9,$BV138=0.4),$D138 &amp; ";","")</f>
        <v/>
      </c>
      <c r="DA138" s="58">
        <f>IF(AND($H138="opportunity",$BW138=0.9,$BV138=0.2),$D138 &amp; ";","")</f>
        <v/>
      </c>
      <c r="DB138" s="58">
        <f>IF(AND($H138="opportunity",$BW138=0.9,$BV138=0.1),$D138 &amp; ";","")</f>
        <v/>
      </c>
      <c r="DC138" s="58">
        <f>IF(AND($H138="opportunity",$BW138=0.9,$BV138=0.05),$D138 &amp; ";","")</f>
        <v/>
      </c>
      <c r="DD138" s="58">
        <f>IF(AND($H138="opportunity",$BW138=0.7,$BV138=0.8),$D138 &amp; ";","")</f>
        <v/>
      </c>
      <c r="DE138" s="58">
        <f>IF(AND($H138="opportunity",$BW138=0.7,$BV138=0.4),$D138 &amp; ";","")</f>
        <v/>
      </c>
      <c r="DF138" s="58">
        <f>IF(AND($H138="opportunity",$BW138=0.7,$BV138=0.2),$D138 &amp; ";","")</f>
        <v/>
      </c>
      <c r="DG138" s="58">
        <f>IF(AND($H138="opportunity",$BW138=0.7,$BV138=0.1),$D138 &amp; ";","")</f>
        <v/>
      </c>
      <c r="DH138" s="58">
        <f>IF(AND($H138="opportunity",$BW138=0.7,$BV138=0.05),$D138 &amp; ";","")</f>
        <v/>
      </c>
      <c r="DI138" s="58">
        <f>IF(AND($H138="opportunity",$BW138=0.5,$BV138=0.8),$D138 &amp; ";","")</f>
        <v/>
      </c>
      <c r="DJ138" s="58">
        <f>IF(AND($H138="opportunity",$BW138=0.5,$BV138=0.4),$D138 &amp; ";","")</f>
        <v/>
      </c>
      <c r="DK138" s="58">
        <f>IF(AND($H138="opportunity",$BW138=0.5,$BV138=0.2),$D138 &amp; ";","")</f>
        <v/>
      </c>
      <c r="DL138" s="58">
        <f>IF(AND($H138="opportunity",$BW138=0.5,$BV138=0.1),$D138 &amp; ";","")</f>
        <v/>
      </c>
      <c r="DM138" s="58">
        <f>IF(AND($H138="opportunity",$BW138=0.5,$BV138=0.05),$D138 &amp; ";","")</f>
        <v/>
      </c>
      <c r="DN138" s="58">
        <f>IF(AND($H138="opportunity",$BW138=0.3,$BV138=0.8),$D138 &amp; ";","")</f>
        <v/>
      </c>
      <c r="DO138" s="58">
        <f>IF(AND($H138="opportunity",$BW138=0.3,$BV138=0.4),$D138 &amp; ";","")</f>
        <v/>
      </c>
      <c r="DP138" s="58">
        <f>IF(AND($H138="opportunity",$BW138=0.3,$BV138=0.2),$D138 &amp; ";","")</f>
        <v/>
      </c>
      <c r="DQ138" s="58">
        <f>IF(AND($H138="opportunity",$BW138=0.3,$BV138=0.1),$D138 &amp; ";","")</f>
        <v/>
      </c>
      <c r="DR138" s="58">
        <f>IF(AND($H138="opportunity",$BW138=0.3,$BV138=0.05),$D138 &amp; ";","")</f>
        <v/>
      </c>
      <c r="DS138" s="58">
        <f>IF(AND($H138="opportunity",$BW138=0.1,$BV138=0.8),$D138 &amp; ";","")</f>
        <v/>
      </c>
      <c r="DT138" s="58">
        <f>IF(AND($H138="opportunity",$BW138=0.1,$BV138=0.4),$D138 &amp; ";","")</f>
        <v/>
      </c>
      <c r="DU138" s="58">
        <f>IF(AND($H138="opportunity",$BW138=0.1,$BV138=0.2),$D138 &amp; ";","")</f>
        <v/>
      </c>
      <c r="DV138" s="58">
        <f>IF(AND($H138="opportunity",$BW138=0.1,$BV138=0.1),$D138 &amp; ";","")</f>
        <v/>
      </c>
      <c r="DW138" s="58">
        <f>IF(AND($H138="opportunity",$BW138=0.1,$BV138=0.05),$D138 &amp; ";","")</f>
        <v/>
      </c>
    </row>
    <row r="139">
      <c r="D139" s="60">
        <f>INDIRECT(ADDRESS(ROW()-22,COLUMN()-2,1,1,"Risk Register"))</f>
        <v/>
      </c>
      <c r="E139" s="143">
        <f>INDIRECT(ADDRESS(ROW()-22,COLUMN()-1,1,1,"Risk Register"))</f>
        <v/>
      </c>
      <c r="G139" s="56">
        <f>INDIRECT(ADDRESS(ROW()-22,COLUMN()+10,1,1,"Risk Register"))</f>
        <v/>
      </c>
      <c r="H139" s="60">
        <f>INDIRECT(ADDRESS(ROW()-22,COLUMN()+8,1,1,"Risk Register"))</f>
        <v/>
      </c>
      <c r="I139" s="54">
        <f>INDIRECT(ADDRESS(ROW()-22,COLUMN()+3,1,1,"Risk Register"))</f>
        <v/>
      </c>
      <c r="J139" s="143">
        <f>INDIRECT(ADDRESS(ROW()-22,COLUMN()+12,1,1,"Risk Register"))</f>
        <v/>
      </c>
      <c r="K139" s="143">
        <f>INDIRECT(ADDRESS(ROW()-22,COLUMN()-2,1,1,"Risk Register"))</f>
        <v/>
      </c>
      <c r="L139" s="176">
        <f>INDIRECT(ADDRESS(ROW()-22,COLUMN()+15,1,1,"Risk Register"))</f>
        <v/>
      </c>
      <c r="M139" s="54">
        <f>INDIRECT(ADDRESS(ROW()-22,COLUMN()+13,1,1,"Risk Register"))</f>
        <v/>
      </c>
      <c r="N139" s="143">
        <f>INDIRECT(ADDRESS(ROW()-22,COLUMN()-9,1,1,"Risk Register"))</f>
        <v/>
      </c>
      <c r="O139" s="143">
        <f>INDIRECT(ADDRESS(ROW()-22,COLUMN()-8,1,1,"Risk Register"))</f>
        <v/>
      </c>
      <c r="P139" s="56">
        <f>INDIRECT(ADDRESS(ROW()-22,COLUMN()+18,1,1,"Risk Register"))</f>
        <v/>
      </c>
      <c r="R139" s="57">
        <f>INDIRECT(ADDRESS(ROW()-22,COLUMN()-5,1,1,"Risk Register"))</f>
        <v/>
      </c>
      <c r="S139" s="58">
        <f>INDIRECT(ADDRESS(ROW()-22,COLUMN()-4,1,1,"Risk Register"))</f>
        <v/>
      </c>
      <c r="T139" s="59">
        <f>IF(AND($H139="threat",$G139&lt;=0.05),"gn",IF(AND($H139="threat",$G139&lt;=0.14),"y",IF(AND($H139="threat", $G139&gt;=0.15),"r",IF(AND($H139="opportunity",$G139&lt;=0.05),"gn",IF(AND($H139="opportunity",$G139&lt;=0.14),"lb",IF(AND($H139="opportunity",$G139&gt;=0.15),"db","z"))))))</f>
        <v/>
      </c>
      <c r="U139" s="58">
        <f>IF(AND($H139="threat",$S139=0.9,$R139=0.05),$D139 &amp; ";","")</f>
        <v/>
      </c>
      <c r="V139" s="58">
        <f>IF(AND($H139="threat",$S139=0.9,$R139=0.1),$D139 &amp; ";","")</f>
        <v/>
      </c>
      <c r="W139" s="58">
        <f>IF(AND($H139="threat",$S139=0.9,$R139=0.2),$D139 &amp; ";","")</f>
        <v/>
      </c>
      <c r="X139" s="58">
        <f>IF(AND($H139="threat",$S139=0.9,$R139=0.4),$D139 &amp; ";","")</f>
        <v/>
      </c>
      <c r="Y139" s="58">
        <f>IF(AND($H139="threat",$S139=0.9,$R139=0.8),$D139 &amp; ";","")</f>
        <v/>
      </c>
      <c r="Z139" s="58">
        <f>IF(AND($H139="threat",$S139=0.7,$R139=0.05),$D139 &amp; ";","")</f>
        <v/>
      </c>
      <c r="AA139" s="58">
        <f>IF(AND($H139="threat",$S139=0.7,$R139=0.1),$D139 &amp; ";","")</f>
        <v/>
      </c>
      <c r="AB139" s="58">
        <f>IF(AND($H139="threat",$S139=0.7,$R139=0.2),$D139 &amp; ";","")</f>
        <v/>
      </c>
      <c r="AC139" s="58">
        <f>IF(AND($H139="threat",$S139=0.7,$R139=0.4),$D139 &amp; ";","")</f>
        <v/>
      </c>
      <c r="AD139" s="58">
        <f>IF(AND($H139="threat",$S139=0.7,$R139=0.8),$D139 &amp; ";","")</f>
        <v/>
      </c>
      <c r="AE139" s="58">
        <f>IF(AND($H139="threat",$S139=0.5,$R139=0.05),$D139 &amp; ";","")</f>
        <v/>
      </c>
      <c r="AF139" s="58">
        <f>IF(AND($H139="threat",$S139=0.5,$R139=0.1),$D139 &amp; ";","")</f>
        <v/>
      </c>
      <c r="AG139" s="58">
        <f>IF(AND($H139="threat",$S139=0.5,$R139=0.2),$D139 &amp; ";","")</f>
        <v/>
      </c>
      <c r="AH139" s="58">
        <f>IF(AND($H139="threat",$S139=0.5,$R139=0.4),$D139 &amp; ";","")</f>
        <v/>
      </c>
      <c r="AI139" s="58">
        <f>IF(AND($H139="threat",$S139=0.5,$R139=0.8),$D139 &amp; ";","")</f>
        <v/>
      </c>
      <c r="AJ139" s="58">
        <f>IF(AND($H139="threat",$S139=0.3,$R139=0.05),$D139 &amp; ";","")</f>
        <v/>
      </c>
      <c r="AK139" s="58">
        <f>IF(AND($H139="threat",$S139=0.3,$R139=0.1),$D139 &amp; ";","")</f>
        <v/>
      </c>
      <c r="AL139" s="58">
        <f>IF(AND($H139="threat",$S139=0.3,$R139=0.2),$D139 &amp; ";","")</f>
        <v/>
      </c>
      <c r="AM139" s="58">
        <f>IF(AND($H139="threat",$S139=0.3,$R139=0.4),$D139 &amp; ";","")</f>
        <v/>
      </c>
      <c r="AN139" s="58">
        <f>IF(AND($H139="threat",$S139=0.3,$R139=0.8),$D139 &amp; ";","")</f>
        <v/>
      </c>
      <c r="AO139" s="58">
        <f>IF(AND($H139="threat",$S139=0.1,$R139=0.05),$D139 &amp; ";","")</f>
        <v/>
      </c>
      <c r="AP139" s="58">
        <f>IF(AND($H139="threat",$S139=0.1,$R139=0.1),$D139 &amp; ";","")</f>
        <v/>
      </c>
      <c r="AQ139" s="58">
        <f>IF(AND($H139="threat",$S139=0.1,$R139=0.2),$D139 &amp; ";","")</f>
        <v/>
      </c>
      <c r="AR139" s="58">
        <f>IF(AND($H139="threat",$S139=0.1,$R139=0.4),$D139 &amp; ";","")</f>
        <v/>
      </c>
      <c r="AS139" s="58">
        <f>IF(AND($H139="threat",$S139=0.1,$R139=0.8),$D139 &amp; ";","")</f>
        <v/>
      </c>
      <c r="AT139" s="39" t="n"/>
      <c r="AU139" s="58">
        <f>IF(AND($H139="opportunity",$S139=0.9,$R139=0.8),$D139 &amp; ";","")</f>
        <v/>
      </c>
      <c r="AV139" s="58">
        <f>IF(AND($H139="opportunity",$S139=0.9,$R139=0.4),$D139 &amp; ";","")</f>
        <v/>
      </c>
      <c r="AW139" s="58">
        <f>IF(AND($H139="opportunity",$S139=0.9,$R139=0.2),$D139 &amp; ";","")</f>
        <v/>
      </c>
      <c r="AX139" s="58">
        <f>IF(AND($H139="opportunity",$S139=0.9,$R139=0.1),$D139 &amp; ";","")</f>
        <v/>
      </c>
      <c r="AY139" s="58">
        <f>IF(AND($H139="opportunity",$S139=0.9,$R139=0.05),$D139 &amp; ";","")</f>
        <v/>
      </c>
      <c r="AZ139" s="58">
        <f>IF(AND($H139="opportunity",$S139=0.7,$R139=0.8),$D139 &amp; ";","")</f>
        <v/>
      </c>
      <c r="BA139" s="58">
        <f>IF(AND($H139="opportunity",$S139=0.7,$R139=0.4),$D139 &amp; ";","")</f>
        <v/>
      </c>
      <c r="BB139" s="58">
        <f>IF(AND($H139="opportunity",$S139=0.7,$R139=0.2),$D139 &amp; ";","")</f>
        <v/>
      </c>
      <c r="BC139" s="58">
        <f>IF(AND($H139="opportunity",$S139=0.7,$R139=0.1),$D139 &amp; ";","")</f>
        <v/>
      </c>
      <c r="BD139" s="58">
        <f>IF(AND($H139="opportunity",$S139=0.7,$R139=0.05),$D139 &amp; ";","")</f>
        <v/>
      </c>
      <c r="BE139" s="58">
        <f>IF(AND($H139="opportunity",$S139=0.5,$R139=0.8),$D139 &amp; ";","")</f>
        <v/>
      </c>
      <c r="BF139" s="58">
        <f>IF(AND($H139="opportunity",$S139=0.5,$R139=0.4),$D139 &amp; ";","")</f>
        <v/>
      </c>
      <c r="BG139" s="58">
        <f>IF(AND($H139="opportunity",$S139=0.5,$R139=0.2),$D139 &amp; ";","")</f>
        <v/>
      </c>
      <c r="BH139" s="58">
        <f>IF(AND($H139="opportunity",$S139=0.5,$R139=0.1),$D139 &amp; ";","")</f>
        <v/>
      </c>
      <c r="BI139" s="58">
        <f>IF(AND($H139="opportunity",$S139=0.5,$R139=0.05),$D139 &amp; ";","")</f>
        <v/>
      </c>
      <c r="BJ139" s="58">
        <f>IF(AND($H139="opportunity",$S139=0.3,$R139=0.8),$D139 &amp; ";","")</f>
        <v/>
      </c>
      <c r="BK139" s="58">
        <f>IF(AND($H139="opportunity",$S139=0.3,$R139=0.4),$D139 &amp; ";","")</f>
        <v/>
      </c>
      <c r="BL139" s="58">
        <f>IF(AND($H139="opportunity",$S139=0.3,$R139=0.2),$D139 &amp; ";","")</f>
        <v/>
      </c>
      <c r="BM139" s="58">
        <f>IF(AND($H139="opportunity",$S139=0.3,$R139=0.1),$D139 &amp; ";","")</f>
        <v/>
      </c>
      <c r="BN139" s="58">
        <f>IF(AND($H139="opportunity",$S139=0.3,$R139=0.05),$D139 &amp; ";","")</f>
        <v/>
      </c>
      <c r="BO139" s="58">
        <f>IF(AND($H139="opportunity",$S139=0.1,$R139=0.8),$D139 &amp; ";","")</f>
        <v/>
      </c>
      <c r="BP139" s="58">
        <f>IF(AND($H139="opportunity",$S139=0.1,$R139=0.4),$D139 &amp; ";","")</f>
        <v/>
      </c>
      <c r="BQ139" s="58">
        <f>IF(AND($H139="opportunity",$S139=0.1,$R139=0.2),$D139 &amp; ";","")</f>
        <v/>
      </c>
      <c r="BR139" s="58">
        <f>IF(AND($H139="opportunity",$S139=0.1,$R139=0.1),$D139 &amp; ";","")</f>
        <v/>
      </c>
      <c r="BS139" s="58">
        <f>IF(AND($H139="opportunity",$S139=0.1,$R139=0.05),$D139 &amp; ";","")</f>
        <v/>
      </c>
      <c r="BV139" s="57">
        <f>INDIRECT(ADDRESS(ROW()-22,COLUMN()-45,1,1,"Risk Register"))</f>
        <v/>
      </c>
      <c r="BW139" s="58">
        <f>INDIRECT(ADDRESS(ROW()-22,COLUMN()-44,1,1,"Risk Register"))</f>
        <v/>
      </c>
      <c r="BX139" s="59">
        <f>IF(AND($H139="threat",$P139&lt;=0.05),"gn",IF(AND($H139="threat",$P139&lt;=0.14),"y",IF(AND($H139="threat", $P139&gt;=0.15),"r",IF(AND($H139="opportunity",$P139&lt;=0.05),"gn",IF(AND($H139="opportunity",$P139&lt;=0.14),"lb",IF(AND($H139="opportunity",$P139&gt;=0.15),"db","z"))))))</f>
        <v/>
      </c>
      <c r="BY139" s="58">
        <f>IF(AND($H139="threat",$BW139=0.9,$BV139=0.05),$D139 &amp; ";","")</f>
        <v/>
      </c>
      <c r="BZ139" s="58">
        <f>IF(AND($H139="threat",$BW139=0.9,$BV139=0.1),$D139 &amp; ";","")</f>
        <v/>
      </c>
      <c r="CA139" s="58">
        <f>IF(AND($H139="threat",$BW139=0.9,$BV139=0.2),$D139 &amp; ";","")</f>
        <v/>
      </c>
      <c r="CB139" s="58">
        <f>IF(AND($H139="threat",$BW139=0.9,$BV139=0.4),$D139 &amp; ";","")</f>
        <v/>
      </c>
      <c r="CC139" s="58">
        <f>IF(AND($H139="threat",$BW139=0.9,$BV139=0.8),$D139 &amp; ";","")</f>
        <v/>
      </c>
      <c r="CD139" s="58">
        <f>IF(AND($H139="threat",$BW139=0.7,$BV139=0.05),$D139 &amp; ";","")</f>
        <v/>
      </c>
      <c r="CE139" s="58">
        <f>IF(AND($H139="threat",$BW139=0.7,$BV139=0.1),$D139 &amp; ";","")</f>
        <v/>
      </c>
      <c r="CF139" s="58">
        <f>IF(AND($H139="threat",$BW139=0.7,$BV139=0.2),$D139 &amp; ";","")</f>
        <v/>
      </c>
      <c r="CG139" s="58">
        <f>IF(AND($H139="threat",$BW139=0.7,$BV139=0.4),$D139 &amp; ";","")</f>
        <v/>
      </c>
      <c r="CH139" s="58">
        <f>IF(AND($H139="threat",$BW139=0.7,$BV139=0.8),$D139 &amp; ";","")</f>
        <v/>
      </c>
      <c r="CI139" s="58">
        <f>IF(AND($H139="threat",$BW139=0.5,$BV139=0.05),$D139 &amp; ";","")</f>
        <v/>
      </c>
      <c r="CJ139" s="58">
        <f>IF(AND($H139="threat",$BW139=0.5,$BV139=0.1),$D139 &amp; ";","")</f>
        <v/>
      </c>
      <c r="CK139" s="58">
        <f>IF(AND($H139="threat",$BW139=0.5,$BV139=0.2),$D139 &amp; ";","")</f>
        <v/>
      </c>
      <c r="CL139" s="58">
        <f>IF(AND($H139="threat",$BW139=0.5,$BV139=0.4),$D139 &amp; ";","")</f>
        <v/>
      </c>
      <c r="CM139" s="58">
        <f>IF(AND($H139="threat",$BW139=0.5,$BV139=0.8),$D139 &amp; ";","")</f>
        <v/>
      </c>
      <c r="CN139" s="58">
        <f>IF(AND($H139="threat",$BW139=0.3,$BV139=0.05),$D139 &amp; ";","")</f>
        <v/>
      </c>
      <c r="CO139" s="58">
        <f>IF(AND($H139="threat",$BW139=0.3,$BV139=0.1),$D139 &amp; ";","")</f>
        <v/>
      </c>
      <c r="CP139" s="58">
        <f>IF(AND($H139="threat",$BW139=0.3,$BV139=0.2),$D139 &amp; ";","")</f>
        <v/>
      </c>
      <c r="CQ139" s="58">
        <f>IF(AND($H139="threat",$BW139=0.3,$BV139=0.4),$D139 &amp; ";","")</f>
        <v/>
      </c>
      <c r="CR139" s="58">
        <f>IF(AND($H139="threat",$BW139=0.3,$BV139=0.8),$D139 &amp; ";","")</f>
        <v/>
      </c>
      <c r="CS139" s="58">
        <f>IF(AND($H139="threat",$BW139=0.1,$BV139=0.05),$D139 &amp; ";","")</f>
        <v/>
      </c>
      <c r="CT139" s="58">
        <f>IF(AND($H139="threat",$BW139=0.1,$BV139=0.1),$D139 &amp; ";","")</f>
        <v/>
      </c>
      <c r="CU139" s="58">
        <f>IF(AND($H139="threat",$BW139=0.1,$BV139=0.2),$D139 &amp; ";","")</f>
        <v/>
      </c>
      <c r="CV139" s="58">
        <f>IF(AND($H139="threat",$BW139=0.1,$BV139=0.4),$D139 &amp; ";","")</f>
        <v/>
      </c>
      <c r="CW139" s="58">
        <f>IF(AND($H139="threat",$BW139=0.1,$BV139=0.8),$D139 &amp; ";","")</f>
        <v/>
      </c>
      <c r="CX139" s="39" t="n"/>
      <c r="CY139" s="58">
        <f>IF(AND($H139="opportunity",$BW139=0.9,$BV139=0.8),$D139 &amp; ";","")</f>
        <v/>
      </c>
      <c r="CZ139" s="58">
        <f>IF(AND($H139="opportunity",$BW139=0.9,$BV139=0.4),$D139 &amp; ";","")</f>
        <v/>
      </c>
      <c r="DA139" s="58">
        <f>IF(AND($H139="opportunity",$BW139=0.9,$BV139=0.2),$D139 &amp; ";","")</f>
        <v/>
      </c>
      <c r="DB139" s="58">
        <f>IF(AND($H139="opportunity",$BW139=0.9,$BV139=0.1),$D139 &amp; ";","")</f>
        <v/>
      </c>
      <c r="DC139" s="58">
        <f>IF(AND($H139="opportunity",$BW139=0.9,$BV139=0.05),$D139 &amp; ";","")</f>
        <v/>
      </c>
      <c r="DD139" s="58">
        <f>IF(AND($H139="opportunity",$BW139=0.7,$BV139=0.8),$D139 &amp; ";","")</f>
        <v/>
      </c>
      <c r="DE139" s="58">
        <f>IF(AND($H139="opportunity",$BW139=0.7,$BV139=0.4),$D139 &amp; ";","")</f>
        <v/>
      </c>
      <c r="DF139" s="58">
        <f>IF(AND($H139="opportunity",$BW139=0.7,$BV139=0.2),$D139 &amp; ";","")</f>
        <v/>
      </c>
      <c r="DG139" s="58">
        <f>IF(AND($H139="opportunity",$BW139=0.7,$BV139=0.1),$D139 &amp; ";","")</f>
        <v/>
      </c>
      <c r="DH139" s="58">
        <f>IF(AND($H139="opportunity",$BW139=0.7,$BV139=0.05),$D139 &amp; ";","")</f>
        <v/>
      </c>
      <c r="DI139" s="58">
        <f>IF(AND($H139="opportunity",$BW139=0.5,$BV139=0.8),$D139 &amp; ";","")</f>
        <v/>
      </c>
      <c r="DJ139" s="58">
        <f>IF(AND($H139="opportunity",$BW139=0.5,$BV139=0.4),$D139 &amp; ";","")</f>
        <v/>
      </c>
      <c r="DK139" s="58">
        <f>IF(AND($H139="opportunity",$BW139=0.5,$BV139=0.2),$D139 &amp; ";","")</f>
        <v/>
      </c>
      <c r="DL139" s="58">
        <f>IF(AND($H139="opportunity",$BW139=0.5,$BV139=0.1),$D139 &amp; ";","")</f>
        <v/>
      </c>
      <c r="DM139" s="58">
        <f>IF(AND($H139="opportunity",$BW139=0.5,$BV139=0.05),$D139 &amp; ";","")</f>
        <v/>
      </c>
      <c r="DN139" s="58">
        <f>IF(AND($H139="opportunity",$BW139=0.3,$BV139=0.8),$D139 &amp; ";","")</f>
        <v/>
      </c>
      <c r="DO139" s="58">
        <f>IF(AND($H139="opportunity",$BW139=0.3,$BV139=0.4),$D139 &amp; ";","")</f>
        <v/>
      </c>
      <c r="DP139" s="58">
        <f>IF(AND($H139="opportunity",$BW139=0.3,$BV139=0.2),$D139 &amp; ";","")</f>
        <v/>
      </c>
      <c r="DQ139" s="58">
        <f>IF(AND($H139="opportunity",$BW139=0.3,$BV139=0.1),$D139 &amp; ";","")</f>
        <v/>
      </c>
      <c r="DR139" s="58">
        <f>IF(AND($H139="opportunity",$BW139=0.3,$BV139=0.05),$D139 &amp; ";","")</f>
        <v/>
      </c>
      <c r="DS139" s="58">
        <f>IF(AND($H139="opportunity",$BW139=0.1,$BV139=0.8),$D139 &amp; ";","")</f>
        <v/>
      </c>
      <c r="DT139" s="58">
        <f>IF(AND($H139="opportunity",$BW139=0.1,$BV139=0.4),$D139 &amp; ";","")</f>
        <v/>
      </c>
      <c r="DU139" s="58">
        <f>IF(AND($H139="opportunity",$BW139=0.1,$BV139=0.2),$D139 &amp; ";","")</f>
        <v/>
      </c>
      <c r="DV139" s="58">
        <f>IF(AND($H139="opportunity",$BW139=0.1,$BV139=0.1),$D139 &amp; ";","")</f>
        <v/>
      </c>
      <c r="DW139" s="58">
        <f>IF(AND($H139="opportunity",$BW139=0.1,$BV139=0.05),$D139 &amp; ";","")</f>
        <v/>
      </c>
    </row>
    <row r="140">
      <c r="D140" s="60">
        <f>INDIRECT(ADDRESS(ROW()-22,COLUMN()-2,1,1,"Risk Register"))</f>
        <v/>
      </c>
      <c r="E140" s="143">
        <f>INDIRECT(ADDRESS(ROW()-22,COLUMN()-1,1,1,"Risk Register"))</f>
        <v/>
      </c>
      <c r="G140" s="56">
        <f>INDIRECT(ADDRESS(ROW()-22,COLUMN()+10,1,1,"Risk Register"))</f>
        <v/>
      </c>
      <c r="H140" s="60">
        <f>INDIRECT(ADDRESS(ROW()-22,COLUMN()+8,1,1,"Risk Register"))</f>
        <v/>
      </c>
      <c r="I140" s="54">
        <f>INDIRECT(ADDRESS(ROW()-22,COLUMN()+3,1,1,"Risk Register"))</f>
        <v/>
      </c>
      <c r="J140" s="143">
        <f>INDIRECT(ADDRESS(ROW()-22,COLUMN()+12,1,1,"Risk Register"))</f>
        <v/>
      </c>
      <c r="K140" s="143">
        <f>INDIRECT(ADDRESS(ROW()-22,COLUMN()-2,1,1,"Risk Register"))</f>
        <v/>
      </c>
      <c r="L140" s="176">
        <f>INDIRECT(ADDRESS(ROW()-22,COLUMN()+15,1,1,"Risk Register"))</f>
        <v/>
      </c>
      <c r="M140" s="54">
        <f>INDIRECT(ADDRESS(ROW()-22,COLUMN()+13,1,1,"Risk Register"))</f>
        <v/>
      </c>
      <c r="N140" s="143">
        <f>INDIRECT(ADDRESS(ROW()-22,COLUMN()-9,1,1,"Risk Register"))</f>
        <v/>
      </c>
      <c r="O140" s="143">
        <f>INDIRECT(ADDRESS(ROW()-22,COLUMN()-8,1,1,"Risk Register"))</f>
        <v/>
      </c>
      <c r="P140" s="56">
        <f>INDIRECT(ADDRESS(ROW()-22,COLUMN()+18,1,1,"Risk Register"))</f>
        <v/>
      </c>
      <c r="R140" s="57">
        <f>INDIRECT(ADDRESS(ROW()-22,COLUMN()-5,1,1,"Risk Register"))</f>
        <v/>
      </c>
      <c r="S140" s="58">
        <f>INDIRECT(ADDRESS(ROW()-22,COLUMN()-4,1,1,"Risk Register"))</f>
        <v/>
      </c>
      <c r="T140" s="59">
        <f>IF(AND($H140="threat",$G140&lt;=0.05),"gn",IF(AND($H140="threat",$G140&lt;=0.14),"y",IF(AND($H140="threat", $G140&gt;=0.15),"r",IF(AND($H140="opportunity",$G140&lt;=0.05),"gn",IF(AND($H140="opportunity",$G140&lt;=0.14),"lb",IF(AND($H140="opportunity",$G140&gt;=0.15),"db","z"))))))</f>
        <v/>
      </c>
      <c r="U140" s="58">
        <f>IF(AND($H140="threat",$S140=0.9,$R140=0.05),$D140 &amp; ";","")</f>
        <v/>
      </c>
      <c r="V140" s="58">
        <f>IF(AND($H140="threat",$S140=0.9,$R140=0.1),$D140 &amp; ";","")</f>
        <v/>
      </c>
      <c r="W140" s="58">
        <f>IF(AND($H140="threat",$S140=0.9,$R140=0.2),$D140 &amp; ";","")</f>
        <v/>
      </c>
      <c r="X140" s="58">
        <f>IF(AND($H140="threat",$S140=0.9,$R140=0.4),$D140 &amp; ";","")</f>
        <v/>
      </c>
      <c r="Y140" s="58">
        <f>IF(AND($H140="threat",$S140=0.9,$R140=0.8),$D140 &amp; ";","")</f>
        <v/>
      </c>
      <c r="Z140" s="58">
        <f>IF(AND($H140="threat",$S140=0.7,$R140=0.05),$D140 &amp; ";","")</f>
        <v/>
      </c>
      <c r="AA140" s="58">
        <f>IF(AND($H140="threat",$S140=0.7,$R140=0.1),$D140 &amp; ";","")</f>
        <v/>
      </c>
      <c r="AB140" s="58">
        <f>IF(AND($H140="threat",$S140=0.7,$R140=0.2),$D140 &amp; ";","")</f>
        <v/>
      </c>
      <c r="AC140" s="58">
        <f>IF(AND($H140="threat",$S140=0.7,$R140=0.4),$D140 &amp; ";","")</f>
        <v/>
      </c>
      <c r="AD140" s="58">
        <f>IF(AND($H140="threat",$S140=0.7,$R140=0.8),$D140 &amp; ";","")</f>
        <v/>
      </c>
      <c r="AE140" s="58">
        <f>IF(AND($H140="threat",$S140=0.5,$R140=0.05),$D140 &amp; ";","")</f>
        <v/>
      </c>
      <c r="AF140" s="58">
        <f>IF(AND($H140="threat",$S140=0.5,$R140=0.1),$D140 &amp; ";","")</f>
        <v/>
      </c>
      <c r="AG140" s="58">
        <f>IF(AND($H140="threat",$S140=0.5,$R140=0.2),$D140 &amp; ";","")</f>
        <v/>
      </c>
      <c r="AH140" s="58">
        <f>IF(AND($H140="threat",$S140=0.5,$R140=0.4),$D140 &amp; ";","")</f>
        <v/>
      </c>
      <c r="AI140" s="58">
        <f>IF(AND($H140="threat",$S140=0.5,$R140=0.8),$D140 &amp; ";","")</f>
        <v/>
      </c>
      <c r="AJ140" s="58">
        <f>IF(AND($H140="threat",$S140=0.3,$R140=0.05),$D140 &amp; ";","")</f>
        <v/>
      </c>
      <c r="AK140" s="58">
        <f>IF(AND($H140="threat",$S140=0.3,$R140=0.1),$D140 &amp; ";","")</f>
        <v/>
      </c>
      <c r="AL140" s="58">
        <f>IF(AND($H140="threat",$S140=0.3,$R140=0.2),$D140 &amp; ";","")</f>
        <v/>
      </c>
      <c r="AM140" s="58">
        <f>IF(AND($H140="threat",$S140=0.3,$R140=0.4),$D140 &amp; ";","")</f>
        <v/>
      </c>
      <c r="AN140" s="58">
        <f>IF(AND($H140="threat",$S140=0.3,$R140=0.8),$D140 &amp; ";","")</f>
        <v/>
      </c>
      <c r="AO140" s="58">
        <f>IF(AND($H140="threat",$S140=0.1,$R140=0.05),$D140 &amp; ";","")</f>
        <v/>
      </c>
      <c r="AP140" s="58">
        <f>IF(AND($H140="threat",$S140=0.1,$R140=0.1),$D140 &amp; ";","")</f>
        <v/>
      </c>
      <c r="AQ140" s="58">
        <f>IF(AND($H140="threat",$S140=0.1,$R140=0.2),$D140 &amp; ";","")</f>
        <v/>
      </c>
      <c r="AR140" s="58">
        <f>IF(AND($H140="threat",$S140=0.1,$R140=0.4),$D140 &amp; ";","")</f>
        <v/>
      </c>
      <c r="AS140" s="58">
        <f>IF(AND($H140="threat",$S140=0.1,$R140=0.8),$D140 &amp; ";","")</f>
        <v/>
      </c>
      <c r="AT140" s="39" t="n"/>
      <c r="AU140" s="58">
        <f>IF(AND($H140="opportunity",$S140=0.9,$R140=0.8),$D140 &amp; ";","")</f>
        <v/>
      </c>
      <c r="AV140" s="58">
        <f>IF(AND($H140="opportunity",$S140=0.9,$R140=0.4),$D140 &amp; ";","")</f>
        <v/>
      </c>
      <c r="AW140" s="58">
        <f>IF(AND($H140="opportunity",$S140=0.9,$R140=0.2),$D140 &amp; ";","")</f>
        <v/>
      </c>
      <c r="AX140" s="58">
        <f>IF(AND($H140="opportunity",$S140=0.9,$R140=0.1),$D140 &amp; ";","")</f>
        <v/>
      </c>
      <c r="AY140" s="58">
        <f>IF(AND($H140="opportunity",$S140=0.9,$R140=0.05),$D140 &amp; ";","")</f>
        <v/>
      </c>
      <c r="AZ140" s="58">
        <f>IF(AND($H140="opportunity",$S140=0.7,$R140=0.8),$D140 &amp; ";","")</f>
        <v/>
      </c>
      <c r="BA140" s="58">
        <f>IF(AND($H140="opportunity",$S140=0.7,$R140=0.4),$D140 &amp; ";","")</f>
        <v/>
      </c>
      <c r="BB140" s="58">
        <f>IF(AND($H140="opportunity",$S140=0.7,$R140=0.2),$D140 &amp; ";","")</f>
        <v/>
      </c>
      <c r="BC140" s="58">
        <f>IF(AND($H140="opportunity",$S140=0.7,$R140=0.1),$D140 &amp; ";","")</f>
        <v/>
      </c>
      <c r="BD140" s="58">
        <f>IF(AND($H140="opportunity",$S140=0.7,$R140=0.05),$D140 &amp; ";","")</f>
        <v/>
      </c>
      <c r="BE140" s="58">
        <f>IF(AND($H140="opportunity",$S140=0.5,$R140=0.8),$D140 &amp; ";","")</f>
        <v/>
      </c>
      <c r="BF140" s="58">
        <f>IF(AND($H140="opportunity",$S140=0.5,$R140=0.4),$D140 &amp; ";","")</f>
        <v/>
      </c>
      <c r="BG140" s="58">
        <f>IF(AND($H140="opportunity",$S140=0.5,$R140=0.2),$D140 &amp; ";","")</f>
        <v/>
      </c>
      <c r="BH140" s="58">
        <f>IF(AND($H140="opportunity",$S140=0.5,$R140=0.1),$D140 &amp; ";","")</f>
        <v/>
      </c>
      <c r="BI140" s="58">
        <f>IF(AND($H140="opportunity",$S140=0.5,$R140=0.05),$D140 &amp; ";","")</f>
        <v/>
      </c>
      <c r="BJ140" s="58">
        <f>IF(AND($H140="opportunity",$S140=0.3,$R140=0.8),$D140 &amp; ";","")</f>
        <v/>
      </c>
      <c r="BK140" s="58">
        <f>IF(AND($H140="opportunity",$S140=0.3,$R140=0.4),$D140 &amp; ";","")</f>
        <v/>
      </c>
      <c r="BL140" s="58">
        <f>IF(AND($H140="opportunity",$S140=0.3,$R140=0.2),$D140 &amp; ";","")</f>
        <v/>
      </c>
      <c r="BM140" s="58">
        <f>IF(AND($H140="opportunity",$S140=0.3,$R140=0.1),$D140 &amp; ";","")</f>
        <v/>
      </c>
      <c r="BN140" s="58">
        <f>IF(AND($H140="opportunity",$S140=0.3,$R140=0.05),$D140 &amp; ";","")</f>
        <v/>
      </c>
      <c r="BO140" s="58">
        <f>IF(AND($H140="opportunity",$S140=0.1,$R140=0.8),$D140 &amp; ";","")</f>
        <v/>
      </c>
      <c r="BP140" s="58">
        <f>IF(AND($H140="opportunity",$S140=0.1,$R140=0.4),$D140 &amp; ";","")</f>
        <v/>
      </c>
      <c r="BQ140" s="58">
        <f>IF(AND($H140="opportunity",$S140=0.1,$R140=0.2),$D140 &amp; ";","")</f>
        <v/>
      </c>
      <c r="BR140" s="58">
        <f>IF(AND($H140="opportunity",$S140=0.1,$R140=0.1),$D140 &amp; ";","")</f>
        <v/>
      </c>
      <c r="BS140" s="58">
        <f>IF(AND($H140="opportunity",$S140=0.1,$R140=0.05),$D140 &amp; ";","")</f>
        <v/>
      </c>
      <c r="BV140" s="57">
        <f>INDIRECT(ADDRESS(ROW()-22,COLUMN()-45,1,1,"Risk Register"))</f>
        <v/>
      </c>
      <c r="BW140" s="58">
        <f>INDIRECT(ADDRESS(ROW()-22,COLUMN()-44,1,1,"Risk Register"))</f>
        <v/>
      </c>
      <c r="BX140" s="59">
        <f>IF(AND($H140="threat",$P140&lt;=0.05),"gn",IF(AND($H140="threat",$P140&lt;=0.14),"y",IF(AND($H140="threat", $P140&gt;=0.15),"r",IF(AND($H140="opportunity",$P140&lt;=0.05),"gn",IF(AND($H140="opportunity",$P140&lt;=0.14),"lb",IF(AND($H140="opportunity",$P140&gt;=0.15),"db","z"))))))</f>
        <v/>
      </c>
      <c r="BY140" s="58">
        <f>IF(AND($H140="threat",$BW140=0.9,$BV140=0.05),$D140 &amp; ";","")</f>
        <v/>
      </c>
      <c r="BZ140" s="58">
        <f>IF(AND($H140="threat",$BW140=0.9,$BV140=0.1),$D140 &amp; ";","")</f>
        <v/>
      </c>
      <c r="CA140" s="58">
        <f>IF(AND($H140="threat",$BW140=0.9,$BV140=0.2),$D140 &amp; ";","")</f>
        <v/>
      </c>
      <c r="CB140" s="58">
        <f>IF(AND($H140="threat",$BW140=0.9,$BV140=0.4),$D140 &amp; ";","")</f>
        <v/>
      </c>
      <c r="CC140" s="58">
        <f>IF(AND($H140="threat",$BW140=0.9,$BV140=0.8),$D140 &amp; ";","")</f>
        <v/>
      </c>
      <c r="CD140" s="58">
        <f>IF(AND($H140="threat",$BW140=0.7,$BV140=0.05),$D140 &amp; ";","")</f>
        <v/>
      </c>
      <c r="CE140" s="58">
        <f>IF(AND($H140="threat",$BW140=0.7,$BV140=0.1),$D140 &amp; ";","")</f>
        <v/>
      </c>
      <c r="CF140" s="58">
        <f>IF(AND($H140="threat",$BW140=0.7,$BV140=0.2),$D140 &amp; ";","")</f>
        <v/>
      </c>
      <c r="CG140" s="58">
        <f>IF(AND($H140="threat",$BW140=0.7,$BV140=0.4),$D140 &amp; ";","")</f>
        <v/>
      </c>
      <c r="CH140" s="58">
        <f>IF(AND($H140="threat",$BW140=0.7,$BV140=0.8),$D140 &amp; ";","")</f>
        <v/>
      </c>
      <c r="CI140" s="58">
        <f>IF(AND($H140="threat",$BW140=0.5,$BV140=0.05),$D140 &amp; ";","")</f>
        <v/>
      </c>
      <c r="CJ140" s="58">
        <f>IF(AND($H140="threat",$BW140=0.5,$BV140=0.1),$D140 &amp; ";","")</f>
        <v/>
      </c>
      <c r="CK140" s="58">
        <f>IF(AND($H140="threat",$BW140=0.5,$BV140=0.2),$D140 &amp; ";","")</f>
        <v/>
      </c>
      <c r="CL140" s="58">
        <f>IF(AND($H140="threat",$BW140=0.5,$BV140=0.4),$D140 &amp; ";","")</f>
        <v/>
      </c>
      <c r="CM140" s="58">
        <f>IF(AND($H140="threat",$BW140=0.5,$BV140=0.8),$D140 &amp; ";","")</f>
        <v/>
      </c>
      <c r="CN140" s="58">
        <f>IF(AND($H140="threat",$BW140=0.3,$BV140=0.05),$D140 &amp; ";","")</f>
        <v/>
      </c>
      <c r="CO140" s="58">
        <f>IF(AND($H140="threat",$BW140=0.3,$BV140=0.1),$D140 &amp; ";","")</f>
        <v/>
      </c>
      <c r="CP140" s="58">
        <f>IF(AND($H140="threat",$BW140=0.3,$BV140=0.2),$D140 &amp; ";","")</f>
        <v/>
      </c>
      <c r="CQ140" s="58">
        <f>IF(AND($H140="threat",$BW140=0.3,$BV140=0.4),$D140 &amp; ";","")</f>
        <v/>
      </c>
      <c r="CR140" s="58">
        <f>IF(AND($H140="threat",$BW140=0.3,$BV140=0.8),$D140 &amp; ";","")</f>
        <v/>
      </c>
      <c r="CS140" s="58">
        <f>IF(AND($H140="threat",$BW140=0.1,$BV140=0.05),$D140 &amp; ";","")</f>
        <v/>
      </c>
      <c r="CT140" s="58">
        <f>IF(AND($H140="threat",$BW140=0.1,$BV140=0.1),$D140 &amp; ";","")</f>
        <v/>
      </c>
      <c r="CU140" s="58">
        <f>IF(AND($H140="threat",$BW140=0.1,$BV140=0.2),$D140 &amp; ";","")</f>
        <v/>
      </c>
      <c r="CV140" s="58">
        <f>IF(AND($H140="threat",$BW140=0.1,$BV140=0.4),$D140 &amp; ";","")</f>
        <v/>
      </c>
      <c r="CW140" s="58">
        <f>IF(AND($H140="threat",$BW140=0.1,$BV140=0.8),$D140 &amp; ";","")</f>
        <v/>
      </c>
      <c r="CX140" s="39" t="n"/>
      <c r="CY140" s="58">
        <f>IF(AND($H140="opportunity",$BW140=0.9,$BV140=0.8),$D140 &amp; ";","")</f>
        <v/>
      </c>
      <c r="CZ140" s="58">
        <f>IF(AND($H140="opportunity",$BW140=0.9,$BV140=0.4),$D140 &amp; ";","")</f>
        <v/>
      </c>
      <c r="DA140" s="58">
        <f>IF(AND($H140="opportunity",$BW140=0.9,$BV140=0.2),$D140 &amp; ";","")</f>
        <v/>
      </c>
      <c r="DB140" s="58">
        <f>IF(AND($H140="opportunity",$BW140=0.9,$BV140=0.1),$D140 &amp; ";","")</f>
        <v/>
      </c>
      <c r="DC140" s="58">
        <f>IF(AND($H140="opportunity",$BW140=0.9,$BV140=0.05),$D140 &amp; ";","")</f>
        <v/>
      </c>
      <c r="DD140" s="58">
        <f>IF(AND($H140="opportunity",$BW140=0.7,$BV140=0.8),$D140 &amp; ";","")</f>
        <v/>
      </c>
      <c r="DE140" s="58">
        <f>IF(AND($H140="opportunity",$BW140=0.7,$BV140=0.4),$D140 &amp; ";","")</f>
        <v/>
      </c>
      <c r="DF140" s="58">
        <f>IF(AND($H140="opportunity",$BW140=0.7,$BV140=0.2),$D140 &amp; ";","")</f>
        <v/>
      </c>
      <c r="DG140" s="58">
        <f>IF(AND($H140="opportunity",$BW140=0.7,$BV140=0.1),$D140 &amp; ";","")</f>
        <v/>
      </c>
      <c r="DH140" s="58">
        <f>IF(AND($H140="opportunity",$BW140=0.7,$BV140=0.05),$D140 &amp; ";","")</f>
        <v/>
      </c>
      <c r="DI140" s="58">
        <f>IF(AND($H140="opportunity",$BW140=0.5,$BV140=0.8),$D140 &amp; ";","")</f>
        <v/>
      </c>
      <c r="DJ140" s="58">
        <f>IF(AND($H140="opportunity",$BW140=0.5,$BV140=0.4),$D140 &amp; ";","")</f>
        <v/>
      </c>
      <c r="DK140" s="58">
        <f>IF(AND($H140="opportunity",$BW140=0.5,$BV140=0.2),$D140 &amp; ";","")</f>
        <v/>
      </c>
      <c r="DL140" s="58">
        <f>IF(AND($H140="opportunity",$BW140=0.5,$BV140=0.1),$D140 &amp; ";","")</f>
        <v/>
      </c>
      <c r="DM140" s="58">
        <f>IF(AND($H140="opportunity",$BW140=0.5,$BV140=0.05),$D140 &amp; ";","")</f>
        <v/>
      </c>
      <c r="DN140" s="58">
        <f>IF(AND($H140="opportunity",$BW140=0.3,$BV140=0.8),$D140 &amp; ";","")</f>
        <v/>
      </c>
      <c r="DO140" s="58">
        <f>IF(AND($H140="opportunity",$BW140=0.3,$BV140=0.4),$D140 &amp; ";","")</f>
        <v/>
      </c>
      <c r="DP140" s="58">
        <f>IF(AND($H140="opportunity",$BW140=0.3,$BV140=0.2),$D140 &amp; ";","")</f>
        <v/>
      </c>
      <c r="DQ140" s="58">
        <f>IF(AND($H140="opportunity",$BW140=0.3,$BV140=0.1),$D140 &amp; ";","")</f>
        <v/>
      </c>
      <c r="DR140" s="58">
        <f>IF(AND($H140="opportunity",$BW140=0.3,$BV140=0.05),$D140 &amp; ";","")</f>
        <v/>
      </c>
      <c r="DS140" s="58">
        <f>IF(AND($H140="opportunity",$BW140=0.1,$BV140=0.8),$D140 &amp; ";","")</f>
        <v/>
      </c>
      <c r="DT140" s="58">
        <f>IF(AND($H140="opportunity",$BW140=0.1,$BV140=0.4),$D140 &amp; ";","")</f>
        <v/>
      </c>
      <c r="DU140" s="58">
        <f>IF(AND($H140="opportunity",$BW140=0.1,$BV140=0.2),$D140 &amp; ";","")</f>
        <v/>
      </c>
      <c r="DV140" s="58">
        <f>IF(AND($H140="opportunity",$BW140=0.1,$BV140=0.1),$D140 &amp; ";","")</f>
        <v/>
      </c>
      <c r="DW140" s="58">
        <f>IF(AND($H140="opportunity",$BW140=0.1,$BV140=0.05),$D140 &amp; ";","")</f>
        <v/>
      </c>
    </row>
    <row r="141">
      <c r="D141" s="60">
        <f>INDIRECT(ADDRESS(ROW()-22,COLUMN()-2,1,1,"Risk Register"))</f>
        <v/>
      </c>
      <c r="E141" s="143">
        <f>INDIRECT(ADDRESS(ROW()-22,COLUMN()-1,1,1,"Risk Register"))</f>
        <v/>
      </c>
      <c r="G141" s="56">
        <f>INDIRECT(ADDRESS(ROW()-22,COLUMN()+10,1,1,"Risk Register"))</f>
        <v/>
      </c>
      <c r="H141" s="60">
        <f>INDIRECT(ADDRESS(ROW()-22,COLUMN()+8,1,1,"Risk Register"))</f>
        <v/>
      </c>
      <c r="I141" s="54">
        <f>INDIRECT(ADDRESS(ROW()-22,COLUMN()+3,1,1,"Risk Register"))</f>
        <v/>
      </c>
      <c r="J141" s="143">
        <f>INDIRECT(ADDRESS(ROW()-22,COLUMN()+12,1,1,"Risk Register"))</f>
        <v/>
      </c>
      <c r="K141" s="143">
        <f>INDIRECT(ADDRESS(ROW()-22,COLUMN()-2,1,1,"Risk Register"))</f>
        <v/>
      </c>
      <c r="L141" s="176">
        <f>INDIRECT(ADDRESS(ROW()-22,COLUMN()+15,1,1,"Risk Register"))</f>
        <v/>
      </c>
      <c r="M141" s="54">
        <f>INDIRECT(ADDRESS(ROW()-22,COLUMN()+13,1,1,"Risk Register"))</f>
        <v/>
      </c>
      <c r="N141" s="143">
        <f>INDIRECT(ADDRESS(ROW()-22,COLUMN()-9,1,1,"Risk Register"))</f>
        <v/>
      </c>
      <c r="O141" s="143">
        <f>INDIRECT(ADDRESS(ROW()-22,COLUMN()-8,1,1,"Risk Register"))</f>
        <v/>
      </c>
      <c r="P141" s="56">
        <f>INDIRECT(ADDRESS(ROW()-22,COLUMN()+18,1,1,"Risk Register"))</f>
        <v/>
      </c>
      <c r="R141" s="57">
        <f>INDIRECT(ADDRESS(ROW()-22,COLUMN()-5,1,1,"Risk Register"))</f>
        <v/>
      </c>
      <c r="S141" s="58">
        <f>INDIRECT(ADDRESS(ROW()-22,COLUMN()-4,1,1,"Risk Register"))</f>
        <v/>
      </c>
      <c r="T141" s="59">
        <f>IF(AND($H141="threat",$G141&lt;=0.05),"gn",IF(AND($H141="threat",$G141&lt;=0.14),"y",IF(AND($H141="threat", $G141&gt;=0.15),"r",IF(AND($H141="opportunity",$G141&lt;=0.05),"gn",IF(AND($H141="opportunity",$G141&lt;=0.14),"lb",IF(AND($H141="opportunity",$G141&gt;=0.15),"db","z"))))))</f>
        <v/>
      </c>
      <c r="U141" s="58">
        <f>IF(AND($H141="threat",$S141=0.9,$R141=0.05),$D141 &amp; ";","")</f>
        <v/>
      </c>
      <c r="V141" s="58">
        <f>IF(AND($H141="threat",$S141=0.9,$R141=0.1),$D141 &amp; ";","")</f>
        <v/>
      </c>
      <c r="W141" s="58">
        <f>IF(AND($H141="threat",$S141=0.9,$R141=0.2),$D141 &amp; ";","")</f>
        <v/>
      </c>
      <c r="X141" s="58">
        <f>IF(AND($H141="threat",$S141=0.9,$R141=0.4),$D141 &amp; ";","")</f>
        <v/>
      </c>
      <c r="Y141" s="58">
        <f>IF(AND($H141="threat",$S141=0.9,$R141=0.8),$D141 &amp; ";","")</f>
        <v/>
      </c>
      <c r="Z141" s="58">
        <f>IF(AND($H141="threat",$S141=0.7,$R141=0.05),$D141 &amp; ";","")</f>
        <v/>
      </c>
      <c r="AA141" s="58">
        <f>IF(AND($H141="threat",$S141=0.7,$R141=0.1),$D141 &amp; ";","")</f>
        <v/>
      </c>
      <c r="AB141" s="58">
        <f>IF(AND($H141="threat",$S141=0.7,$R141=0.2),$D141 &amp; ";","")</f>
        <v/>
      </c>
      <c r="AC141" s="58">
        <f>IF(AND($H141="threat",$S141=0.7,$R141=0.4),$D141 &amp; ";","")</f>
        <v/>
      </c>
      <c r="AD141" s="58">
        <f>IF(AND($H141="threat",$S141=0.7,$R141=0.8),$D141 &amp; ";","")</f>
        <v/>
      </c>
      <c r="AE141" s="58">
        <f>IF(AND($H141="threat",$S141=0.5,$R141=0.05),$D141 &amp; ";","")</f>
        <v/>
      </c>
      <c r="AF141" s="58">
        <f>IF(AND($H141="threat",$S141=0.5,$R141=0.1),$D141 &amp; ";","")</f>
        <v/>
      </c>
      <c r="AG141" s="58">
        <f>IF(AND($H141="threat",$S141=0.5,$R141=0.2),$D141 &amp; ";","")</f>
        <v/>
      </c>
      <c r="AH141" s="58">
        <f>IF(AND($H141="threat",$S141=0.5,$R141=0.4),$D141 &amp; ";","")</f>
        <v/>
      </c>
      <c r="AI141" s="58">
        <f>IF(AND($H141="threat",$S141=0.5,$R141=0.8),$D141 &amp; ";","")</f>
        <v/>
      </c>
      <c r="AJ141" s="58">
        <f>IF(AND($H141="threat",$S141=0.3,$R141=0.05),$D141 &amp; ";","")</f>
        <v/>
      </c>
      <c r="AK141" s="58">
        <f>IF(AND($H141="threat",$S141=0.3,$R141=0.1),$D141 &amp; ";","")</f>
        <v/>
      </c>
      <c r="AL141" s="58">
        <f>IF(AND($H141="threat",$S141=0.3,$R141=0.2),$D141 &amp; ";","")</f>
        <v/>
      </c>
      <c r="AM141" s="58">
        <f>IF(AND($H141="threat",$S141=0.3,$R141=0.4),$D141 &amp; ";","")</f>
        <v/>
      </c>
      <c r="AN141" s="58">
        <f>IF(AND($H141="threat",$S141=0.3,$R141=0.8),$D141 &amp; ";","")</f>
        <v/>
      </c>
      <c r="AO141" s="58">
        <f>IF(AND($H141="threat",$S141=0.1,$R141=0.05),$D141 &amp; ";","")</f>
        <v/>
      </c>
      <c r="AP141" s="58">
        <f>IF(AND($H141="threat",$S141=0.1,$R141=0.1),$D141 &amp; ";","")</f>
        <v/>
      </c>
      <c r="AQ141" s="58">
        <f>IF(AND($H141="threat",$S141=0.1,$R141=0.2),$D141 &amp; ";","")</f>
        <v/>
      </c>
      <c r="AR141" s="58">
        <f>IF(AND($H141="threat",$S141=0.1,$R141=0.4),$D141 &amp; ";","")</f>
        <v/>
      </c>
      <c r="AS141" s="58">
        <f>IF(AND($H141="threat",$S141=0.1,$R141=0.8),$D141 &amp; ";","")</f>
        <v/>
      </c>
      <c r="AT141" s="39" t="n"/>
      <c r="AU141" s="58">
        <f>IF(AND($H141="opportunity",$S141=0.9,$R141=0.8),$D141 &amp; ";","")</f>
        <v/>
      </c>
      <c r="AV141" s="58">
        <f>IF(AND($H141="opportunity",$S141=0.9,$R141=0.4),$D141 &amp; ";","")</f>
        <v/>
      </c>
      <c r="AW141" s="58">
        <f>IF(AND($H141="opportunity",$S141=0.9,$R141=0.2),$D141 &amp; ";","")</f>
        <v/>
      </c>
      <c r="AX141" s="58">
        <f>IF(AND($H141="opportunity",$S141=0.9,$R141=0.1),$D141 &amp; ";","")</f>
        <v/>
      </c>
      <c r="AY141" s="58">
        <f>IF(AND($H141="opportunity",$S141=0.9,$R141=0.05),$D141 &amp; ";","")</f>
        <v/>
      </c>
      <c r="AZ141" s="58">
        <f>IF(AND($H141="opportunity",$S141=0.7,$R141=0.8),$D141 &amp; ";","")</f>
        <v/>
      </c>
      <c r="BA141" s="58">
        <f>IF(AND($H141="opportunity",$S141=0.7,$R141=0.4),$D141 &amp; ";","")</f>
        <v/>
      </c>
      <c r="BB141" s="58">
        <f>IF(AND($H141="opportunity",$S141=0.7,$R141=0.2),$D141 &amp; ";","")</f>
        <v/>
      </c>
      <c r="BC141" s="58">
        <f>IF(AND($H141="opportunity",$S141=0.7,$R141=0.1),$D141 &amp; ";","")</f>
        <v/>
      </c>
      <c r="BD141" s="58">
        <f>IF(AND($H141="opportunity",$S141=0.7,$R141=0.05),$D141 &amp; ";","")</f>
        <v/>
      </c>
      <c r="BE141" s="58">
        <f>IF(AND($H141="opportunity",$S141=0.5,$R141=0.8),$D141 &amp; ";","")</f>
        <v/>
      </c>
      <c r="BF141" s="58">
        <f>IF(AND($H141="opportunity",$S141=0.5,$R141=0.4),$D141 &amp; ";","")</f>
        <v/>
      </c>
      <c r="BG141" s="58">
        <f>IF(AND($H141="opportunity",$S141=0.5,$R141=0.2),$D141 &amp; ";","")</f>
        <v/>
      </c>
      <c r="BH141" s="58">
        <f>IF(AND($H141="opportunity",$S141=0.5,$R141=0.1),$D141 &amp; ";","")</f>
        <v/>
      </c>
      <c r="BI141" s="58">
        <f>IF(AND($H141="opportunity",$S141=0.5,$R141=0.05),$D141 &amp; ";","")</f>
        <v/>
      </c>
      <c r="BJ141" s="58">
        <f>IF(AND($H141="opportunity",$S141=0.3,$R141=0.8),$D141 &amp; ";","")</f>
        <v/>
      </c>
      <c r="BK141" s="58">
        <f>IF(AND($H141="opportunity",$S141=0.3,$R141=0.4),$D141 &amp; ";","")</f>
        <v/>
      </c>
      <c r="BL141" s="58">
        <f>IF(AND($H141="opportunity",$S141=0.3,$R141=0.2),$D141 &amp; ";","")</f>
        <v/>
      </c>
      <c r="BM141" s="58">
        <f>IF(AND($H141="opportunity",$S141=0.3,$R141=0.1),$D141 &amp; ";","")</f>
        <v/>
      </c>
      <c r="BN141" s="58">
        <f>IF(AND($H141="opportunity",$S141=0.3,$R141=0.05),$D141 &amp; ";","")</f>
        <v/>
      </c>
      <c r="BO141" s="58">
        <f>IF(AND($H141="opportunity",$S141=0.1,$R141=0.8),$D141 &amp; ";","")</f>
        <v/>
      </c>
      <c r="BP141" s="58">
        <f>IF(AND($H141="opportunity",$S141=0.1,$R141=0.4),$D141 &amp; ";","")</f>
        <v/>
      </c>
      <c r="BQ141" s="58">
        <f>IF(AND($H141="opportunity",$S141=0.1,$R141=0.2),$D141 &amp; ";","")</f>
        <v/>
      </c>
      <c r="BR141" s="58">
        <f>IF(AND($H141="opportunity",$S141=0.1,$R141=0.1),$D141 &amp; ";","")</f>
        <v/>
      </c>
      <c r="BS141" s="58">
        <f>IF(AND($H141="opportunity",$S141=0.1,$R141=0.05),$D141 &amp; ";","")</f>
        <v/>
      </c>
      <c r="BV141" s="57">
        <f>INDIRECT(ADDRESS(ROW()-22,COLUMN()-45,1,1,"Risk Register"))</f>
        <v/>
      </c>
      <c r="BW141" s="58">
        <f>INDIRECT(ADDRESS(ROW()-22,COLUMN()-44,1,1,"Risk Register"))</f>
        <v/>
      </c>
      <c r="BX141" s="59">
        <f>IF(AND($H141="threat",$P141&lt;=0.05),"gn",IF(AND($H141="threat",$P141&lt;=0.14),"y",IF(AND($H141="threat", $P141&gt;=0.15),"r",IF(AND($H141="opportunity",$P141&lt;=0.05),"gn",IF(AND($H141="opportunity",$P141&lt;=0.14),"lb",IF(AND($H141="opportunity",$P141&gt;=0.15),"db","z"))))))</f>
        <v/>
      </c>
      <c r="BY141" s="58">
        <f>IF(AND($H141="threat",$BW141=0.9,$BV141=0.05),$D141 &amp; ";","")</f>
        <v/>
      </c>
      <c r="BZ141" s="58">
        <f>IF(AND($H141="threat",$BW141=0.9,$BV141=0.1),$D141 &amp; ";","")</f>
        <v/>
      </c>
      <c r="CA141" s="58">
        <f>IF(AND($H141="threat",$BW141=0.9,$BV141=0.2),$D141 &amp; ";","")</f>
        <v/>
      </c>
      <c r="CB141" s="58">
        <f>IF(AND($H141="threat",$BW141=0.9,$BV141=0.4),$D141 &amp; ";","")</f>
        <v/>
      </c>
      <c r="CC141" s="58">
        <f>IF(AND($H141="threat",$BW141=0.9,$BV141=0.8),$D141 &amp; ";","")</f>
        <v/>
      </c>
      <c r="CD141" s="58">
        <f>IF(AND($H141="threat",$BW141=0.7,$BV141=0.05),$D141 &amp; ";","")</f>
        <v/>
      </c>
      <c r="CE141" s="58">
        <f>IF(AND($H141="threat",$BW141=0.7,$BV141=0.1),$D141 &amp; ";","")</f>
        <v/>
      </c>
      <c r="CF141" s="58">
        <f>IF(AND($H141="threat",$BW141=0.7,$BV141=0.2),$D141 &amp; ";","")</f>
        <v/>
      </c>
      <c r="CG141" s="58">
        <f>IF(AND($H141="threat",$BW141=0.7,$BV141=0.4),$D141 &amp; ";","")</f>
        <v/>
      </c>
      <c r="CH141" s="58">
        <f>IF(AND($H141="threat",$BW141=0.7,$BV141=0.8),$D141 &amp; ";","")</f>
        <v/>
      </c>
      <c r="CI141" s="58">
        <f>IF(AND($H141="threat",$BW141=0.5,$BV141=0.05),$D141 &amp; ";","")</f>
        <v/>
      </c>
      <c r="CJ141" s="58">
        <f>IF(AND($H141="threat",$BW141=0.5,$BV141=0.1),$D141 &amp; ";","")</f>
        <v/>
      </c>
      <c r="CK141" s="58">
        <f>IF(AND($H141="threat",$BW141=0.5,$BV141=0.2),$D141 &amp; ";","")</f>
        <v/>
      </c>
      <c r="CL141" s="58">
        <f>IF(AND($H141="threat",$BW141=0.5,$BV141=0.4),$D141 &amp; ";","")</f>
        <v/>
      </c>
      <c r="CM141" s="58">
        <f>IF(AND($H141="threat",$BW141=0.5,$BV141=0.8),$D141 &amp; ";","")</f>
        <v/>
      </c>
      <c r="CN141" s="58">
        <f>IF(AND($H141="threat",$BW141=0.3,$BV141=0.05),$D141 &amp; ";","")</f>
        <v/>
      </c>
      <c r="CO141" s="58">
        <f>IF(AND($H141="threat",$BW141=0.3,$BV141=0.1),$D141 &amp; ";","")</f>
        <v/>
      </c>
      <c r="CP141" s="58">
        <f>IF(AND($H141="threat",$BW141=0.3,$BV141=0.2),$D141 &amp; ";","")</f>
        <v/>
      </c>
      <c r="CQ141" s="58">
        <f>IF(AND($H141="threat",$BW141=0.3,$BV141=0.4),$D141 &amp; ";","")</f>
        <v/>
      </c>
      <c r="CR141" s="58">
        <f>IF(AND($H141="threat",$BW141=0.3,$BV141=0.8),$D141 &amp; ";","")</f>
        <v/>
      </c>
      <c r="CS141" s="58">
        <f>IF(AND($H141="threat",$BW141=0.1,$BV141=0.05),$D141 &amp; ";","")</f>
        <v/>
      </c>
      <c r="CT141" s="58">
        <f>IF(AND($H141="threat",$BW141=0.1,$BV141=0.1),$D141 &amp; ";","")</f>
        <v/>
      </c>
      <c r="CU141" s="58">
        <f>IF(AND($H141="threat",$BW141=0.1,$BV141=0.2),$D141 &amp; ";","")</f>
        <v/>
      </c>
      <c r="CV141" s="58">
        <f>IF(AND($H141="threat",$BW141=0.1,$BV141=0.4),$D141 &amp; ";","")</f>
        <v/>
      </c>
      <c r="CW141" s="58">
        <f>IF(AND($H141="threat",$BW141=0.1,$BV141=0.8),$D141 &amp; ";","")</f>
        <v/>
      </c>
      <c r="CX141" s="39" t="n"/>
      <c r="CY141" s="58">
        <f>IF(AND($H141="opportunity",$BW141=0.9,$BV141=0.8),$D141 &amp; ";","")</f>
        <v/>
      </c>
      <c r="CZ141" s="58">
        <f>IF(AND($H141="opportunity",$BW141=0.9,$BV141=0.4),$D141 &amp; ";","")</f>
        <v/>
      </c>
      <c r="DA141" s="58">
        <f>IF(AND($H141="opportunity",$BW141=0.9,$BV141=0.2),$D141 &amp; ";","")</f>
        <v/>
      </c>
      <c r="DB141" s="58">
        <f>IF(AND($H141="opportunity",$BW141=0.9,$BV141=0.1),$D141 &amp; ";","")</f>
        <v/>
      </c>
      <c r="DC141" s="58">
        <f>IF(AND($H141="opportunity",$BW141=0.9,$BV141=0.05),$D141 &amp; ";","")</f>
        <v/>
      </c>
      <c r="DD141" s="58">
        <f>IF(AND($H141="opportunity",$BW141=0.7,$BV141=0.8),$D141 &amp; ";","")</f>
        <v/>
      </c>
      <c r="DE141" s="58">
        <f>IF(AND($H141="opportunity",$BW141=0.7,$BV141=0.4),$D141 &amp; ";","")</f>
        <v/>
      </c>
      <c r="DF141" s="58">
        <f>IF(AND($H141="opportunity",$BW141=0.7,$BV141=0.2),$D141 &amp; ";","")</f>
        <v/>
      </c>
      <c r="DG141" s="58">
        <f>IF(AND($H141="opportunity",$BW141=0.7,$BV141=0.1),$D141 &amp; ";","")</f>
        <v/>
      </c>
      <c r="DH141" s="58">
        <f>IF(AND($H141="opportunity",$BW141=0.7,$BV141=0.05),$D141 &amp; ";","")</f>
        <v/>
      </c>
      <c r="DI141" s="58">
        <f>IF(AND($H141="opportunity",$BW141=0.5,$BV141=0.8),$D141 &amp; ";","")</f>
        <v/>
      </c>
      <c r="DJ141" s="58">
        <f>IF(AND($H141="opportunity",$BW141=0.5,$BV141=0.4),$D141 &amp; ";","")</f>
        <v/>
      </c>
      <c r="DK141" s="58">
        <f>IF(AND($H141="opportunity",$BW141=0.5,$BV141=0.2),$D141 &amp; ";","")</f>
        <v/>
      </c>
      <c r="DL141" s="58">
        <f>IF(AND($H141="opportunity",$BW141=0.5,$BV141=0.1),$D141 &amp; ";","")</f>
        <v/>
      </c>
      <c r="DM141" s="58">
        <f>IF(AND($H141="opportunity",$BW141=0.5,$BV141=0.05),$D141 &amp; ";","")</f>
        <v/>
      </c>
      <c r="DN141" s="58">
        <f>IF(AND($H141="opportunity",$BW141=0.3,$BV141=0.8),$D141 &amp; ";","")</f>
        <v/>
      </c>
      <c r="DO141" s="58">
        <f>IF(AND($H141="opportunity",$BW141=0.3,$BV141=0.4),$D141 &amp; ";","")</f>
        <v/>
      </c>
      <c r="DP141" s="58">
        <f>IF(AND($H141="opportunity",$BW141=0.3,$BV141=0.2),$D141 &amp; ";","")</f>
        <v/>
      </c>
      <c r="DQ141" s="58">
        <f>IF(AND($H141="opportunity",$BW141=0.3,$BV141=0.1),$D141 &amp; ";","")</f>
        <v/>
      </c>
      <c r="DR141" s="58">
        <f>IF(AND($H141="opportunity",$BW141=0.3,$BV141=0.05),$D141 &amp; ";","")</f>
        <v/>
      </c>
      <c r="DS141" s="58">
        <f>IF(AND($H141="opportunity",$BW141=0.1,$BV141=0.8),$D141 &amp; ";","")</f>
        <v/>
      </c>
      <c r="DT141" s="58">
        <f>IF(AND($H141="opportunity",$BW141=0.1,$BV141=0.4),$D141 &amp; ";","")</f>
        <v/>
      </c>
      <c r="DU141" s="58">
        <f>IF(AND($H141="opportunity",$BW141=0.1,$BV141=0.2),$D141 &amp; ";","")</f>
        <v/>
      </c>
      <c r="DV141" s="58">
        <f>IF(AND($H141="opportunity",$BW141=0.1,$BV141=0.1),$D141 &amp; ";","")</f>
        <v/>
      </c>
      <c r="DW141" s="58">
        <f>IF(AND($H141="opportunity",$BW141=0.1,$BV141=0.05),$D141 &amp; ";","")</f>
        <v/>
      </c>
    </row>
    <row r="142">
      <c r="D142" s="60">
        <f>INDIRECT(ADDRESS(ROW()-22,COLUMN()-2,1,1,"Risk Register"))</f>
        <v/>
      </c>
      <c r="E142" s="143">
        <f>INDIRECT(ADDRESS(ROW()-22,COLUMN()-1,1,1,"Risk Register"))</f>
        <v/>
      </c>
      <c r="G142" s="56">
        <f>INDIRECT(ADDRESS(ROW()-22,COLUMN()+10,1,1,"Risk Register"))</f>
        <v/>
      </c>
      <c r="H142" s="60">
        <f>INDIRECT(ADDRESS(ROW()-22,COLUMN()+8,1,1,"Risk Register"))</f>
        <v/>
      </c>
      <c r="I142" s="54">
        <f>INDIRECT(ADDRESS(ROW()-22,COLUMN()+3,1,1,"Risk Register"))</f>
        <v/>
      </c>
      <c r="J142" s="143">
        <f>INDIRECT(ADDRESS(ROW()-22,COLUMN()+12,1,1,"Risk Register"))</f>
        <v/>
      </c>
      <c r="K142" s="143">
        <f>INDIRECT(ADDRESS(ROW()-22,COLUMN()-2,1,1,"Risk Register"))</f>
        <v/>
      </c>
      <c r="L142" s="176">
        <f>INDIRECT(ADDRESS(ROW()-22,COLUMN()+15,1,1,"Risk Register"))</f>
        <v/>
      </c>
      <c r="M142" s="54">
        <f>INDIRECT(ADDRESS(ROW()-22,COLUMN()+13,1,1,"Risk Register"))</f>
        <v/>
      </c>
      <c r="N142" s="143">
        <f>INDIRECT(ADDRESS(ROW()-22,COLUMN()-9,1,1,"Risk Register"))</f>
        <v/>
      </c>
      <c r="O142" s="143">
        <f>INDIRECT(ADDRESS(ROW()-22,COLUMN()-8,1,1,"Risk Register"))</f>
        <v/>
      </c>
      <c r="P142" s="56">
        <f>INDIRECT(ADDRESS(ROW()-22,COLUMN()+18,1,1,"Risk Register"))</f>
        <v/>
      </c>
      <c r="R142" s="57">
        <f>INDIRECT(ADDRESS(ROW()-22,COLUMN()-5,1,1,"Risk Register"))</f>
        <v/>
      </c>
      <c r="S142" s="58">
        <f>INDIRECT(ADDRESS(ROW()-22,COLUMN()-4,1,1,"Risk Register"))</f>
        <v/>
      </c>
      <c r="T142" s="59">
        <f>IF(AND($H142="threat",$G142&lt;=0.05),"gn",IF(AND($H142="threat",$G142&lt;=0.14),"y",IF(AND($H142="threat", $G142&gt;=0.15),"r",IF(AND($H142="opportunity",$G142&lt;=0.05),"gn",IF(AND($H142="opportunity",$G142&lt;=0.14),"lb",IF(AND($H142="opportunity",$G142&gt;=0.15),"db","z"))))))</f>
        <v/>
      </c>
      <c r="U142" s="58">
        <f>IF(AND($H142="threat",$S142=0.9,$R142=0.05),$D142 &amp; ";","")</f>
        <v/>
      </c>
      <c r="V142" s="58">
        <f>IF(AND($H142="threat",$S142=0.9,$R142=0.1),$D142 &amp; ";","")</f>
        <v/>
      </c>
      <c r="W142" s="58">
        <f>IF(AND($H142="threat",$S142=0.9,$R142=0.2),$D142 &amp; ";","")</f>
        <v/>
      </c>
      <c r="X142" s="58">
        <f>IF(AND($H142="threat",$S142=0.9,$R142=0.4),$D142 &amp; ";","")</f>
        <v/>
      </c>
      <c r="Y142" s="58">
        <f>IF(AND($H142="threat",$S142=0.9,$R142=0.8),$D142 &amp; ";","")</f>
        <v/>
      </c>
      <c r="Z142" s="58">
        <f>IF(AND($H142="threat",$S142=0.7,$R142=0.05),$D142 &amp; ";","")</f>
        <v/>
      </c>
      <c r="AA142" s="58">
        <f>IF(AND($H142="threat",$S142=0.7,$R142=0.1),$D142 &amp; ";","")</f>
        <v/>
      </c>
      <c r="AB142" s="58">
        <f>IF(AND($H142="threat",$S142=0.7,$R142=0.2),$D142 &amp; ";","")</f>
        <v/>
      </c>
      <c r="AC142" s="58">
        <f>IF(AND($H142="threat",$S142=0.7,$R142=0.4),$D142 &amp; ";","")</f>
        <v/>
      </c>
      <c r="AD142" s="58">
        <f>IF(AND($H142="threat",$S142=0.7,$R142=0.8),$D142 &amp; ";","")</f>
        <v/>
      </c>
      <c r="AE142" s="58">
        <f>IF(AND($H142="threat",$S142=0.5,$R142=0.05),$D142 &amp; ";","")</f>
        <v/>
      </c>
      <c r="AF142" s="58">
        <f>IF(AND($H142="threat",$S142=0.5,$R142=0.1),$D142 &amp; ";","")</f>
        <v/>
      </c>
      <c r="AG142" s="58">
        <f>IF(AND($H142="threat",$S142=0.5,$R142=0.2),$D142 &amp; ";","")</f>
        <v/>
      </c>
      <c r="AH142" s="58">
        <f>IF(AND($H142="threat",$S142=0.5,$R142=0.4),$D142 &amp; ";","")</f>
        <v/>
      </c>
      <c r="AI142" s="58">
        <f>IF(AND($H142="threat",$S142=0.5,$R142=0.8),$D142 &amp; ";","")</f>
        <v/>
      </c>
      <c r="AJ142" s="58">
        <f>IF(AND($H142="threat",$S142=0.3,$R142=0.05),$D142 &amp; ";","")</f>
        <v/>
      </c>
      <c r="AK142" s="58">
        <f>IF(AND($H142="threat",$S142=0.3,$R142=0.1),$D142 &amp; ";","")</f>
        <v/>
      </c>
      <c r="AL142" s="58">
        <f>IF(AND($H142="threat",$S142=0.3,$R142=0.2),$D142 &amp; ";","")</f>
        <v/>
      </c>
      <c r="AM142" s="58">
        <f>IF(AND($H142="threat",$S142=0.3,$R142=0.4),$D142 &amp; ";","")</f>
        <v/>
      </c>
      <c r="AN142" s="58">
        <f>IF(AND($H142="threat",$S142=0.3,$R142=0.8),$D142 &amp; ";","")</f>
        <v/>
      </c>
      <c r="AO142" s="58">
        <f>IF(AND($H142="threat",$S142=0.1,$R142=0.05),$D142 &amp; ";","")</f>
        <v/>
      </c>
      <c r="AP142" s="58">
        <f>IF(AND($H142="threat",$S142=0.1,$R142=0.1),$D142 &amp; ";","")</f>
        <v/>
      </c>
      <c r="AQ142" s="58">
        <f>IF(AND($H142="threat",$S142=0.1,$R142=0.2),$D142 &amp; ";","")</f>
        <v/>
      </c>
      <c r="AR142" s="58">
        <f>IF(AND($H142="threat",$S142=0.1,$R142=0.4),$D142 &amp; ";","")</f>
        <v/>
      </c>
      <c r="AS142" s="58">
        <f>IF(AND($H142="threat",$S142=0.1,$R142=0.8),$D142 &amp; ";","")</f>
        <v/>
      </c>
      <c r="AT142" s="39" t="n"/>
      <c r="AU142" s="58">
        <f>IF(AND($H142="opportunity",$S142=0.9,$R142=0.8),$D142 &amp; ";","")</f>
        <v/>
      </c>
      <c r="AV142" s="58">
        <f>IF(AND($H142="opportunity",$S142=0.9,$R142=0.4),$D142 &amp; ";","")</f>
        <v/>
      </c>
      <c r="AW142" s="58">
        <f>IF(AND($H142="opportunity",$S142=0.9,$R142=0.2),$D142 &amp; ";","")</f>
        <v/>
      </c>
      <c r="AX142" s="58">
        <f>IF(AND($H142="opportunity",$S142=0.9,$R142=0.1),$D142 &amp; ";","")</f>
        <v/>
      </c>
      <c r="AY142" s="58">
        <f>IF(AND($H142="opportunity",$S142=0.9,$R142=0.05),$D142 &amp; ";","")</f>
        <v/>
      </c>
      <c r="AZ142" s="58">
        <f>IF(AND($H142="opportunity",$S142=0.7,$R142=0.8),$D142 &amp; ";","")</f>
        <v/>
      </c>
      <c r="BA142" s="58">
        <f>IF(AND($H142="opportunity",$S142=0.7,$R142=0.4),$D142 &amp; ";","")</f>
        <v/>
      </c>
      <c r="BB142" s="58">
        <f>IF(AND($H142="opportunity",$S142=0.7,$R142=0.2),$D142 &amp; ";","")</f>
        <v/>
      </c>
      <c r="BC142" s="58">
        <f>IF(AND($H142="opportunity",$S142=0.7,$R142=0.1),$D142 &amp; ";","")</f>
        <v/>
      </c>
      <c r="BD142" s="58">
        <f>IF(AND($H142="opportunity",$S142=0.7,$R142=0.05),$D142 &amp; ";","")</f>
        <v/>
      </c>
      <c r="BE142" s="58">
        <f>IF(AND($H142="opportunity",$S142=0.5,$R142=0.8),$D142 &amp; ";","")</f>
        <v/>
      </c>
      <c r="BF142" s="58">
        <f>IF(AND($H142="opportunity",$S142=0.5,$R142=0.4),$D142 &amp; ";","")</f>
        <v/>
      </c>
      <c r="BG142" s="58">
        <f>IF(AND($H142="opportunity",$S142=0.5,$R142=0.2),$D142 &amp; ";","")</f>
        <v/>
      </c>
      <c r="BH142" s="58">
        <f>IF(AND($H142="opportunity",$S142=0.5,$R142=0.1),$D142 &amp; ";","")</f>
        <v/>
      </c>
      <c r="BI142" s="58">
        <f>IF(AND($H142="opportunity",$S142=0.5,$R142=0.05),$D142 &amp; ";","")</f>
        <v/>
      </c>
      <c r="BJ142" s="58">
        <f>IF(AND($H142="opportunity",$S142=0.3,$R142=0.8),$D142 &amp; ";","")</f>
        <v/>
      </c>
      <c r="BK142" s="58">
        <f>IF(AND($H142="opportunity",$S142=0.3,$R142=0.4),$D142 &amp; ";","")</f>
        <v/>
      </c>
      <c r="BL142" s="58">
        <f>IF(AND($H142="opportunity",$S142=0.3,$R142=0.2),$D142 &amp; ";","")</f>
        <v/>
      </c>
      <c r="BM142" s="58">
        <f>IF(AND($H142="opportunity",$S142=0.3,$R142=0.1),$D142 &amp; ";","")</f>
        <v/>
      </c>
      <c r="BN142" s="58">
        <f>IF(AND($H142="opportunity",$S142=0.3,$R142=0.05),$D142 &amp; ";","")</f>
        <v/>
      </c>
      <c r="BO142" s="58">
        <f>IF(AND($H142="opportunity",$S142=0.1,$R142=0.8),$D142 &amp; ";","")</f>
        <v/>
      </c>
      <c r="BP142" s="58">
        <f>IF(AND($H142="opportunity",$S142=0.1,$R142=0.4),$D142 &amp; ";","")</f>
        <v/>
      </c>
      <c r="BQ142" s="58">
        <f>IF(AND($H142="opportunity",$S142=0.1,$R142=0.2),$D142 &amp; ";","")</f>
        <v/>
      </c>
      <c r="BR142" s="58">
        <f>IF(AND($H142="opportunity",$S142=0.1,$R142=0.1),$D142 &amp; ";","")</f>
        <v/>
      </c>
      <c r="BS142" s="58">
        <f>IF(AND($H142="opportunity",$S142=0.1,$R142=0.05),$D142 &amp; ";","")</f>
        <v/>
      </c>
      <c r="BV142" s="57">
        <f>INDIRECT(ADDRESS(ROW()-22,COLUMN()-45,1,1,"Risk Register"))</f>
        <v/>
      </c>
      <c r="BW142" s="58">
        <f>INDIRECT(ADDRESS(ROW()-22,COLUMN()-44,1,1,"Risk Register"))</f>
        <v/>
      </c>
      <c r="BX142" s="59">
        <f>IF(AND($H142="threat",$P142&lt;=0.05),"gn",IF(AND($H142="threat",$P142&lt;=0.14),"y",IF(AND($H142="threat", $P142&gt;=0.15),"r",IF(AND($H142="opportunity",$P142&lt;=0.05),"gn",IF(AND($H142="opportunity",$P142&lt;=0.14),"lb",IF(AND($H142="opportunity",$P142&gt;=0.15),"db","z"))))))</f>
        <v/>
      </c>
      <c r="BY142" s="58">
        <f>IF(AND($H142="threat",$BW142=0.9,$BV142=0.05),$D142 &amp; ";","")</f>
        <v/>
      </c>
      <c r="BZ142" s="58">
        <f>IF(AND($H142="threat",$BW142=0.9,$BV142=0.1),$D142 &amp; ";","")</f>
        <v/>
      </c>
      <c r="CA142" s="58">
        <f>IF(AND($H142="threat",$BW142=0.9,$BV142=0.2),$D142 &amp; ";","")</f>
        <v/>
      </c>
      <c r="CB142" s="58">
        <f>IF(AND($H142="threat",$BW142=0.9,$BV142=0.4),$D142 &amp; ";","")</f>
        <v/>
      </c>
      <c r="CC142" s="58">
        <f>IF(AND($H142="threat",$BW142=0.9,$BV142=0.8),$D142 &amp; ";","")</f>
        <v/>
      </c>
      <c r="CD142" s="58">
        <f>IF(AND($H142="threat",$BW142=0.7,$BV142=0.05),$D142 &amp; ";","")</f>
        <v/>
      </c>
      <c r="CE142" s="58">
        <f>IF(AND($H142="threat",$BW142=0.7,$BV142=0.1),$D142 &amp; ";","")</f>
        <v/>
      </c>
      <c r="CF142" s="58">
        <f>IF(AND($H142="threat",$BW142=0.7,$BV142=0.2),$D142 &amp; ";","")</f>
        <v/>
      </c>
      <c r="CG142" s="58">
        <f>IF(AND($H142="threat",$BW142=0.7,$BV142=0.4),$D142 &amp; ";","")</f>
        <v/>
      </c>
      <c r="CH142" s="58">
        <f>IF(AND($H142="threat",$BW142=0.7,$BV142=0.8),$D142 &amp; ";","")</f>
        <v/>
      </c>
      <c r="CI142" s="58">
        <f>IF(AND($H142="threat",$BW142=0.5,$BV142=0.05),$D142 &amp; ";","")</f>
        <v/>
      </c>
      <c r="CJ142" s="58">
        <f>IF(AND($H142="threat",$BW142=0.5,$BV142=0.1),$D142 &amp; ";","")</f>
        <v/>
      </c>
      <c r="CK142" s="58">
        <f>IF(AND($H142="threat",$BW142=0.5,$BV142=0.2),$D142 &amp; ";","")</f>
        <v/>
      </c>
      <c r="CL142" s="58">
        <f>IF(AND($H142="threat",$BW142=0.5,$BV142=0.4),$D142 &amp; ";","")</f>
        <v/>
      </c>
      <c r="CM142" s="58">
        <f>IF(AND($H142="threat",$BW142=0.5,$BV142=0.8),$D142 &amp; ";","")</f>
        <v/>
      </c>
      <c r="CN142" s="58">
        <f>IF(AND($H142="threat",$BW142=0.3,$BV142=0.05),$D142 &amp; ";","")</f>
        <v/>
      </c>
      <c r="CO142" s="58">
        <f>IF(AND($H142="threat",$BW142=0.3,$BV142=0.1),$D142 &amp; ";","")</f>
        <v/>
      </c>
      <c r="CP142" s="58">
        <f>IF(AND($H142="threat",$BW142=0.3,$BV142=0.2),$D142 &amp; ";","")</f>
        <v/>
      </c>
      <c r="CQ142" s="58">
        <f>IF(AND($H142="threat",$BW142=0.3,$BV142=0.4),$D142 &amp; ";","")</f>
        <v/>
      </c>
      <c r="CR142" s="58">
        <f>IF(AND($H142="threat",$BW142=0.3,$BV142=0.8),$D142 &amp; ";","")</f>
        <v/>
      </c>
      <c r="CS142" s="58">
        <f>IF(AND($H142="threat",$BW142=0.1,$BV142=0.05),$D142 &amp; ";","")</f>
        <v/>
      </c>
      <c r="CT142" s="58">
        <f>IF(AND($H142="threat",$BW142=0.1,$BV142=0.1),$D142 &amp; ";","")</f>
        <v/>
      </c>
      <c r="CU142" s="58">
        <f>IF(AND($H142="threat",$BW142=0.1,$BV142=0.2),$D142 &amp; ";","")</f>
        <v/>
      </c>
      <c r="CV142" s="58">
        <f>IF(AND($H142="threat",$BW142=0.1,$BV142=0.4),$D142 &amp; ";","")</f>
        <v/>
      </c>
      <c r="CW142" s="58">
        <f>IF(AND($H142="threat",$BW142=0.1,$BV142=0.8),$D142 &amp; ";","")</f>
        <v/>
      </c>
      <c r="CX142" s="39" t="n"/>
      <c r="CY142" s="58">
        <f>IF(AND($H142="opportunity",$BW142=0.9,$BV142=0.8),$D142 &amp; ";","")</f>
        <v/>
      </c>
      <c r="CZ142" s="58">
        <f>IF(AND($H142="opportunity",$BW142=0.9,$BV142=0.4),$D142 &amp; ";","")</f>
        <v/>
      </c>
      <c r="DA142" s="58">
        <f>IF(AND($H142="opportunity",$BW142=0.9,$BV142=0.2),$D142 &amp; ";","")</f>
        <v/>
      </c>
      <c r="DB142" s="58">
        <f>IF(AND($H142="opportunity",$BW142=0.9,$BV142=0.1),$D142 &amp; ";","")</f>
        <v/>
      </c>
      <c r="DC142" s="58">
        <f>IF(AND($H142="opportunity",$BW142=0.9,$BV142=0.05),$D142 &amp; ";","")</f>
        <v/>
      </c>
      <c r="DD142" s="58">
        <f>IF(AND($H142="opportunity",$BW142=0.7,$BV142=0.8),$D142 &amp; ";","")</f>
        <v/>
      </c>
      <c r="DE142" s="58">
        <f>IF(AND($H142="opportunity",$BW142=0.7,$BV142=0.4),$D142 &amp; ";","")</f>
        <v/>
      </c>
      <c r="DF142" s="58">
        <f>IF(AND($H142="opportunity",$BW142=0.7,$BV142=0.2),$D142 &amp; ";","")</f>
        <v/>
      </c>
      <c r="DG142" s="58">
        <f>IF(AND($H142="opportunity",$BW142=0.7,$BV142=0.1),$D142 &amp; ";","")</f>
        <v/>
      </c>
      <c r="DH142" s="58">
        <f>IF(AND($H142="opportunity",$BW142=0.7,$BV142=0.05),$D142 &amp; ";","")</f>
        <v/>
      </c>
      <c r="DI142" s="58">
        <f>IF(AND($H142="opportunity",$BW142=0.5,$BV142=0.8),$D142 &amp; ";","")</f>
        <v/>
      </c>
      <c r="DJ142" s="58">
        <f>IF(AND($H142="opportunity",$BW142=0.5,$BV142=0.4),$D142 &amp; ";","")</f>
        <v/>
      </c>
      <c r="DK142" s="58">
        <f>IF(AND($H142="opportunity",$BW142=0.5,$BV142=0.2),$D142 &amp; ";","")</f>
        <v/>
      </c>
      <c r="DL142" s="58">
        <f>IF(AND($H142="opportunity",$BW142=0.5,$BV142=0.1),$D142 &amp; ";","")</f>
        <v/>
      </c>
      <c r="DM142" s="58">
        <f>IF(AND($H142="opportunity",$BW142=0.5,$BV142=0.05),$D142 &amp; ";","")</f>
        <v/>
      </c>
      <c r="DN142" s="58">
        <f>IF(AND($H142="opportunity",$BW142=0.3,$BV142=0.8),$D142 &amp; ";","")</f>
        <v/>
      </c>
      <c r="DO142" s="58">
        <f>IF(AND($H142="opportunity",$BW142=0.3,$BV142=0.4),$D142 &amp; ";","")</f>
        <v/>
      </c>
      <c r="DP142" s="58">
        <f>IF(AND($H142="opportunity",$BW142=0.3,$BV142=0.2),$D142 &amp; ";","")</f>
        <v/>
      </c>
      <c r="DQ142" s="58">
        <f>IF(AND($H142="opportunity",$BW142=0.3,$BV142=0.1),$D142 &amp; ";","")</f>
        <v/>
      </c>
      <c r="DR142" s="58">
        <f>IF(AND($H142="opportunity",$BW142=0.3,$BV142=0.05),$D142 &amp; ";","")</f>
        <v/>
      </c>
      <c r="DS142" s="58">
        <f>IF(AND($H142="opportunity",$BW142=0.1,$BV142=0.8),$D142 &amp; ";","")</f>
        <v/>
      </c>
      <c r="DT142" s="58">
        <f>IF(AND($H142="opportunity",$BW142=0.1,$BV142=0.4),$D142 &amp; ";","")</f>
        <v/>
      </c>
      <c r="DU142" s="58">
        <f>IF(AND($H142="opportunity",$BW142=0.1,$BV142=0.2),$D142 &amp; ";","")</f>
        <v/>
      </c>
      <c r="DV142" s="58">
        <f>IF(AND($H142="opportunity",$BW142=0.1,$BV142=0.1),$D142 &amp; ";","")</f>
        <v/>
      </c>
      <c r="DW142" s="58">
        <f>IF(AND($H142="opportunity",$BW142=0.1,$BV142=0.05),$D142 &amp; ";","")</f>
        <v/>
      </c>
    </row>
    <row r="143">
      <c r="D143" s="60">
        <f>INDIRECT(ADDRESS(ROW()-22,COLUMN()-2,1,1,"Risk Register"))</f>
        <v/>
      </c>
      <c r="E143" s="143">
        <f>INDIRECT(ADDRESS(ROW()-22,COLUMN()-1,1,1,"Risk Register"))</f>
        <v/>
      </c>
      <c r="G143" s="56">
        <f>INDIRECT(ADDRESS(ROW()-22,COLUMN()+10,1,1,"Risk Register"))</f>
        <v/>
      </c>
      <c r="H143" s="60">
        <f>INDIRECT(ADDRESS(ROW()-22,COLUMN()+8,1,1,"Risk Register"))</f>
        <v/>
      </c>
      <c r="I143" s="54">
        <f>INDIRECT(ADDRESS(ROW()-22,COLUMN()+3,1,1,"Risk Register"))</f>
        <v/>
      </c>
      <c r="J143" s="143">
        <f>INDIRECT(ADDRESS(ROW()-22,COLUMN()+12,1,1,"Risk Register"))</f>
        <v/>
      </c>
      <c r="K143" s="143">
        <f>INDIRECT(ADDRESS(ROW()-22,COLUMN()-2,1,1,"Risk Register"))</f>
        <v/>
      </c>
      <c r="L143" s="176">
        <f>INDIRECT(ADDRESS(ROW()-22,COLUMN()+15,1,1,"Risk Register"))</f>
        <v/>
      </c>
      <c r="M143" s="54">
        <f>INDIRECT(ADDRESS(ROW()-22,COLUMN()+13,1,1,"Risk Register"))</f>
        <v/>
      </c>
      <c r="N143" s="143">
        <f>INDIRECT(ADDRESS(ROW()-22,COLUMN()-9,1,1,"Risk Register"))</f>
        <v/>
      </c>
      <c r="O143" s="143">
        <f>INDIRECT(ADDRESS(ROW()-22,COLUMN()-8,1,1,"Risk Register"))</f>
        <v/>
      </c>
      <c r="P143" s="56">
        <f>INDIRECT(ADDRESS(ROW()-22,COLUMN()+18,1,1,"Risk Register"))</f>
        <v/>
      </c>
      <c r="R143" s="57">
        <f>INDIRECT(ADDRESS(ROW()-22,COLUMN()-5,1,1,"Risk Register"))</f>
        <v/>
      </c>
      <c r="S143" s="58">
        <f>INDIRECT(ADDRESS(ROW()-22,COLUMN()-4,1,1,"Risk Register"))</f>
        <v/>
      </c>
      <c r="T143" s="59">
        <f>IF(AND($H143="threat",$G143&lt;=0.05),"gn",IF(AND($H143="threat",$G143&lt;=0.14),"y",IF(AND($H143="threat", $G143&gt;=0.15),"r",IF(AND($H143="opportunity",$G143&lt;=0.05),"gn",IF(AND($H143="opportunity",$G143&lt;=0.14),"lb",IF(AND($H143="opportunity",$G143&gt;=0.15),"db","z"))))))</f>
        <v/>
      </c>
      <c r="U143" s="58">
        <f>IF(AND($H143="threat",$S143=0.9,$R143=0.05),$D143 &amp; ";","")</f>
        <v/>
      </c>
      <c r="V143" s="58">
        <f>IF(AND($H143="threat",$S143=0.9,$R143=0.1),$D143 &amp; ";","")</f>
        <v/>
      </c>
      <c r="W143" s="58">
        <f>IF(AND($H143="threat",$S143=0.9,$R143=0.2),$D143 &amp; ";","")</f>
        <v/>
      </c>
      <c r="X143" s="58">
        <f>IF(AND($H143="threat",$S143=0.9,$R143=0.4),$D143 &amp; ";","")</f>
        <v/>
      </c>
      <c r="Y143" s="58">
        <f>IF(AND($H143="threat",$S143=0.9,$R143=0.8),$D143 &amp; ";","")</f>
        <v/>
      </c>
      <c r="Z143" s="58">
        <f>IF(AND($H143="threat",$S143=0.7,$R143=0.05),$D143 &amp; ";","")</f>
        <v/>
      </c>
      <c r="AA143" s="58">
        <f>IF(AND($H143="threat",$S143=0.7,$R143=0.1),$D143 &amp; ";","")</f>
        <v/>
      </c>
      <c r="AB143" s="58">
        <f>IF(AND($H143="threat",$S143=0.7,$R143=0.2),$D143 &amp; ";","")</f>
        <v/>
      </c>
      <c r="AC143" s="58">
        <f>IF(AND($H143="threat",$S143=0.7,$R143=0.4),$D143 &amp; ";","")</f>
        <v/>
      </c>
      <c r="AD143" s="58">
        <f>IF(AND($H143="threat",$S143=0.7,$R143=0.8),$D143 &amp; ";","")</f>
        <v/>
      </c>
      <c r="AE143" s="58">
        <f>IF(AND($H143="threat",$S143=0.5,$R143=0.05),$D143 &amp; ";","")</f>
        <v/>
      </c>
      <c r="AF143" s="58">
        <f>IF(AND($H143="threat",$S143=0.5,$R143=0.1),$D143 &amp; ";","")</f>
        <v/>
      </c>
      <c r="AG143" s="58">
        <f>IF(AND($H143="threat",$S143=0.5,$R143=0.2),$D143 &amp; ";","")</f>
        <v/>
      </c>
      <c r="AH143" s="58">
        <f>IF(AND($H143="threat",$S143=0.5,$R143=0.4),$D143 &amp; ";","")</f>
        <v/>
      </c>
      <c r="AI143" s="58">
        <f>IF(AND($H143="threat",$S143=0.5,$R143=0.8),$D143 &amp; ";","")</f>
        <v/>
      </c>
      <c r="AJ143" s="58">
        <f>IF(AND($H143="threat",$S143=0.3,$R143=0.05),$D143 &amp; ";","")</f>
        <v/>
      </c>
      <c r="AK143" s="58">
        <f>IF(AND($H143="threat",$S143=0.3,$R143=0.1),$D143 &amp; ";","")</f>
        <v/>
      </c>
      <c r="AL143" s="58">
        <f>IF(AND($H143="threat",$S143=0.3,$R143=0.2),$D143 &amp; ";","")</f>
        <v/>
      </c>
      <c r="AM143" s="58">
        <f>IF(AND($H143="threat",$S143=0.3,$R143=0.4),$D143 &amp; ";","")</f>
        <v/>
      </c>
      <c r="AN143" s="58">
        <f>IF(AND($H143="threat",$S143=0.3,$R143=0.8),$D143 &amp; ";","")</f>
        <v/>
      </c>
      <c r="AO143" s="58">
        <f>IF(AND($H143="threat",$S143=0.1,$R143=0.05),$D143 &amp; ";","")</f>
        <v/>
      </c>
      <c r="AP143" s="58">
        <f>IF(AND($H143="threat",$S143=0.1,$R143=0.1),$D143 &amp; ";","")</f>
        <v/>
      </c>
      <c r="AQ143" s="58">
        <f>IF(AND($H143="threat",$S143=0.1,$R143=0.2),$D143 &amp; ";","")</f>
        <v/>
      </c>
      <c r="AR143" s="58">
        <f>IF(AND($H143="threat",$S143=0.1,$R143=0.4),$D143 &amp; ";","")</f>
        <v/>
      </c>
      <c r="AS143" s="58">
        <f>IF(AND($H143="threat",$S143=0.1,$R143=0.8),$D143 &amp; ";","")</f>
        <v/>
      </c>
      <c r="AT143" s="39" t="n"/>
      <c r="AU143" s="58">
        <f>IF(AND($H143="opportunity",$S143=0.9,$R143=0.8),$D143 &amp; ";","")</f>
        <v/>
      </c>
      <c r="AV143" s="58">
        <f>IF(AND($H143="opportunity",$S143=0.9,$R143=0.4),$D143 &amp; ";","")</f>
        <v/>
      </c>
      <c r="AW143" s="58">
        <f>IF(AND($H143="opportunity",$S143=0.9,$R143=0.2),$D143 &amp; ";","")</f>
        <v/>
      </c>
      <c r="AX143" s="58">
        <f>IF(AND($H143="opportunity",$S143=0.9,$R143=0.1),$D143 &amp; ";","")</f>
        <v/>
      </c>
      <c r="AY143" s="58">
        <f>IF(AND($H143="opportunity",$S143=0.9,$R143=0.05),$D143 &amp; ";","")</f>
        <v/>
      </c>
      <c r="AZ143" s="58">
        <f>IF(AND($H143="opportunity",$S143=0.7,$R143=0.8),$D143 &amp; ";","")</f>
        <v/>
      </c>
      <c r="BA143" s="58">
        <f>IF(AND($H143="opportunity",$S143=0.7,$R143=0.4),$D143 &amp; ";","")</f>
        <v/>
      </c>
      <c r="BB143" s="58">
        <f>IF(AND($H143="opportunity",$S143=0.7,$R143=0.2),$D143 &amp; ";","")</f>
        <v/>
      </c>
      <c r="BC143" s="58">
        <f>IF(AND($H143="opportunity",$S143=0.7,$R143=0.1),$D143 &amp; ";","")</f>
        <v/>
      </c>
      <c r="BD143" s="58">
        <f>IF(AND($H143="opportunity",$S143=0.7,$R143=0.05),$D143 &amp; ";","")</f>
        <v/>
      </c>
      <c r="BE143" s="58">
        <f>IF(AND($H143="opportunity",$S143=0.5,$R143=0.8),$D143 &amp; ";","")</f>
        <v/>
      </c>
      <c r="BF143" s="58">
        <f>IF(AND($H143="opportunity",$S143=0.5,$R143=0.4),$D143 &amp; ";","")</f>
        <v/>
      </c>
      <c r="BG143" s="58">
        <f>IF(AND($H143="opportunity",$S143=0.5,$R143=0.2),$D143 &amp; ";","")</f>
        <v/>
      </c>
      <c r="BH143" s="58">
        <f>IF(AND($H143="opportunity",$S143=0.5,$R143=0.1),$D143 &amp; ";","")</f>
        <v/>
      </c>
      <c r="BI143" s="58">
        <f>IF(AND($H143="opportunity",$S143=0.5,$R143=0.05),$D143 &amp; ";","")</f>
        <v/>
      </c>
      <c r="BJ143" s="58">
        <f>IF(AND($H143="opportunity",$S143=0.3,$R143=0.8),$D143 &amp; ";","")</f>
        <v/>
      </c>
      <c r="BK143" s="58">
        <f>IF(AND($H143="opportunity",$S143=0.3,$R143=0.4),$D143 &amp; ";","")</f>
        <v/>
      </c>
      <c r="BL143" s="58">
        <f>IF(AND($H143="opportunity",$S143=0.3,$R143=0.2),$D143 &amp; ";","")</f>
        <v/>
      </c>
      <c r="BM143" s="58">
        <f>IF(AND($H143="opportunity",$S143=0.3,$R143=0.1),$D143 &amp; ";","")</f>
        <v/>
      </c>
      <c r="BN143" s="58">
        <f>IF(AND($H143="opportunity",$S143=0.3,$R143=0.05),$D143 &amp; ";","")</f>
        <v/>
      </c>
      <c r="BO143" s="58">
        <f>IF(AND($H143="opportunity",$S143=0.1,$R143=0.8),$D143 &amp; ";","")</f>
        <v/>
      </c>
      <c r="BP143" s="58">
        <f>IF(AND($H143="opportunity",$S143=0.1,$R143=0.4),$D143 &amp; ";","")</f>
        <v/>
      </c>
      <c r="BQ143" s="58">
        <f>IF(AND($H143="opportunity",$S143=0.1,$R143=0.2),$D143 &amp; ";","")</f>
        <v/>
      </c>
      <c r="BR143" s="58">
        <f>IF(AND($H143="opportunity",$S143=0.1,$R143=0.1),$D143 &amp; ";","")</f>
        <v/>
      </c>
      <c r="BS143" s="58">
        <f>IF(AND($H143="opportunity",$S143=0.1,$R143=0.05),$D143 &amp; ";","")</f>
        <v/>
      </c>
      <c r="BV143" s="57">
        <f>INDIRECT(ADDRESS(ROW()-22,COLUMN()-45,1,1,"Risk Register"))</f>
        <v/>
      </c>
      <c r="BW143" s="58">
        <f>INDIRECT(ADDRESS(ROW()-22,COLUMN()-44,1,1,"Risk Register"))</f>
        <v/>
      </c>
      <c r="BX143" s="59">
        <f>IF(AND($H143="threat",$P143&lt;=0.05),"gn",IF(AND($H143="threat",$P143&lt;=0.14),"y",IF(AND($H143="threat", $P143&gt;=0.15),"r",IF(AND($H143="opportunity",$P143&lt;=0.05),"gn",IF(AND($H143="opportunity",$P143&lt;=0.14),"lb",IF(AND($H143="opportunity",$P143&gt;=0.15),"db","z"))))))</f>
        <v/>
      </c>
      <c r="BY143" s="58">
        <f>IF(AND($H143="threat",$BW143=0.9,$BV143=0.05),$D143 &amp; ";","")</f>
        <v/>
      </c>
      <c r="BZ143" s="58">
        <f>IF(AND($H143="threat",$BW143=0.9,$BV143=0.1),$D143 &amp; ";","")</f>
        <v/>
      </c>
      <c r="CA143" s="58">
        <f>IF(AND($H143="threat",$BW143=0.9,$BV143=0.2),$D143 &amp; ";","")</f>
        <v/>
      </c>
      <c r="CB143" s="58">
        <f>IF(AND($H143="threat",$BW143=0.9,$BV143=0.4),$D143 &amp; ";","")</f>
        <v/>
      </c>
      <c r="CC143" s="58">
        <f>IF(AND($H143="threat",$BW143=0.9,$BV143=0.8),$D143 &amp; ";","")</f>
        <v/>
      </c>
      <c r="CD143" s="58">
        <f>IF(AND($H143="threat",$BW143=0.7,$BV143=0.05),$D143 &amp; ";","")</f>
        <v/>
      </c>
      <c r="CE143" s="58">
        <f>IF(AND($H143="threat",$BW143=0.7,$BV143=0.1),$D143 &amp; ";","")</f>
        <v/>
      </c>
      <c r="CF143" s="58">
        <f>IF(AND($H143="threat",$BW143=0.7,$BV143=0.2),$D143 &amp; ";","")</f>
        <v/>
      </c>
      <c r="CG143" s="58">
        <f>IF(AND($H143="threat",$BW143=0.7,$BV143=0.4),$D143 &amp; ";","")</f>
        <v/>
      </c>
      <c r="CH143" s="58">
        <f>IF(AND($H143="threat",$BW143=0.7,$BV143=0.8),$D143 &amp; ";","")</f>
        <v/>
      </c>
      <c r="CI143" s="58">
        <f>IF(AND($H143="threat",$BW143=0.5,$BV143=0.05),$D143 &amp; ";","")</f>
        <v/>
      </c>
      <c r="CJ143" s="58">
        <f>IF(AND($H143="threat",$BW143=0.5,$BV143=0.1),$D143 &amp; ";","")</f>
        <v/>
      </c>
      <c r="CK143" s="58">
        <f>IF(AND($H143="threat",$BW143=0.5,$BV143=0.2),$D143 &amp; ";","")</f>
        <v/>
      </c>
      <c r="CL143" s="58">
        <f>IF(AND($H143="threat",$BW143=0.5,$BV143=0.4),$D143 &amp; ";","")</f>
        <v/>
      </c>
      <c r="CM143" s="58">
        <f>IF(AND($H143="threat",$BW143=0.5,$BV143=0.8),$D143 &amp; ";","")</f>
        <v/>
      </c>
      <c r="CN143" s="58">
        <f>IF(AND($H143="threat",$BW143=0.3,$BV143=0.05),$D143 &amp; ";","")</f>
        <v/>
      </c>
      <c r="CO143" s="58">
        <f>IF(AND($H143="threat",$BW143=0.3,$BV143=0.1),$D143 &amp; ";","")</f>
        <v/>
      </c>
      <c r="CP143" s="58">
        <f>IF(AND($H143="threat",$BW143=0.3,$BV143=0.2),$D143 &amp; ";","")</f>
        <v/>
      </c>
      <c r="CQ143" s="58">
        <f>IF(AND($H143="threat",$BW143=0.3,$BV143=0.4),$D143 &amp; ";","")</f>
        <v/>
      </c>
      <c r="CR143" s="58">
        <f>IF(AND($H143="threat",$BW143=0.3,$BV143=0.8),$D143 &amp; ";","")</f>
        <v/>
      </c>
      <c r="CS143" s="58">
        <f>IF(AND($H143="threat",$BW143=0.1,$BV143=0.05),$D143 &amp; ";","")</f>
        <v/>
      </c>
      <c r="CT143" s="58">
        <f>IF(AND($H143="threat",$BW143=0.1,$BV143=0.1),$D143 &amp; ";","")</f>
        <v/>
      </c>
      <c r="CU143" s="58">
        <f>IF(AND($H143="threat",$BW143=0.1,$BV143=0.2),$D143 &amp; ";","")</f>
        <v/>
      </c>
      <c r="CV143" s="58">
        <f>IF(AND($H143="threat",$BW143=0.1,$BV143=0.4),$D143 &amp; ";","")</f>
        <v/>
      </c>
      <c r="CW143" s="58">
        <f>IF(AND($H143="threat",$BW143=0.1,$BV143=0.8),$D143 &amp; ";","")</f>
        <v/>
      </c>
      <c r="CX143" s="39" t="n"/>
      <c r="CY143" s="58">
        <f>IF(AND($H143="opportunity",$BW143=0.9,$BV143=0.8),$D143 &amp; ";","")</f>
        <v/>
      </c>
      <c r="CZ143" s="58">
        <f>IF(AND($H143="opportunity",$BW143=0.9,$BV143=0.4),$D143 &amp; ";","")</f>
        <v/>
      </c>
      <c r="DA143" s="58">
        <f>IF(AND($H143="opportunity",$BW143=0.9,$BV143=0.2),$D143 &amp; ";","")</f>
        <v/>
      </c>
      <c r="DB143" s="58">
        <f>IF(AND($H143="opportunity",$BW143=0.9,$BV143=0.1),$D143 &amp; ";","")</f>
        <v/>
      </c>
      <c r="DC143" s="58">
        <f>IF(AND($H143="opportunity",$BW143=0.9,$BV143=0.05),$D143 &amp; ";","")</f>
        <v/>
      </c>
      <c r="DD143" s="58">
        <f>IF(AND($H143="opportunity",$BW143=0.7,$BV143=0.8),$D143 &amp; ";","")</f>
        <v/>
      </c>
      <c r="DE143" s="58">
        <f>IF(AND($H143="opportunity",$BW143=0.7,$BV143=0.4),$D143 &amp; ";","")</f>
        <v/>
      </c>
      <c r="DF143" s="58">
        <f>IF(AND($H143="opportunity",$BW143=0.7,$BV143=0.2),$D143 &amp; ";","")</f>
        <v/>
      </c>
      <c r="DG143" s="58">
        <f>IF(AND($H143="opportunity",$BW143=0.7,$BV143=0.1),$D143 &amp; ";","")</f>
        <v/>
      </c>
      <c r="DH143" s="58">
        <f>IF(AND($H143="opportunity",$BW143=0.7,$BV143=0.05),$D143 &amp; ";","")</f>
        <v/>
      </c>
      <c r="DI143" s="58">
        <f>IF(AND($H143="opportunity",$BW143=0.5,$BV143=0.8),$D143 &amp; ";","")</f>
        <v/>
      </c>
      <c r="DJ143" s="58">
        <f>IF(AND($H143="opportunity",$BW143=0.5,$BV143=0.4),$D143 &amp; ";","")</f>
        <v/>
      </c>
      <c r="DK143" s="58">
        <f>IF(AND($H143="opportunity",$BW143=0.5,$BV143=0.2),$D143 &amp; ";","")</f>
        <v/>
      </c>
      <c r="DL143" s="58">
        <f>IF(AND($H143="opportunity",$BW143=0.5,$BV143=0.1),$D143 &amp; ";","")</f>
        <v/>
      </c>
      <c r="DM143" s="58">
        <f>IF(AND($H143="opportunity",$BW143=0.5,$BV143=0.05),$D143 &amp; ";","")</f>
        <v/>
      </c>
      <c r="DN143" s="58">
        <f>IF(AND($H143="opportunity",$BW143=0.3,$BV143=0.8),$D143 &amp; ";","")</f>
        <v/>
      </c>
      <c r="DO143" s="58">
        <f>IF(AND($H143="opportunity",$BW143=0.3,$BV143=0.4),$D143 &amp; ";","")</f>
        <v/>
      </c>
      <c r="DP143" s="58">
        <f>IF(AND($H143="opportunity",$BW143=0.3,$BV143=0.2),$D143 &amp; ";","")</f>
        <v/>
      </c>
      <c r="DQ143" s="58">
        <f>IF(AND($H143="opportunity",$BW143=0.3,$BV143=0.1),$D143 &amp; ";","")</f>
        <v/>
      </c>
      <c r="DR143" s="58">
        <f>IF(AND($H143="opportunity",$BW143=0.3,$BV143=0.05),$D143 &amp; ";","")</f>
        <v/>
      </c>
      <c r="DS143" s="58">
        <f>IF(AND($H143="opportunity",$BW143=0.1,$BV143=0.8),$D143 &amp; ";","")</f>
        <v/>
      </c>
      <c r="DT143" s="58">
        <f>IF(AND($H143="opportunity",$BW143=0.1,$BV143=0.4),$D143 &amp; ";","")</f>
        <v/>
      </c>
      <c r="DU143" s="58">
        <f>IF(AND($H143="opportunity",$BW143=0.1,$BV143=0.2),$D143 &amp; ";","")</f>
        <v/>
      </c>
      <c r="DV143" s="58">
        <f>IF(AND($H143="opportunity",$BW143=0.1,$BV143=0.1),$D143 &amp; ";","")</f>
        <v/>
      </c>
      <c r="DW143" s="58">
        <f>IF(AND($H143="opportunity",$BW143=0.1,$BV143=0.05),$D143 &amp; ";","")</f>
        <v/>
      </c>
    </row>
    <row r="144">
      <c r="D144" s="60">
        <f>INDIRECT(ADDRESS(ROW()-22,COLUMN()-2,1,1,"Risk Register"))</f>
        <v/>
      </c>
      <c r="E144" s="143">
        <f>INDIRECT(ADDRESS(ROW()-22,COLUMN()-1,1,1,"Risk Register"))</f>
        <v/>
      </c>
      <c r="G144" s="56">
        <f>INDIRECT(ADDRESS(ROW()-22,COLUMN()+10,1,1,"Risk Register"))</f>
        <v/>
      </c>
      <c r="H144" s="60">
        <f>INDIRECT(ADDRESS(ROW()-22,COLUMN()+8,1,1,"Risk Register"))</f>
        <v/>
      </c>
      <c r="I144" s="54">
        <f>INDIRECT(ADDRESS(ROW()-22,COLUMN()+3,1,1,"Risk Register"))</f>
        <v/>
      </c>
      <c r="J144" s="143">
        <f>INDIRECT(ADDRESS(ROW()-22,COLUMN()+12,1,1,"Risk Register"))</f>
        <v/>
      </c>
      <c r="K144" s="143">
        <f>INDIRECT(ADDRESS(ROW()-22,COLUMN()-2,1,1,"Risk Register"))</f>
        <v/>
      </c>
      <c r="L144" s="176">
        <f>INDIRECT(ADDRESS(ROW()-22,COLUMN()+15,1,1,"Risk Register"))</f>
        <v/>
      </c>
      <c r="M144" s="54">
        <f>INDIRECT(ADDRESS(ROW()-22,COLUMN()+13,1,1,"Risk Register"))</f>
        <v/>
      </c>
      <c r="N144" s="143">
        <f>INDIRECT(ADDRESS(ROW()-22,COLUMN()-9,1,1,"Risk Register"))</f>
        <v/>
      </c>
      <c r="O144" s="143">
        <f>INDIRECT(ADDRESS(ROW()-22,COLUMN()-8,1,1,"Risk Register"))</f>
        <v/>
      </c>
      <c r="P144" s="56">
        <f>INDIRECT(ADDRESS(ROW()-22,COLUMN()+18,1,1,"Risk Register"))</f>
        <v/>
      </c>
      <c r="R144" s="57">
        <f>INDIRECT(ADDRESS(ROW()-22,COLUMN()-5,1,1,"Risk Register"))</f>
        <v/>
      </c>
      <c r="S144" s="58">
        <f>INDIRECT(ADDRESS(ROW()-22,COLUMN()-4,1,1,"Risk Register"))</f>
        <v/>
      </c>
      <c r="T144" s="59">
        <f>IF(AND($H144="threat",$G144&lt;=0.05),"gn",IF(AND($H144="threat",$G144&lt;=0.14),"y",IF(AND($H144="threat", $G144&gt;=0.15),"r",IF(AND($H144="opportunity",$G144&lt;=0.05),"gn",IF(AND($H144="opportunity",$G144&lt;=0.14),"lb",IF(AND($H144="opportunity",$G144&gt;=0.15),"db","z"))))))</f>
        <v/>
      </c>
      <c r="U144" s="58">
        <f>IF(AND($H144="threat",$S144=0.9,$R144=0.05),$D144 &amp; ";","")</f>
        <v/>
      </c>
      <c r="V144" s="58">
        <f>IF(AND($H144="threat",$S144=0.9,$R144=0.1),$D144 &amp; ";","")</f>
        <v/>
      </c>
      <c r="W144" s="58">
        <f>IF(AND($H144="threat",$S144=0.9,$R144=0.2),$D144 &amp; ";","")</f>
        <v/>
      </c>
      <c r="X144" s="58">
        <f>IF(AND($H144="threat",$S144=0.9,$R144=0.4),$D144 &amp; ";","")</f>
        <v/>
      </c>
      <c r="Y144" s="58">
        <f>IF(AND($H144="threat",$S144=0.9,$R144=0.8),$D144 &amp; ";","")</f>
        <v/>
      </c>
      <c r="Z144" s="58">
        <f>IF(AND($H144="threat",$S144=0.7,$R144=0.05),$D144 &amp; ";","")</f>
        <v/>
      </c>
      <c r="AA144" s="58">
        <f>IF(AND($H144="threat",$S144=0.7,$R144=0.1),$D144 &amp; ";","")</f>
        <v/>
      </c>
      <c r="AB144" s="58">
        <f>IF(AND($H144="threat",$S144=0.7,$R144=0.2),$D144 &amp; ";","")</f>
        <v/>
      </c>
      <c r="AC144" s="58">
        <f>IF(AND($H144="threat",$S144=0.7,$R144=0.4),$D144 &amp; ";","")</f>
        <v/>
      </c>
      <c r="AD144" s="58">
        <f>IF(AND($H144="threat",$S144=0.7,$R144=0.8),$D144 &amp; ";","")</f>
        <v/>
      </c>
      <c r="AE144" s="58">
        <f>IF(AND($H144="threat",$S144=0.5,$R144=0.05),$D144 &amp; ";","")</f>
        <v/>
      </c>
      <c r="AF144" s="58">
        <f>IF(AND($H144="threat",$S144=0.5,$R144=0.1),$D144 &amp; ";","")</f>
        <v/>
      </c>
      <c r="AG144" s="58">
        <f>IF(AND($H144="threat",$S144=0.5,$R144=0.2),$D144 &amp; ";","")</f>
        <v/>
      </c>
      <c r="AH144" s="58">
        <f>IF(AND($H144="threat",$S144=0.5,$R144=0.4),$D144 &amp; ";","")</f>
        <v/>
      </c>
      <c r="AI144" s="58">
        <f>IF(AND($H144="threat",$S144=0.5,$R144=0.8),$D144 &amp; ";","")</f>
        <v/>
      </c>
      <c r="AJ144" s="58">
        <f>IF(AND($H144="threat",$S144=0.3,$R144=0.05),$D144 &amp; ";","")</f>
        <v/>
      </c>
      <c r="AK144" s="58">
        <f>IF(AND($H144="threat",$S144=0.3,$R144=0.1),$D144 &amp; ";","")</f>
        <v/>
      </c>
      <c r="AL144" s="58">
        <f>IF(AND($H144="threat",$S144=0.3,$R144=0.2),$D144 &amp; ";","")</f>
        <v/>
      </c>
      <c r="AM144" s="58">
        <f>IF(AND($H144="threat",$S144=0.3,$R144=0.4),$D144 &amp; ";","")</f>
        <v/>
      </c>
      <c r="AN144" s="58">
        <f>IF(AND($H144="threat",$S144=0.3,$R144=0.8),$D144 &amp; ";","")</f>
        <v/>
      </c>
      <c r="AO144" s="58">
        <f>IF(AND($H144="threat",$S144=0.1,$R144=0.05),$D144 &amp; ";","")</f>
        <v/>
      </c>
      <c r="AP144" s="58">
        <f>IF(AND($H144="threat",$S144=0.1,$R144=0.1),$D144 &amp; ";","")</f>
        <v/>
      </c>
      <c r="AQ144" s="58">
        <f>IF(AND($H144="threat",$S144=0.1,$R144=0.2),$D144 &amp; ";","")</f>
        <v/>
      </c>
      <c r="AR144" s="58">
        <f>IF(AND($H144="threat",$S144=0.1,$R144=0.4),$D144 &amp; ";","")</f>
        <v/>
      </c>
      <c r="AS144" s="58">
        <f>IF(AND($H144="threat",$S144=0.1,$R144=0.8),$D144 &amp; ";","")</f>
        <v/>
      </c>
      <c r="AT144" s="39" t="n"/>
      <c r="AU144" s="58">
        <f>IF(AND($H144="opportunity",$S144=0.9,$R144=0.8),$D144 &amp; ";","")</f>
        <v/>
      </c>
      <c r="AV144" s="58">
        <f>IF(AND($H144="opportunity",$S144=0.9,$R144=0.4),$D144 &amp; ";","")</f>
        <v/>
      </c>
      <c r="AW144" s="58">
        <f>IF(AND($H144="opportunity",$S144=0.9,$R144=0.2),$D144 &amp; ";","")</f>
        <v/>
      </c>
      <c r="AX144" s="58">
        <f>IF(AND($H144="opportunity",$S144=0.9,$R144=0.1),$D144 &amp; ";","")</f>
        <v/>
      </c>
      <c r="AY144" s="58">
        <f>IF(AND($H144="opportunity",$S144=0.9,$R144=0.05),$D144 &amp; ";","")</f>
        <v/>
      </c>
      <c r="AZ144" s="58">
        <f>IF(AND($H144="opportunity",$S144=0.7,$R144=0.8),$D144 &amp; ";","")</f>
        <v/>
      </c>
      <c r="BA144" s="58">
        <f>IF(AND($H144="opportunity",$S144=0.7,$R144=0.4),$D144 &amp; ";","")</f>
        <v/>
      </c>
      <c r="BB144" s="58">
        <f>IF(AND($H144="opportunity",$S144=0.7,$R144=0.2),$D144 &amp; ";","")</f>
        <v/>
      </c>
      <c r="BC144" s="58">
        <f>IF(AND($H144="opportunity",$S144=0.7,$R144=0.1),$D144 &amp; ";","")</f>
        <v/>
      </c>
      <c r="BD144" s="58">
        <f>IF(AND($H144="opportunity",$S144=0.7,$R144=0.05),$D144 &amp; ";","")</f>
        <v/>
      </c>
      <c r="BE144" s="58">
        <f>IF(AND($H144="opportunity",$S144=0.5,$R144=0.8),$D144 &amp; ";","")</f>
        <v/>
      </c>
      <c r="BF144" s="58">
        <f>IF(AND($H144="opportunity",$S144=0.5,$R144=0.4),$D144 &amp; ";","")</f>
        <v/>
      </c>
      <c r="BG144" s="58">
        <f>IF(AND($H144="opportunity",$S144=0.5,$R144=0.2),$D144 &amp; ";","")</f>
        <v/>
      </c>
      <c r="BH144" s="58">
        <f>IF(AND($H144="opportunity",$S144=0.5,$R144=0.1),$D144 &amp; ";","")</f>
        <v/>
      </c>
      <c r="BI144" s="58">
        <f>IF(AND($H144="opportunity",$S144=0.5,$R144=0.05),$D144 &amp; ";","")</f>
        <v/>
      </c>
      <c r="BJ144" s="58">
        <f>IF(AND($H144="opportunity",$S144=0.3,$R144=0.8),$D144 &amp; ";","")</f>
        <v/>
      </c>
      <c r="BK144" s="58">
        <f>IF(AND($H144="opportunity",$S144=0.3,$R144=0.4),$D144 &amp; ";","")</f>
        <v/>
      </c>
      <c r="BL144" s="58">
        <f>IF(AND($H144="opportunity",$S144=0.3,$R144=0.2),$D144 &amp; ";","")</f>
        <v/>
      </c>
      <c r="BM144" s="58">
        <f>IF(AND($H144="opportunity",$S144=0.3,$R144=0.1),$D144 &amp; ";","")</f>
        <v/>
      </c>
      <c r="BN144" s="58">
        <f>IF(AND($H144="opportunity",$S144=0.3,$R144=0.05),$D144 &amp; ";","")</f>
        <v/>
      </c>
      <c r="BO144" s="58">
        <f>IF(AND($H144="opportunity",$S144=0.1,$R144=0.8),$D144 &amp; ";","")</f>
        <v/>
      </c>
      <c r="BP144" s="58">
        <f>IF(AND($H144="opportunity",$S144=0.1,$R144=0.4),$D144 &amp; ";","")</f>
        <v/>
      </c>
      <c r="BQ144" s="58">
        <f>IF(AND($H144="opportunity",$S144=0.1,$R144=0.2),$D144 &amp; ";","")</f>
        <v/>
      </c>
      <c r="BR144" s="58">
        <f>IF(AND($H144="opportunity",$S144=0.1,$R144=0.1),$D144 &amp; ";","")</f>
        <v/>
      </c>
      <c r="BS144" s="58">
        <f>IF(AND($H144="opportunity",$S144=0.1,$R144=0.05),$D144 &amp; ";","")</f>
        <v/>
      </c>
      <c r="BV144" s="57">
        <f>INDIRECT(ADDRESS(ROW()-22,COLUMN()-45,1,1,"Risk Register"))</f>
        <v/>
      </c>
      <c r="BW144" s="58">
        <f>INDIRECT(ADDRESS(ROW()-22,COLUMN()-44,1,1,"Risk Register"))</f>
        <v/>
      </c>
      <c r="BX144" s="59">
        <f>IF(AND($H144="threat",$P144&lt;=0.05),"gn",IF(AND($H144="threat",$P144&lt;=0.14),"y",IF(AND($H144="threat", $P144&gt;=0.15),"r",IF(AND($H144="opportunity",$P144&lt;=0.05),"gn",IF(AND($H144="opportunity",$P144&lt;=0.14),"lb",IF(AND($H144="opportunity",$P144&gt;=0.15),"db","z"))))))</f>
        <v/>
      </c>
      <c r="BY144" s="58">
        <f>IF(AND($H144="threat",$BW144=0.9,$BV144=0.05),$D144 &amp; ";","")</f>
        <v/>
      </c>
      <c r="BZ144" s="58">
        <f>IF(AND($H144="threat",$BW144=0.9,$BV144=0.1),$D144 &amp; ";","")</f>
        <v/>
      </c>
      <c r="CA144" s="58">
        <f>IF(AND($H144="threat",$BW144=0.9,$BV144=0.2),$D144 &amp; ";","")</f>
        <v/>
      </c>
      <c r="CB144" s="58">
        <f>IF(AND($H144="threat",$BW144=0.9,$BV144=0.4),$D144 &amp; ";","")</f>
        <v/>
      </c>
      <c r="CC144" s="58">
        <f>IF(AND($H144="threat",$BW144=0.9,$BV144=0.8),$D144 &amp; ";","")</f>
        <v/>
      </c>
      <c r="CD144" s="58">
        <f>IF(AND($H144="threat",$BW144=0.7,$BV144=0.05),$D144 &amp; ";","")</f>
        <v/>
      </c>
      <c r="CE144" s="58">
        <f>IF(AND($H144="threat",$BW144=0.7,$BV144=0.1),$D144 &amp; ";","")</f>
        <v/>
      </c>
      <c r="CF144" s="58">
        <f>IF(AND($H144="threat",$BW144=0.7,$BV144=0.2),$D144 &amp; ";","")</f>
        <v/>
      </c>
      <c r="CG144" s="58">
        <f>IF(AND($H144="threat",$BW144=0.7,$BV144=0.4),$D144 &amp; ";","")</f>
        <v/>
      </c>
      <c r="CH144" s="58">
        <f>IF(AND($H144="threat",$BW144=0.7,$BV144=0.8),$D144 &amp; ";","")</f>
        <v/>
      </c>
      <c r="CI144" s="58">
        <f>IF(AND($H144="threat",$BW144=0.5,$BV144=0.05),$D144 &amp; ";","")</f>
        <v/>
      </c>
      <c r="CJ144" s="58">
        <f>IF(AND($H144="threat",$BW144=0.5,$BV144=0.1),$D144 &amp; ";","")</f>
        <v/>
      </c>
      <c r="CK144" s="58">
        <f>IF(AND($H144="threat",$BW144=0.5,$BV144=0.2),$D144 &amp; ";","")</f>
        <v/>
      </c>
      <c r="CL144" s="58">
        <f>IF(AND($H144="threat",$BW144=0.5,$BV144=0.4),$D144 &amp; ";","")</f>
        <v/>
      </c>
      <c r="CM144" s="58">
        <f>IF(AND($H144="threat",$BW144=0.5,$BV144=0.8),$D144 &amp; ";","")</f>
        <v/>
      </c>
      <c r="CN144" s="58">
        <f>IF(AND($H144="threat",$BW144=0.3,$BV144=0.05),$D144 &amp; ";","")</f>
        <v/>
      </c>
      <c r="CO144" s="58">
        <f>IF(AND($H144="threat",$BW144=0.3,$BV144=0.1),$D144 &amp; ";","")</f>
        <v/>
      </c>
      <c r="CP144" s="58">
        <f>IF(AND($H144="threat",$BW144=0.3,$BV144=0.2),$D144 &amp; ";","")</f>
        <v/>
      </c>
      <c r="CQ144" s="58">
        <f>IF(AND($H144="threat",$BW144=0.3,$BV144=0.4),$D144 &amp; ";","")</f>
        <v/>
      </c>
      <c r="CR144" s="58">
        <f>IF(AND($H144="threat",$BW144=0.3,$BV144=0.8),$D144 &amp; ";","")</f>
        <v/>
      </c>
      <c r="CS144" s="58">
        <f>IF(AND($H144="threat",$BW144=0.1,$BV144=0.05),$D144 &amp; ";","")</f>
        <v/>
      </c>
      <c r="CT144" s="58">
        <f>IF(AND($H144="threat",$BW144=0.1,$BV144=0.1),$D144 &amp; ";","")</f>
        <v/>
      </c>
      <c r="CU144" s="58">
        <f>IF(AND($H144="threat",$BW144=0.1,$BV144=0.2),$D144 &amp; ";","")</f>
        <v/>
      </c>
      <c r="CV144" s="58">
        <f>IF(AND($H144="threat",$BW144=0.1,$BV144=0.4),$D144 &amp; ";","")</f>
        <v/>
      </c>
      <c r="CW144" s="58">
        <f>IF(AND($H144="threat",$BW144=0.1,$BV144=0.8),$D144 &amp; ";","")</f>
        <v/>
      </c>
      <c r="CX144" s="39" t="n"/>
      <c r="CY144" s="58">
        <f>IF(AND($H144="opportunity",$BW144=0.9,$BV144=0.8),$D144 &amp; ";","")</f>
        <v/>
      </c>
      <c r="CZ144" s="58">
        <f>IF(AND($H144="opportunity",$BW144=0.9,$BV144=0.4),$D144 &amp; ";","")</f>
        <v/>
      </c>
      <c r="DA144" s="58">
        <f>IF(AND($H144="opportunity",$BW144=0.9,$BV144=0.2),$D144 &amp; ";","")</f>
        <v/>
      </c>
      <c r="DB144" s="58">
        <f>IF(AND($H144="opportunity",$BW144=0.9,$BV144=0.1),$D144 &amp; ";","")</f>
        <v/>
      </c>
      <c r="DC144" s="58">
        <f>IF(AND($H144="opportunity",$BW144=0.9,$BV144=0.05),$D144 &amp; ";","")</f>
        <v/>
      </c>
      <c r="DD144" s="58">
        <f>IF(AND($H144="opportunity",$BW144=0.7,$BV144=0.8),$D144 &amp; ";","")</f>
        <v/>
      </c>
      <c r="DE144" s="58">
        <f>IF(AND($H144="opportunity",$BW144=0.7,$BV144=0.4),$D144 &amp; ";","")</f>
        <v/>
      </c>
      <c r="DF144" s="58">
        <f>IF(AND($H144="opportunity",$BW144=0.7,$BV144=0.2),$D144 &amp; ";","")</f>
        <v/>
      </c>
      <c r="DG144" s="58">
        <f>IF(AND($H144="opportunity",$BW144=0.7,$BV144=0.1),$D144 &amp; ";","")</f>
        <v/>
      </c>
      <c r="DH144" s="58">
        <f>IF(AND($H144="opportunity",$BW144=0.7,$BV144=0.05),$D144 &amp; ";","")</f>
        <v/>
      </c>
      <c r="DI144" s="58">
        <f>IF(AND($H144="opportunity",$BW144=0.5,$BV144=0.8),$D144 &amp; ";","")</f>
        <v/>
      </c>
      <c r="DJ144" s="58">
        <f>IF(AND($H144="opportunity",$BW144=0.5,$BV144=0.4),$D144 &amp; ";","")</f>
        <v/>
      </c>
      <c r="DK144" s="58">
        <f>IF(AND($H144="opportunity",$BW144=0.5,$BV144=0.2),$D144 &amp; ";","")</f>
        <v/>
      </c>
      <c r="DL144" s="58">
        <f>IF(AND($H144="opportunity",$BW144=0.5,$BV144=0.1),$D144 &amp; ";","")</f>
        <v/>
      </c>
      <c r="DM144" s="58">
        <f>IF(AND($H144="opportunity",$BW144=0.5,$BV144=0.05),$D144 &amp; ";","")</f>
        <v/>
      </c>
      <c r="DN144" s="58">
        <f>IF(AND($H144="opportunity",$BW144=0.3,$BV144=0.8),$D144 &amp; ";","")</f>
        <v/>
      </c>
      <c r="DO144" s="58">
        <f>IF(AND($H144="opportunity",$BW144=0.3,$BV144=0.4),$D144 &amp; ";","")</f>
        <v/>
      </c>
      <c r="DP144" s="58">
        <f>IF(AND($H144="opportunity",$BW144=0.3,$BV144=0.2),$D144 &amp; ";","")</f>
        <v/>
      </c>
      <c r="DQ144" s="58">
        <f>IF(AND($H144="opportunity",$BW144=0.3,$BV144=0.1),$D144 &amp; ";","")</f>
        <v/>
      </c>
      <c r="DR144" s="58">
        <f>IF(AND($H144="opportunity",$BW144=0.3,$BV144=0.05),$D144 &amp; ";","")</f>
        <v/>
      </c>
      <c r="DS144" s="58">
        <f>IF(AND($H144="opportunity",$BW144=0.1,$BV144=0.8),$D144 &amp; ";","")</f>
        <v/>
      </c>
      <c r="DT144" s="58">
        <f>IF(AND($H144="opportunity",$BW144=0.1,$BV144=0.4),$D144 &amp; ";","")</f>
        <v/>
      </c>
      <c r="DU144" s="58">
        <f>IF(AND($H144="opportunity",$BW144=0.1,$BV144=0.2),$D144 &amp; ";","")</f>
        <v/>
      </c>
      <c r="DV144" s="58">
        <f>IF(AND($H144="opportunity",$BW144=0.1,$BV144=0.1),$D144 &amp; ";","")</f>
        <v/>
      </c>
      <c r="DW144" s="58">
        <f>IF(AND($H144="opportunity",$BW144=0.1,$BV144=0.05),$D144 &amp; ";","")</f>
        <v/>
      </c>
    </row>
    <row r="145">
      <c r="D145" s="60">
        <f>INDIRECT(ADDRESS(ROW()-22,COLUMN()-2,1,1,"Risk Register"))</f>
        <v/>
      </c>
      <c r="E145" s="143">
        <f>INDIRECT(ADDRESS(ROW()-22,COLUMN()-1,1,1,"Risk Register"))</f>
        <v/>
      </c>
      <c r="G145" s="56">
        <f>INDIRECT(ADDRESS(ROW()-22,COLUMN()+10,1,1,"Risk Register"))</f>
        <v/>
      </c>
      <c r="H145" s="60">
        <f>INDIRECT(ADDRESS(ROW()-22,COLUMN()+8,1,1,"Risk Register"))</f>
        <v/>
      </c>
      <c r="I145" s="54">
        <f>INDIRECT(ADDRESS(ROW()-22,COLUMN()+3,1,1,"Risk Register"))</f>
        <v/>
      </c>
      <c r="J145" s="143">
        <f>INDIRECT(ADDRESS(ROW()-22,COLUMN()+12,1,1,"Risk Register"))</f>
        <v/>
      </c>
      <c r="K145" s="143">
        <f>INDIRECT(ADDRESS(ROW()-22,COLUMN()-2,1,1,"Risk Register"))</f>
        <v/>
      </c>
      <c r="L145" s="176">
        <f>INDIRECT(ADDRESS(ROW()-22,COLUMN()+15,1,1,"Risk Register"))</f>
        <v/>
      </c>
      <c r="M145" s="54">
        <f>INDIRECT(ADDRESS(ROW()-22,COLUMN()+13,1,1,"Risk Register"))</f>
        <v/>
      </c>
      <c r="N145" s="143">
        <f>INDIRECT(ADDRESS(ROW()-22,COLUMN()-9,1,1,"Risk Register"))</f>
        <v/>
      </c>
      <c r="O145" s="143">
        <f>INDIRECT(ADDRESS(ROW()-22,COLUMN()-8,1,1,"Risk Register"))</f>
        <v/>
      </c>
      <c r="P145" s="56">
        <f>INDIRECT(ADDRESS(ROW()-22,COLUMN()+18,1,1,"Risk Register"))</f>
        <v/>
      </c>
      <c r="R145" s="57">
        <f>INDIRECT(ADDRESS(ROW()-22,COLUMN()-5,1,1,"Risk Register"))</f>
        <v/>
      </c>
      <c r="S145" s="58">
        <f>INDIRECT(ADDRESS(ROW()-22,COLUMN()-4,1,1,"Risk Register"))</f>
        <v/>
      </c>
      <c r="T145" s="59">
        <f>IF(AND($H145="threat",$G145&lt;=0.05),"gn",IF(AND($H145="threat",$G145&lt;=0.14),"y",IF(AND($H145="threat", $G145&gt;=0.15),"r",IF(AND($H145="opportunity",$G145&lt;=0.05),"gn",IF(AND($H145="opportunity",$G145&lt;=0.14),"lb",IF(AND($H145="opportunity",$G145&gt;=0.15),"db","z"))))))</f>
        <v/>
      </c>
      <c r="U145" s="58">
        <f>IF(AND($H145="threat",$S145=0.9,$R145=0.05),$D145 &amp; ";","")</f>
        <v/>
      </c>
      <c r="V145" s="58">
        <f>IF(AND($H145="threat",$S145=0.9,$R145=0.1),$D145 &amp; ";","")</f>
        <v/>
      </c>
      <c r="W145" s="58">
        <f>IF(AND($H145="threat",$S145=0.9,$R145=0.2),$D145 &amp; ";","")</f>
        <v/>
      </c>
      <c r="X145" s="58">
        <f>IF(AND($H145="threat",$S145=0.9,$R145=0.4),$D145 &amp; ";","")</f>
        <v/>
      </c>
      <c r="Y145" s="58">
        <f>IF(AND($H145="threat",$S145=0.9,$R145=0.8),$D145 &amp; ";","")</f>
        <v/>
      </c>
      <c r="Z145" s="58">
        <f>IF(AND($H145="threat",$S145=0.7,$R145=0.05),$D145 &amp; ";","")</f>
        <v/>
      </c>
      <c r="AA145" s="58">
        <f>IF(AND($H145="threat",$S145=0.7,$R145=0.1),$D145 &amp; ";","")</f>
        <v/>
      </c>
      <c r="AB145" s="58">
        <f>IF(AND($H145="threat",$S145=0.7,$R145=0.2),$D145 &amp; ";","")</f>
        <v/>
      </c>
      <c r="AC145" s="58">
        <f>IF(AND($H145="threat",$S145=0.7,$R145=0.4),$D145 &amp; ";","")</f>
        <v/>
      </c>
      <c r="AD145" s="58">
        <f>IF(AND($H145="threat",$S145=0.7,$R145=0.8),$D145 &amp; ";","")</f>
        <v/>
      </c>
      <c r="AE145" s="58">
        <f>IF(AND($H145="threat",$S145=0.5,$R145=0.05),$D145 &amp; ";","")</f>
        <v/>
      </c>
      <c r="AF145" s="58">
        <f>IF(AND($H145="threat",$S145=0.5,$R145=0.1),$D145 &amp; ";","")</f>
        <v/>
      </c>
      <c r="AG145" s="58">
        <f>IF(AND($H145="threat",$S145=0.5,$R145=0.2),$D145 &amp; ";","")</f>
        <v/>
      </c>
      <c r="AH145" s="58">
        <f>IF(AND($H145="threat",$S145=0.5,$R145=0.4),$D145 &amp; ";","")</f>
        <v/>
      </c>
      <c r="AI145" s="58">
        <f>IF(AND($H145="threat",$S145=0.5,$R145=0.8),$D145 &amp; ";","")</f>
        <v/>
      </c>
      <c r="AJ145" s="58">
        <f>IF(AND($H145="threat",$S145=0.3,$R145=0.05),$D145 &amp; ";","")</f>
        <v/>
      </c>
      <c r="AK145" s="58">
        <f>IF(AND($H145="threat",$S145=0.3,$R145=0.1),$D145 &amp; ";","")</f>
        <v/>
      </c>
      <c r="AL145" s="58">
        <f>IF(AND($H145="threat",$S145=0.3,$R145=0.2),$D145 &amp; ";","")</f>
        <v/>
      </c>
      <c r="AM145" s="58">
        <f>IF(AND($H145="threat",$S145=0.3,$R145=0.4),$D145 &amp; ";","")</f>
        <v/>
      </c>
      <c r="AN145" s="58">
        <f>IF(AND($H145="threat",$S145=0.3,$R145=0.8),$D145 &amp; ";","")</f>
        <v/>
      </c>
      <c r="AO145" s="58">
        <f>IF(AND($H145="threat",$S145=0.1,$R145=0.05),$D145 &amp; ";","")</f>
        <v/>
      </c>
      <c r="AP145" s="58">
        <f>IF(AND($H145="threat",$S145=0.1,$R145=0.1),$D145 &amp; ";","")</f>
        <v/>
      </c>
      <c r="AQ145" s="58">
        <f>IF(AND($H145="threat",$S145=0.1,$R145=0.2),$D145 &amp; ";","")</f>
        <v/>
      </c>
      <c r="AR145" s="58">
        <f>IF(AND($H145="threat",$S145=0.1,$R145=0.4),$D145 &amp; ";","")</f>
        <v/>
      </c>
      <c r="AS145" s="58">
        <f>IF(AND($H145="threat",$S145=0.1,$R145=0.8),$D145 &amp; ";","")</f>
        <v/>
      </c>
      <c r="AT145" s="39" t="n"/>
      <c r="AU145" s="58">
        <f>IF(AND($H145="opportunity",$S145=0.9,$R145=0.8),$D145 &amp; ";","")</f>
        <v/>
      </c>
      <c r="AV145" s="58">
        <f>IF(AND($H145="opportunity",$S145=0.9,$R145=0.4),$D145 &amp; ";","")</f>
        <v/>
      </c>
      <c r="AW145" s="58">
        <f>IF(AND($H145="opportunity",$S145=0.9,$R145=0.2),$D145 &amp; ";","")</f>
        <v/>
      </c>
      <c r="AX145" s="58">
        <f>IF(AND($H145="opportunity",$S145=0.9,$R145=0.1),$D145 &amp; ";","")</f>
        <v/>
      </c>
      <c r="AY145" s="58">
        <f>IF(AND($H145="opportunity",$S145=0.9,$R145=0.05),$D145 &amp; ";","")</f>
        <v/>
      </c>
      <c r="AZ145" s="58">
        <f>IF(AND($H145="opportunity",$S145=0.7,$R145=0.8),$D145 &amp; ";","")</f>
        <v/>
      </c>
      <c r="BA145" s="58">
        <f>IF(AND($H145="opportunity",$S145=0.7,$R145=0.4),$D145 &amp; ";","")</f>
        <v/>
      </c>
      <c r="BB145" s="58">
        <f>IF(AND($H145="opportunity",$S145=0.7,$R145=0.2),$D145 &amp; ";","")</f>
        <v/>
      </c>
      <c r="BC145" s="58">
        <f>IF(AND($H145="opportunity",$S145=0.7,$R145=0.1),$D145 &amp; ";","")</f>
        <v/>
      </c>
      <c r="BD145" s="58">
        <f>IF(AND($H145="opportunity",$S145=0.7,$R145=0.05),$D145 &amp; ";","")</f>
        <v/>
      </c>
      <c r="BE145" s="58">
        <f>IF(AND($H145="opportunity",$S145=0.5,$R145=0.8),$D145 &amp; ";","")</f>
        <v/>
      </c>
      <c r="BF145" s="58">
        <f>IF(AND($H145="opportunity",$S145=0.5,$R145=0.4),$D145 &amp; ";","")</f>
        <v/>
      </c>
      <c r="BG145" s="58">
        <f>IF(AND($H145="opportunity",$S145=0.5,$R145=0.2),$D145 &amp; ";","")</f>
        <v/>
      </c>
      <c r="BH145" s="58">
        <f>IF(AND($H145="opportunity",$S145=0.5,$R145=0.1),$D145 &amp; ";","")</f>
        <v/>
      </c>
      <c r="BI145" s="58">
        <f>IF(AND($H145="opportunity",$S145=0.5,$R145=0.05),$D145 &amp; ";","")</f>
        <v/>
      </c>
      <c r="BJ145" s="58">
        <f>IF(AND($H145="opportunity",$S145=0.3,$R145=0.8),$D145 &amp; ";","")</f>
        <v/>
      </c>
      <c r="BK145" s="58">
        <f>IF(AND($H145="opportunity",$S145=0.3,$R145=0.4),$D145 &amp; ";","")</f>
        <v/>
      </c>
      <c r="BL145" s="58">
        <f>IF(AND($H145="opportunity",$S145=0.3,$R145=0.2),$D145 &amp; ";","")</f>
        <v/>
      </c>
      <c r="BM145" s="58">
        <f>IF(AND($H145="opportunity",$S145=0.3,$R145=0.1),$D145 &amp; ";","")</f>
        <v/>
      </c>
      <c r="BN145" s="58">
        <f>IF(AND($H145="opportunity",$S145=0.3,$R145=0.05),$D145 &amp; ";","")</f>
        <v/>
      </c>
      <c r="BO145" s="58">
        <f>IF(AND($H145="opportunity",$S145=0.1,$R145=0.8),$D145 &amp; ";","")</f>
        <v/>
      </c>
      <c r="BP145" s="58">
        <f>IF(AND($H145="opportunity",$S145=0.1,$R145=0.4),$D145 &amp; ";","")</f>
        <v/>
      </c>
      <c r="BQ145" s="58">
        <f>IF(AND($H145="opportunity",$S145=0.1,$R145=0.2),$D145 &amp; ";","")</f>
        <v/>
      </c>
      <c r="BR145" s="58">
        <f>IF(AND($H145="opportunity",$S145=0.1,$R145=0.1),$D145 &amp; ";","")</f>
        <v/>
      </c>
      <c r="BS145" s="58">
        <f>IF(AND($H145="opportunity",$S145=0.1,$R145=0.05),$D145 &amp; ";","")</f>
        <v/>
      </c>
      <c r="BV145" s="57">
        <f>INDIRECT(ADDRESS(ROW()-22,COLUMN()-45,1,1,"Risk Register"))</f>
        <v/>
      </c>
      <c r="BW145" s="58">
        <f>INDIRECT(ADDRESS(ROW()-22,COLUMN()-44,1,1,"Risk Register"))</f>
        <v/>
      </c>
      <c r="BX145" s="59">
        <f>IF(AND($H145="threat",$P145&lt;=0.05),"gn",IF(AND($H145="threat",$P145&lt;=0.14),"y",IF(AND($H145="threat", $P145&gt;=0.15),"r",IF(AND($H145="opportunity",$P145&lt;=0.05),"gn",IF(AND($H145="opportunity",$P145&lt;=0.14),"lb",IF(AND($H145="opportunity",$P145&gt;=0.15),"db","z"))))))</f>
        <v/>
      </c>
      <c r="BY145" s="58">
        <f>IF(AND($H145="threat",$BW145=0.9,$BV145=0.05),$D145 &amp; ";","")</f>
        <v/>
      </c>
      <c r="BZ145" s="58">
        <f>IF(AND($H145="threat",$BW145=0.9,$BV145=0.1),$D145 &amp; ";","")</f>
        <v/>
      </c>
      <c r="CA145" s="58">
        <f>IF(AND($H145="threat",$BW145=0.9,$BV145=0.2),$D145 &amp; ";","")</f>
        <v/>
      </c>
      <c r="CB145" s="58">
        <f>IF(AND($H145="threat",$BW145=0.9,$BV145=0.4),$D145 &amp; ";","")</f>
        <v/>
      </c>
      <c r="CC145" s="58">
        <f>IF(AND($H145="threat",$BW145=0.9,$BV145=0.8),$D145 &amp; ";","")</f>
        <v/>
      </c>
      <c r="CD145" s="58">
        <f>IF(AND($H145="threat",$BW145=0.7,$BV145=0.05),$D145 &amp; ";","")</f>
        <v/>
      </c>
      <c r="CE145" s="58">
        <f>IF(AND($H145="threat",$BW145=0.7,$BV145=0.1),$D145 &amp; ";","")</f>
        <v/>
      </c>
      <c r="CF145" s="58">
        <f>IF(AND($H145="threat",$BW145=0.7,$BV145=0.2),$D145 &amp; ";","")</f>
        <v/>
      </c>
      <c r="CG145" s="58">
        <f>IF(AND($H145="threat",$BW145=0.7,$BV145=0.4),$D145 &amp; ";","")</f>
        <v/>
      </c>
      <c r="CH145" s="58">
        <f>IF(AND($H145="threat",$BW145=0.7,$BV145=0.8),$D145 &amp; ";","")</f>
        <v/>
      </c>
      <c r="CI145" s="58">
        <f>IF(AND($H145="threat",$BW145=0.5,$BV145=0.05),$D145 &amp; ";","")</f>
        <v/>
      </c>
      <c r="CJ145" s="58">
        <f>IF(AND($H145="threat",$BW145=0.5,$BV145=0.1),$D145 &amp; ";","")</f>
        <v/>
      </c>
      <c r="CK145" s="58">
        <f>IF(AND($H145="threat",$BW145=0.5,$BV145=0.2),$D145 &amp; ";","")</f>
        <v/>
      </c>
      <c r="CL145" s="58">
        <f>IF(AND($H145="threat",$BW145=0.5,$BV145=0.4),$D145 &amp; ";","")</f>
        <v/>
      </c>
      <c r="CM145" s="58">
        <f>IF(AND($H145="threat",$BW145=0.5,$BV145=0.8),$D145 &amp; ";","")</f>
        <v/>
      </c>
      <c r="CN145" s="58">
        <f>IF(AND($H145="threat",$BW145=0.3,$BV145=0.05),$D145 &amp; ";","")</f>
        <v/>
      </c>
      <c r="CO145" s="58">
        <f>IF(AND($H145="threat",$BW145=0.3,$BV145=0.1),$D145 &amp; ";","")</f>
        <v/>
      </c>
      <c r="CP145" s="58">
        <f>IF(AND($H145="threat",$BW145=0.3,$BV145=0.2),$D145 &amp; ";","")</f>
        <v/>
      </c>
      <c r="CQ145" s="58">
        <f>IF(AND($H145="threat",$BW145=0.3,$BV145=0.4),$D145 &amp; ";","")</f>
        <v/>
      </c>
      <c r="CR145" s="58">
        <f>IF(AND($H145="threat",$BW145=0.3,$BV145=0.8),$D145 &amp; ";","")</f>
        <v/>
      </c>
      <c r="CS145" s="58">
        <f>IF(AND($H145="threat",$BW145=0.1,$BV145=0.05),$D145 &amp; ";","")</f>
        <v/>
      </c>
      <c r="CT145" s="58">
        <f>IF(AND($H145="threat",$BW145=0.1,$BV145=0.1),$D145 &amp; ";","")</f>
        <v/>
      </c>
      <c r="CU145" s="58">
        <f>IF(AND($H145="threat",$BW145=0.1,$BV145=0.2),$D145 &amp; ";","")</f>
        <v/>
      </c>
      <c r="CV145" s="58">
        <f>IF(AND($H145="threat",$BW145=0.1,$BV145=0.4),$D145 &amp; ";","")</f>
        <v/>
      </c>
      <c r="CW145" s="58">
        <f>IF(AND($H145="threat",$BW145=0.1,$BV145=0.8),$D145 &amp; ";","")</f>
        <v/>
      </c>
      <c r="CX145" s="39" t="n"/>
      <c r="CY145" s="58">
        <f>IF(AND($H145="opportunity",$BW145=0.9,$BV145=0.8),$D145 &amp; ";","")</f>
        <v/>
      </c>
      <c r="CZ145" s="58">
        <f>IF(AND($H145="opportunity",$BW145=0.9,$BV145=0.4),$D145 &amp; ";","")</f>
        <v/>
      </c>
      <c r="DA145" s="58">
        <f>IF(AND($H145="opportunity",$BW145=0.9,$BV145=0.2),$D145 &amp; ";","")</f>
        <v/>
      </c>
      <c r="DB145" s="58">
        <f>IF(AND($H145="opportunity",$BW145=0.9,$BV145=0.1),$D145 &amp; ";","")</f>
        <v/>
      </c>
      <c r="DC145" s="58">
        <f>IF(AND($H145="opportunity",$BW145=0.9,$BV145=0.05),$D145 &amp; ";","")</f>
        <v/>
      </c>
      <c r="DD145" s="58">
        <f>IF(AND($H145="opportunity",$BW145=0.7,$BV145=0.8),$D145 &amp; ";","")</f>
        <v/>
      </c>
      <c r="DE145" s="58">
        <f>IF(AND($H145="opportunity",$BW145=0.7,$BV145=0.4),$D145 &amp; ";","")</f>
        <v/>
      </c>
      <c r="DF145" s="58">
        <f>IF(AND($H145="opportunity",$BW145=0.7,$BV145=0.2),$D145 &amp; ";","")</f>
        <v/>
      </c>
      <c r="DG145" s="58">
        <f>IF(AND($H145="opportunity",$BW145=0.7,$BV145=0.1),$D145 &amp; ";","")</f>
        <v/>
      </c>
      <c r="DH145" s="58">
        <f>IF(AND($H145="opportunity",$BW145=0.7,$BV145=0.05),$D145 &amp; ";","")</f>
        <v/>
      </c>
      <c r="DI145" s="58">
        <f>IF(AND($H145="opportunity",$BW145=0.5,$BV145=0.8),$D145 &amp; ";","")</f>
        <v/>
      </c>
      <c r="DJ145" s="58">
        <f>IF(AND($H145="opportunity",$BW145=0.5,$BV145=0.4),$D145 &amp; ";","")</f>
        <v/>
      </c>
      <c r="DK145" s="58">
        <f>IF(AND($H145="opportunity",$BW145=0.5,$BV145=0.2),$D145 &amp; ";","")</f>
        <v/>
      </c>
      <c r="DL145" s="58">
        <f>IF(AND($H145="opportunity",$BW145=0.5,$BV145=0.1),$D145 &amp; ";","")</f>
        <v/>
      </c>
      <c r="DM145" s="58">
        <f>IF(AND($H145="opportunity",$BW145=0.5,$BV145=0.05),$D145 &amp; ";","")</f>
        <v/>
      </c>
      <c r="DN145" s="58">
        <f>IF(AND($H145="opportunity",$BW145=0.3,$BV145=0.8),$D145 &amp; ";","")</f>
        <v/>
      </c>
      <c r="DO145" s="58">
        <f>IF(AND($H145="opportunity",$BW145=0.3,$BV145=0.4),$D145 &amp; ";","")</f>
        <v/>
      </c>
      <c r="DP145" s="58">
        <f>IF(AND($H145="opportunity",$BW145=0.3,$BV145=0.2),$D145 &amp; ";","")</f>
        <v/>
      </c>
      <c r="DQ145" s="58">
        <f>IF(AND($H145="opportunity",$BW145=0.3,$BV145=0.1),$D145 &amp; ";","")</f>
        <v/>
      </c>
      <c r="DR145" s="58">
        <f>IF(AND($H145="opportunity",$BW145=0.3,$BV145=0.05),$D145 &amp; ";","")</f>
        <v/>
      </c>
      <c r="DS145" s="58">
        <f>IF(AND($H145="opportunity",$BW145=0.1,$BV145=0.8),$D145 &amp; ";","")</f>
        <v/>
      </c>
      <c r="DT145" s="58">
        <f>IF(AND($H145="opportunity",$BW145=0.1,$BV145=0.4),$D145 &amp; ";","")</f>
        <v/>
      </c>
      <c r="DU145" s="58">
        <f>IF(AND($H145="opportunity",$BW145=0.1,$BV145=0.2),$D145 &amp; ";","")</f>
        <v/>
      </c>
      <c r="DV145" s="58">
        <f>IF(AND($H145="opportunity",$BW145=0.1,$BV145=0.1),$D145 &amp; ";","")</f>
        <v/>
      </c>
      <c r="DW145" s="58">
        <f>IF(AND($H145="opportunity",$BW145=0.1,$BV145=0.05),$D145 &amp; ";","")</f>
        <v/>
      </c>
    </row>
    <row r="146">
      <c r="D146" s="60">
        <f>INDIRECT(ADDRESS(ROW()-22,COLUMN()-2,1,1,"Risk Register"))</f>
        <v/>
      </c>
      <c r="E146" s="143">
        <f>INDIRECT(ADDRESS(ROW()-22,COLUMN()-1,1,1,"Risk Register"))</f>
        <v/>
      </c>
      <c r="G146" s="56">
        <f>INDIRECT(ADDRESS(ROW()-22,COLUMN()+10,1,1,"Risk Register"))</f>
        <v/>
      </c>
      <c r="H146" s="60">
        <f>INDIRECT(ADDRESS(ROW()-22,COLUMN()+8,1,1,"Risk Register"))</f>
        <v/>
      </c>
      <c r="I146" s="54">
        <f>INDIRECT(ADDRESS(ROW()-22,COLUMN()+3,1,1,"Risk Register"))</f>
        <v/>
      </c>
      <c r="J146" s="143">
        <f>INDIRECT(ADDRESS(ROW()-22,COLUMN()+12,1,1,"Risk Register"))</f>
        <v/>
      </c>
      <c r="K146" s="143">
        <f>INDIRECT(ADDRESS(ROW()-22,COLUMN()-2,1,1,"Risk Register"))</f>
        <v/>
      </c>
      <c r="L146" s="176">
        <f>INDIRECT(ADDRESS(ROW()-22,COLUMN()+15,1,1,"Risk Register"))</f>
        <v/>
      </c>
      <c r="M146" s="54">
        <f>INDIRECT(ADDRESS(ROW()-22,COLUMN()+13,1,1,"Risk Register"))</f>
        <v/>
      </c>
      <c r="N146" s="143">
        <f>INDIRECT(ADDRESS(ROW()-22,COLUMN()-9,1,1,"Risk Register"))</f>
        <v/>
      </c>
      <c r="O146" s="143">
        <f>INDIRECT(ADDRESS(ROW()-22,COLUMN()-8,1,1,"Risk Register"))</f>
        <v/>
      </c>
      <c r="P146" s="56">
        <f>INDIRECT(ADDRESS(ROW()-22,COLUMN()+18,1,1,"Risk Register"))</f>
        <v/>
      </c>
      <c r="R146" s="57">
        <f>INDIRECT(ADDRESS(ROW()-22,COLUMN()-5,1,1,"Risk Register"))</f>
        <v/>
      </c>
      <c r="S146" s="58">
        <f>INDIRECT(ADDRESS(ROW()-22,COLUMN()-4,1,1,"Risk Register"))</f>
        <v/>
      </c>
      <c r="T146" s="59">
        <f>IF(AND($H146="threat",$G146&lt;=0.05),"gn",IF(AND($H146="threat",$G146&lt;=0.14),"y",IF(AND($H146="threat", $G146&gt;=0.15),"r",IF(AND($H146="opportunity",$G146&lt;=0.05),"gn",IF(AND($H146="opportunity",$G146&lt;=0.14),"lb",IF(AND($H146="opportunity",$G146&gt;=0.15),"db","z"))))))</f>
        <v/>
      </c>
      <c r="U146" s="58">
        <f>IF(AND($H146="threat",$S146=0.9,$R146=0.05),$D146 &amp; ";","")</f>
        <v/>
      </c>
      <c r="V146" s="58">
        <f>IF(AND($H146="threat",$S146=0.9,$R146=0.1),$D146 &amp; ";","")</f>
        <v/>
      </c>
      <c r="W146" s="58">
        <f>IF(AND($H146="threat",$S146=0.9,$R146=0.2),$D146 &amp; ";","")</f>
        <v/>
      </c>
      <c r="X146" s="58">
        <f>IF(AND($H146="threat",$S146=0.9,$R146=0.4),$D146 &amp; ";","")</f>
        <v/>
      </c>
      <c r="Y146" s="58">
        <f>IF(AND($H146="threat",$S146=0.9,$R146=0.8),$D146 &amp; ";","")</f>
        <v/>
      </c>
      <c r="Z146" s="58">
        <f>IF(AND($H146="threat",$S146=0.7,$R146=0.05),$D146 &amp; ";","")</f>
        <v/>
      </c>
      <c r="AA146" s="58">
        <f>IF(AND($H146="threat",$S146=0.7,$R146=0.1),$D146 &amp; ";","")</f>
        <v/>
      </c>
      <c r="AB146" s="58">
        <f>IF(AND($H146="threat",$S146=0.7,$R146=0.2),$D146 &amp; ";","")</f>
        <v/>
      </c>
      <c r="AC146" s="58">
        <f>IF(AND($H146="threat",$S146=0.7,$R146=0.4),$D146 &amp; ";","")</f>
        <v/>
      </c>
      <c r="AD146" s="58">
        <f>IF(AND($H146="threat",$S146=0.7,$R146=0.8),$D146 &amp; ";","")</f>
        <v/>
      </c>
      <c r="AE146" s="58">
        <f>IF(AND($H146="threat",$S146=0.5,$R146=0.05),$D146 &amp; ";","")</f>
        <v/>
      </c>
      <c r="AF146" s="58">
        <f>IF(AND($H146="threat",$S146=0.5,$R146=0.1),$D146 &amp; ";","")</f>
        <v/>
      </c>
      <c r="AG146" s="58">
        <f>IF(AND($H146="threat",$S146=0.5,$R146=0.2),$D146 &amp; ";","")</f>
        <v/>
      </c>
      <c r="AH146" s="58">
        <f>IF(AND($H146="threat",$S146=0.5,$R146=0.4),$D146 &amp; ";","")</f>
        <v/>
      </c>
      <c r="AI146" s="58">
        <f>IF(AND($H146="threat",$S146=0.5,$R146=0.8),$D146 &amp; ";","")</f>
        <v/>
      </c>
      <c r="AJ146" s="58">
        <f>IF(AND($H146="threat",$S146=0.3,$R146=0.05),$D146 &amp; ";","")</f>
        <v/>
      </c>
      <c r="AK146" s="58">
        <f>IF(AND($H146="threat",$S146=0.3,$R146=0.1),$D146 &amp; ";","")</f>
        <v/>
      </c>
      <c r="AL146" s="58">
        <f>IF(AND($H146="threat",$S146=0.3,$R146=0.2),$D146 &amp; ";","")</f>
        <v/>
      </c>
      <c r="AM146" s="58">
        <f>IF(AND($H146="threat",$S146=0.3,$R146=0.4),$D146 &amp; ";","")</f>
        <v/>
      </c>
      <c r="AN146" s="58">
        <f>IF(AND($H146="threat",$S146=0.3,$R146=0.8),$D146 &amp; ";","")</f>
        <v/>
      </c>
      <c r="AO146" s="58">
        <f>IF(AND($H146="threat",$S146=0.1,$R146=0.05),$D146 &amp; ";","")</f>
        <v/>
      </c>
      <c r="AP146" s="58">
        <f>IF(AND($H146="threat",$S146=0.1,$R146=0.1),$D146 &amp; ";","")</f>
        <v/>
      </c>
      <c r="AQ146" s="58">
        <f>IF(AND($H146="threat",$S146=0.1,$R146=0.2),$D146 &amp; ";","")</f>
        <v/>
      </c>
      <c r="AR146" s="58">
        <f>IF(AND($H146="threat",$S146=0.1,$R146=0.4),$D146 &amp; ";","")</f>
        <v/>
      </c>
      <c r="AS146" s="58">
        <f>IF(AND($H146="threat",$S146=0.1,$R146=0.8),$D146 &amp; ";","")</f>
        <v/>
      </c>
      <c r="AT146" s="39" t="n"/>
      <c r="AU146" s="58">
        <f>IF(AND($H146="opportunity",$S146=0.9,$R146=0.8),$D146 &amp; ";","")</f>
        <v/>
      </c>
      <c r="AV146" s="58">
        <f>IF(AND($H146="opportunity",$S146=0.9,$R146=0.4),$D146 &amp; ";","")</f>
        <v/>
      </c>
      <c r="AW146" s="58">
        <f>IF(AND($H146="opportunity",$S146=0.9,$R146=0.2),$D146 &amp; ";","")</f>
        <v/>
      </c>
      <c r="AX146" s="58">
        <f>IF(AND($H146="opportunity",$S146=0.9,$R146=0.1),$D146 &amp; ";","")</f>
        <v/>
      </c>
      <c r="AY146" s="58">
        <f>IF(AND($H146="opportunity",$S146=0.9,$R146=0.05),$D146 &amp; ";","")</f>
        <v/>
      </c>
      <c r="AZ146" s="58">
        <f>IF(AND($H146="opportunity",$S146=0.7,$R146=0.8),$D146 &amp; ";","")</f>
        <v/>
      </c>
      <c r="BA146" s="58">
        <f>IF(AND($H146="opportunity",$S146=0.7,$R146=0.4),$D146 &amp; ";","")</f>
        <v/>
      </c>
      <c r="BB146" s="58">
        <f>IF(AND($H146="opportunity",$S146=0.7,$R146=0.2),$D146 &amp; ";","")</f>
        <v/>
      </c>
      <c r="BC146" s="58">
        <f>IF(AND($H146="opportunity",$S146=0.7,$R146=0.1),$D146 &amp; ";","")</f>
        <v/>
      </c>
      <c r="BD146" s="58">
        <f>IF(AND($H146="opportunity",$S146=0.7,$R146=0.05),$D146 &amp; ";","")</f>
        <v/>
      </c>
      <c r="BE146" s="58">
        <f>IF(AND($H146="opportunity",$S146=0.5,$R146=0.8),$D146 &amp; ";","")</f>
        <v/>
      </c>
      <c r="BF146" s="58">
        <f>IF(AND($H146="opportunity",$S146=0.5,$R146=0.4),$D146 &amp; ";","")</f>
        <v/>
      </c>
      <c r="BG146" s="58">
        <f>IF(AND($H146="opportunity",$S146=0.5,$R146=0.2),$D146 &amp; ";","")</f>
        <v/>
      </c>
      <c r="BH146" s="58">
        <f>IF(AND($H146="opportunity",$S146=0.5,$R146=0.1),$D146 &amp; ";","")</f>
        <v/>
      </c>
      <c r="BI146" s="58">
        <f>IF(AND($H146="opportunity",$S146=0.5,$R146=0.05),$D146 &amp; ";","")</f>
        <v/>
      </c>
      <c r="BJ146" s="58">
        <f>IF(AND($H146="opportunity",$S146=0.3,$R146=0.8),$D146 &amp; ";","")</f>
        <v/>
      </c>
      <c r="BK146" s="58">
        <f>IF(AND($H146="opportunity",$S146=0.3,$R146=0.4),$D146 &amp; ";","")</f>
        <v/>
      </c>
      <c r="BL146" s="58">
        <f>IF(AND($H146="opportunity",$S146=0.3,$R146=0.2),$D146 &amp; ";","")</f>
        <v/>
      </c>
      <c r="BM146" s="58">
        <f>IF(AND($H146="opportunity",$S146=0.3,$R146=0.1),$D146 &amp; ";","")</f>
        <v/>
      </c>
      <c r="BN146" s="58">
        <f>IF(AND($H146="opportunity",$S146=0.3,$R146=0.05),$D146 &amp; ";","")</f>
        <v/>
      </c>
      <c r="BO146" s="58">
        <f>IF(AND($H146="opportunity",$S146=0.1,$R146=0.8),$D146 &amp; ";","")</f>
        <v/>
      </c>
      <c r="BP146" s="58">
        <f>IF(AND($H146="opportunity",$S146=0.1,$R146=0.4),$D146 &amp; ";","")</f>
        <v/>
      </c>
      <c r="BQ146" s="58">
        <f>IF(AND($H146="opportunity",$S146=0.1,$R146=0.2),$D146 &amp; ";","")</f>
        <v/>
      </c>
      <c r="BR146" s="58">
        <f>IF(AND($H146="opportunity",$S146=0.1,$R146=0.1),$D146 &amp; ";","")</f>
        <v/>
      </c>
      <c r="BS146" s="58">
        <f>IF(AND($H146="opportunity",$S146=0.1,$R146=0.05),$D146 &amp; ";","")</f>
        <v/>
      </c>
      <c r="BV146" s="57">
        <f>INDIRECT(ADDRESS(ROW()-22,COLUMN()-45,1,1,"Risk Register"))</f>
        <v/>
      </c>
      <c r="BW146" s="58">
        <f>INDIRECT(ADDRESS(ROW()-22,COLUMN()-44,1,1,"Risk Register"))</f>
        <v/>
      </c>
      <c r="BX146" s="59">
        <f>IF(AND($H146="threat",$P146&lt;=0.05),"gn",IF(AND($H146="threat",$P146&lt;=0.14),"y",IF(AND($H146="threat", $P146&gt;=0.15),"r",IF(AND($H146="opportunity",$P146&lt;=0.05),"gn",IF(AND($H146="opportunity",$P146&lt;=0.14),"lb",IF(AND($H146="opportunity",$P146&gt;=0.15),"db","z"))))))</f>
        <v/>
      </c>
      <c r="BY146" s="58">
        <f>IF(AND($H146="threat",$BW146=0.9,$BV146=0.05),$D146 &amp; ";","")</f>
        <v/>
      </c>
      <c r="BZ146" s="58">
        <f>IF(AND($H146="threat",$BW146=0.9,$BV146=0.1),$D146 &amp; ";","")</f>
        <v/>
      </c>
      <c r="CA146" s="58">
        <f>IF(AND($H146="threat",$BW146=0.9,$BV146=0.2),$D146 &amp; ";","")</f>
        <v/>
      </c>
      <c r="CB146" s="58">
        <f>IF(AND($H146="threat",$BW146=0.9,$BV146=0.4),$D146 &amp; ";","")</f>
        <v/>
      </c>
      <c r="CC146" s="58">
        <f>IF(AND($H146="threat",$BW146=0.9,$BV146=0.8),$D146 &amp; ";","")</f>
        <v/>
      </c>
      <c r="CD146" s="58">
        <f>IF(AND($H146="threat",$BW146=0.7,$BV146=0.05),$D146 &amp; ";","")</f>
        <v/>
      </c>
      <c r="CE146" s="58">
        <f>IF(AND($H146="threat",$BW146=0.7,$BV146=0.1),$D146 &amp; ";","")</f>
        <v/>
      </c>
      <c r="CF146" s="58">
        <f>IF(AND($H146="threat",$BW146=0.7,$BV146=0.2),$D146 &amp; ";","")</f>
        <v/>
      </c>
      <c r="CG146" s="58">
        <f>IF(AND($H146="threat",$BW146=0.7,$BV146=0.4),$D146 &amp; ";","")</f>
        <v/>
      </c>
      <c r="CH146" s="58">
        <f>IF(AND($H146="threat",$BW146=0.7,$BV146=0.8),$D146 &amp; ";","")</f>
        <v/>
      </c>
      <c r="CI146" s="58">
        <f>IF(AND($H146="threat",$BW146=0.5,$BV146=0.05),$D146 &amp; ";","")</f>
        <v/>
      </c>
      <c r="CJ146" s="58">
        <f>IF(AND($H146="threat",$BW146=0.5,$BV146=0.1),$D146 &amp; ";","")</f>
        <v/>
      </c>
      <c r="CK146" s="58">
        <f>IF(AND($H146="threat",$BW146=0.5,$BV146=0.2),$D146 &amp; ";","")</f>
        <v/>
      </c>
      <c r="CL146" s="58">
        <f>IF(AND($H146="threat",$BW146=0.5,$BV146=0.4),$D146 &amp; ";","")</f>
        <v/>
      </c>
      <c r="CM146" s="58">
        <f>IF(AND($H146="threat",$BW146=0.5,$BV146=0.8),$D146 &amp; ";","")</f>
        <v/>
      </c>
      <c r="CN146" s="58">
        <f>IF(AND($H146="threat",$BW146=0.3,$BV146=0.05),$D146 &amp; ";","")</f>
        <v/>
      </c>
      <c r="CO146" s="58">
        <f>IF(AND($H146="threat",$BW146=0.3,$BV146=0.1),$D146 &amp; ";","")</f>
        <v/>
      </c>
      <c r="CP146" s="58">
        <f>IF(AND($H146="threat",$BW146=0.3,$BV146=0.2),$D146 &amp; ";","")</f>
        <v/>
      </c>
      <c r="CQ146" s="58">
        <f>IF(AND($H146="threat",$BW146=0.3,$BV146=0.4),$D146 &amp; ";","")</f>
        <v/>
      </c>
      <c r="CR146" s="58">
        <f>IF(AND($H146="threat",$BW146=0.3,$BV146=0.8),$D146 &amp; ";","")</f>
        <v/>
      </c>
      <c r="CS146" s="58">
        <f>IF(AND($H146="threat",$BW146=0.1,$BV146=0.05),$D146 &amp; ";","")</f>
        <v/>
      </c>
      <c r="CT146" s="58">
        <f>IF(AND($H146="threat",$BW146=0.1,$BV146=0.1),$D146 &amp; ";","")</f>
        <v/>
      </c>
      <c r="CU146" s="58">
        <f>IF(AND($H146="threat",$BW146=0.1,$BV146=0.2),$D146 &amp; ";","")</f>
        <v/>
      </c>
      <c r="CV146" s="58">
        <f>IF(AND($H146="threat",$BW146=0.1,$BV146=0.4),$D146 &amp; ";","")</f>
        <v/>
      </c>
      <c r="CW146" s="58">
        <f>IF(AND($H146="threat",$BW146=0.1,$BV146=0.8),$D146 &amp; ";","")</f>
        <v/>
      </c>
      <c r="CX146" s="39" t="n"/>
      <c r="CY146" s="58">
        <f>IF(AND($H146="opportunity",$BW146=0.9,$BV146=0.8),$D146 &amp; ";","")</f>
        <v/>
      </c>
      <c r="CZ146" s="58">
        <f>IF(AND($H146="opportunity",$BW146=0.9,$BV146=0.4),$D146 &amp; ";","")</f>
        <v/>
      </c>
      <c r="DA146" s="58">
        <f>IF(AND($H146="opportunity",$BW146=0.9,$BV146=0.2),$D146 &amp; ";","")</f>
        <v/>
      </c>
      <c r="DB146" s="58">
        <f>IF(AND($H146="opportunity",$BW146=0.9,$BV146=0.1),$D146 &amp; ";","")</f>
        <v/>
      </c>
      <c r="DC146" s="58">
        <f>IF(AND($H146="opportunity",$BW146=0.9,$BV146=0.05),$D146 &amp; ";","")</f>
        <v/>
      </c>
      <c r="DD146" s="58">
        <f>IF(AND($H146="opportunity",$BW146=0.7,$BV146=0.8),$D146 &amp; ";","")</f>
        <v/>
      </c>
      <c r="DE146" s="58">
        <f>IF(AND($H146="opportunity",$BW146=0.7,$BV146=0.4),$D146 &amp; ";","")</f>
        <v/>
      </c>
      <c r="DF146" s="58">
        <f>IF(AND($H146="opportunity",$BW146=0.7,$BV146=0.2),$D146 &amp; ";","")</f>
        <v/>
      </c>
      <c r="DG146" s="58">
        <f>IF(AND($H146="opportunity",$BW146=0.7,$BV146=0.1),$D146 &amp; ";","")</f>
        <v/>
      </c>
      <c r="DH146" s="58">
        <f>IF(AND($H146="opportunity",$BW146=0.7,$BV146=0.05),$D146 &amp; ";","")</f>
        <v/>
      </c>
      <c r="DI146" s="58">
        <f>IF(AND($H146="opportunity",$BW146=0.5,$BV146=0.8),$D146 &amp; ";","")</f>
        <v/>
      </c>
      <c r="DJ146" s="58">
        <f>IF(AND($H146="opportunity",$BW146=0.5,$BV146=0.4),$D146 &amp; ";","")</f>
        <v/>
      </c>
      <c r="DK146" s="58">
        <f>IF(AND($H146="opportunity",$BW146=0.5,$BV146=0.2),$D146 &amp; ";","")</f>
        <v/>
      </c>
      <c r="DL146" s="58">
        <f>IF(AND($H146="opportunity",$BW146=0.5,$BV146=0.1),$D146 &amp; ";","")</f>
        <v/>
      </c>
      <c r="DM146" s="58">
        <f>IF(AND($H146="opportunity",$BW146=0.5,$BV146=0.05),$D146 &amp; ";","")</f>
        <v/>
      </c>
      <c r="DN146" s="58">
        <f>IF(AND($H146="opportunity",$BW146=0.3,$BV146=0.8),$D146 &amp; ";","")</f>
        <v/>
      </c>
      <c r="DO146" s="58">
        <f>IF(AND($H146="opportunity",$BW146=0.3,$BV146=0.4),$D146 &amp; ";","")</f>
        <v/>
      </c>
      <c r="DP146" s="58">
        <f>IF(AND($H146="opportunity",$BW146=0.3,$BV146=0.2),$D146 &amp; ";","")</f>
        <v/>
      </c>
      <c r="DQ146" s="58">
        <f>IF(AND($H146="opportunity",$BW146=0.3,$BV146=0.1),$D146 &amp; ";","")</f>
        <v/>
      </c>
      <c r="DR146" s="58">
        <f>IF(AND($H146="opportunity",$BW146=0.3,$BV146=0.05),$D146 &amp; ";","")</f>
        <v/>
      </c>
      <c r="DS146" s="58">
        <f>IF(AND($H146="opportunity",$BW146=0.1,$BV146=0.8),$D146 &amp; ";","")</f>
        <v/>
      </c>
      <c r="DT146" s="58">
        <f>IF(AND($H146="opportunity",$BW146=0.1,$BV146=0.4),$D146 &amp; ";","")</f>
        <v/>
      </c>
      <c r="DU146" s="58">
        <f>IF(AND($H146="opportunity",$BW146=0.1,$BV146=0.2),$D146 &amp; ";","")</f>
        <v/>
      </c>
      <c r="DV146" s="58">
        <f>IF(AND($H146="opportunity",$BW146=0.1,$BV146=0.1),$D146 &amp; ";","")</f>
        <v/>
      </c>
      <c r="DW146" s="58">
        <f>IF(AND($H146="opportunity",$BW146=0.1,$BV146=0.05),$D146 &amp; ";","")</f>
        <v/>
      </c>
    </row>
    <row r="147">
      <c r="D147" s="60">
        <f>INDIRECT(ADDRESS(ROW()-22,COLUMN()-2,1,1,"Risk Register"))</f>
        <v/>
      </c>
      <c r="E147" s="143">
        <f>INDIRECT(ADDRESS(ROW()-22,COLUMN()-1,1,1,"Risk Register"))</f>
        <v/>
      </c>
      <c r="G147" s="56">
        <f>INDIRECT(ADDRESS(ROW()-22,COLUMN()+10,1,1,"Risk Register"))</f>
        <v/>
      </c>
      <c r="H147" s="60">
        <f>INDIRECT(ADDRESS(ROW()-22,COLUMN()+8,1,1,"Risk Register"))</f>
        <v/>
      </c>
      <c r="I147" s="54">
        <f>INDIRECT(ADDRESS(ROW()-22,COLUMN()+3,1,1,"Risk Register"))</f>
        <v/>
      </c>
      <c r="J147" s="143">
        <f>INDIRECT(ADDRESS(ROW()-22,COLUMN()+12,1,1,"Risk Register"))</f>
        <v/>
      </c>
      <c r="K147" s="143">
        <f>INDIRECT(ADDRESS(ROW()-22,COLUMN()-2,1,1,"Risk Register"))</f>
        <v/>
      </c>
      <c r="L147" s="176">
        <f>INDIRECT(ADDRESS(ROW()-22,COLUMN()+15,1,1,"Risk Register"))</f>
        <v/>
      </c>
      <c r="M147" s="54">
        <f>INDIRECT(ADDRESS(ROW()-22,COLUMN()+13,1,1,"Risk Register"))</f>
        <v/>
      </c>
      <c r="N147" s="143">
        <f>INDIRECT(ADDRESS(ROW()-22,COLUMN()-9,1,1,"Risk Register"))</f>
        <v/>
      </c>
      <c r="O147" s="143">
        <f>INDIRECT(ADDRESS(ROW()-22,COLUMN()-8,1,1,"Risk Register"))</f>
        <v/>
      </c>
      <c r="P147" s="56">
        <f>INDIRECT(ADDRESS(ROW()-22,COLUMN()+18,1,1,"Risk Register"))</f>
        <v/>
      </c>
      <c r="R147" s="57">
        <f>INDIRECT(ADDRESS(ROW()-22,COLUMN()-5,1,1,"Risk Register"))</f>
        <v/>
      </c>
      <c r="S147" s="58">
        <f>INDIRECT(ADDRESS(ROW()-22,COLUMN()-4,1,1,"Risk Register"))</f>
        <v/>
      </c>
      <c r="T147" s="59">
        <f>IF(AND($H147="threat",$G147&lt;=0.05),"gn",IF(AND($H147="threat",$G147&lt;=0.14),"y",IF(AND($H147="threat", $G147&gt;=0.15),"r",IF(AND($H147="opportunity",$G147&lt;=0.05),"gn",IF(AND($H147="opportunity",$G147&lt;=0.14),"lb",IF(AND($H147="opportunity",$G147&gt;=0.15),"db","z"))))))</f>
        <v/>
      </c>
      <c r="U147" s="58">
        <f>IF(AND($H147="threat",$S147=0.9,$R147=0.05),$D147 &amp; ";","")</f>
        <v/>
      </c>
      <c r="V147" s="58">
        <f>IF(AND($H147="threat",$S147=0.9,$R147=0.1),$D147 &amp; ";","")</f>
        <v/>
      </c>
      <c r="W147" s="58">
        <f>IF(AND($H147="threat",$S147=0.9,$R147=0.2),$D147 &amp; ";","")</f>
        <v/>
      </c>
      <c r="X147" s="58">
        <f>IF(AND($H147="threat",$S147=0.9,$R147=0.4),$D147 &amp; ";","")</f>
        <v/>
      </c>
      <c r="Y147" s="58">
        <f>IF(AND($H147="threat",$S147=0.9,$R147=0.8),$D147 &amp; ";","")</f>
        <v/>
      </c>
      <c r="Z147" s="58">
        <f>IF(AND($H147="threat",$S147=0.7,$R147=0.05),$D147 &amp; ";","")</f>
        <v/>
      </c>
      <c r="AA147" s="58">
        <f>IF(AND($H147="threat",$S147=0.7,$R147=0.1),$D147 &amp; ";","")</f>
        <v/>
      </c>
      <c r="AB147" s="58">
        <f>IF(AND($H147="threat",$S147=0.7,$R147=0.2),$D147 &amp; ";","")</f>
        <v/>
      </c>
      <c r="AC147" s="58">
        <f>IF(AND($H147="threat",$S147=0.7,$R147=0.4),$D147 &amp; ";","")</f>
        <v/>
      </c>
      <c r="AD147" s="58">
        <f>IF(AND($H147="threat",$S147=0.7,$R147=0.8),$D147 &amp; ";","")</f>
        <v/>
      </c>
      <c r="AE147" s="58">
        <f>IF(AND($H147="threat",$S147=0.5,$R147=0.05),$D147 &amp; ";","")</f>
        <v/>
      </c>
      <c r="AF147" s="58">
        <f>IF(AND($H147="threat",$S147=0.5,$R147=0.1),$D147 &amp; ";","")</f>
        <v/>
      </c>
      <c r="AG147" s="58">
        <f>IF(AND($H147="threat",$S147=0.5,$R147=0.2),$D147 &amp; ";","")</f>
        <v/>
      </c>
      <c r="AH147" s="58">
        <f>IF(AND($H147="threat",$S147=0.5,$R147=0.4),$D147 &amp; ";","")</f>
        <v/>
      </c>
      <c r="AI147" s="58">
        <f>IF(AND($H147="threat",$S147=0.5,$R147=0.8),$D147 &amp; ";","")</f>
        <v/>
      </c>
      <c r="AJ147" s="58">
        <f>IF(AND($H147="threat",$S147=0.3,$R147=0.05),$D147 &amp; ";","")</f>
        <v/>
      </c>
      <c r="AK147" s="58">
        <f>IF(AND($H147="threat",$S147=0.3,$R147=0.1),$D147 &amp; ";","")</f>
        <v/>
      </c>
      <c r="AL147" s="58">
        <f>IF(AND($H147="threat",$S147=0.3,$R147=0.2),$D147 &amp; ";","")</f>
        <v/>
      </c>
      <c r="AM147" s="58">
        <f>IF(AND($H147="threat",$S147=0.3,$R147=0.4),$D147 &amp; ";","")</f>
        <v/>
      </c>
      <c r="AN147" s="58">
        <f>IF(AND($H147="threat",$S147=0.3,$R147=0.8),$D147 &amp; ";","")</f>
        <v/>
      </c>
      <c r="AO147" s="58">
        <f>IF(AND($H147="threat",$S147=0.1,$R147=0.05),$D147 &amp; ";","")</f>
        <v/>
      </c>
      <c r="AP147" s="58">
        <f>IF(AND($H147="threat",$S147=0.1,$R147=0.1),$D147 &amp; ";","")</f>
        <v/>
      </c>
      <c r="AQ147" s="58">
        <f>IF(AND($H147="threat",$S147=0.1,$R147=0.2),$D147 &amp; ";","")</f>
        <v/>
      </c>
      <c r="AR147" s="58">
        <f>IF(AND($H147="threat",$S147=0.1,$R147=0.4),$D147 &amp; ";","")</f>
        <v/>
      </c>
      <c r="AS147" s="58">
        <f>IF(AND($H147="threat",$S147=0.1,$R147=0.8),$D147 &amp; ";","")</f>
        <v/>
      </c>
      <c r="AT147" s="39" t="n"/>
      <c r="AU147" s="58">
        <f>IF(AND($H147="opportunity",$S147=0.9,$R147=0.8),$D147 &amp; ";","")</f>
        <v/>
      </c>
      <c r="AV147" s="58">
        <f>IF(AND($H147="opportunity",$S147=0.9,$R147=0.4),$D147 &amp; ";","")</f>
        <v/>
      </c>
      <c r="AW147" s="58">
        <f>IF(AND($H147="opportunity",$S147=0.9,$R147=0.2),$D147 &amp; ";","")</f>
        <v/>
      </c>
      <c r="AX147" s="58">
        <f>IF(AND($H147="opportunity",$S147=0.9,$R147=0.1),$D147 &amp; ";","")</f>
        <v/>
      </c>
      <c r="AY147" s="58">
        <f>IF(AND($H147="opportunity",$S147=0.9,$R147=0.05),$D147 &amp; ";","")</f>
        <v/>
      </c>
      <c r="AZ147" s="58">
        <f>IF(AND($H147="opportunity",$S147=0.7,$R147=0.8),$D147 &amp; ";","")</f>
        <v/>
      </c>
      <c r="BA147" s="58">
        <f>IF(AND($H147="opportunity",$S147=0.7,$R147=0.4),$D147 &amp; ";","")</f>
        <v/>
      </c>
      <c r="BB147" s="58">
        <f>IF(AND($H147="opportunity",$S147=0.7,$R147=0.2),$D147 &amp; ";","")</f>
        <v/>
      </c>
      <c r="BC147" s="58">
        <f>IF(AND($H147="opportunity",$S147=0.7,$R147=0.1),$D147 &amp; ";","")</f>
        <v/>
      </c>
      <c r="BD147" s="58">
        <f>IF(AND($H147="opportunity",$S147=0.7,$R147=0.05),$D147 &amp; ";","")</f>
        <v/>
      </c>
      <c r="BE147" s="58">
        <f>IF(AND($H147="opportunity",$S147=0.5,$R147=0.8),$D147 &amp; ";","")</f>
        <v/>
      </c>
      <c r="BF147" s="58">
        <f>IF(AND($H147="opportunity",$S147=0.5,$R147=0.4),$D147 &amp; ";","")</f>
        <v/>
      </c>
      <c r="BG147" s="58">
        <f>IF(AND($H147="opportunity",$S147=0.5,$R147=0.2),$D147 &amp; ";","")</f>
        <v/>
      </c>
      <c r="BH147" s="58">
        <f>IF(AND($H147="opportunity",$S147=0.5,$R147=0.1),$D147 &amp; ";","")</f>
        <v/>
      </c>
      <c r="BI147" s="58">
        <f>IF(AND($H147="opportunity",$S147=0.5,$R147=0.05),$D147 &amp; ";","")</f>
        <v/>
      </c>
      <c r="BJ147" s="58">
        <f>IF(AND($H147="opportunity",$S147=0.3,$R147=0.8),$D147 &amp; ";","")</f>
        <v/>
      </c>
      <c r="BK147" s="58">
        <f>IF(AND($H147="opportunity",$S147=0.3,$R147=0.4),$D147 &amp; ";","")</f>
        <v/>
      </c>
      <c r="BL147" s="58">
        <f>IF(AND($H147="opportunity",$S147=0.3,$R147=0.2),$D147 &amp; ";","")</f>
        <v/>
      </c>
      <c r="BM147" s="58">
        <f>IF(AND($H147="opportunity",$S147=0.3,$R147=0.1),$D147 &amp; ";","")</f>
        <v/>
      </c>
      <c r="BN147" s="58">
        <f>IF(AND($H147="opportunity",$S147=0.3,$R147=0.05),$D147 &amp; ";","")</f>
        <v/>
      </c>
      <c r="BO147" s="58">
        <f>IF(AND($H147="opportunity",$S147=0.1,$R147=0.8),$D147 &amp; ";","")</f>
        <v/>
      </c>
      <c r="BP147" s="58">
        <f>IF(AND($H147="opportunity",$S147=0.1,$R147=0.4),$D147 &amp; ";","")</f>
        <v/>
      </c>
      <c r="BQ147" s="58">
        <f>IF(AND($H147="opportunity",$S147=0.1,$R147=0.2),$D147 &amp; ";","")</f>
        <v/>
      </c>
      <c r="BR147" s="58">
        <f>IF(AND($H147="opportunity",$S147=0.1,$R147=0.1),$D147 &amp; ";","")</f>
        <v/>
      </c>
      <c r="BS147" s="58">
        <f>IF(AND($H147="opportunity",$S147=0.1,$R147=0.05),$D147 &amp; ";","")</f>
        <v/>
      </c>
      <c r="BV147" s="57">
        <f>INDIRECT(ADDRESS(ROW()-22,COLUMN()-45,1,1,"Risk Register"))</f>
        <v/>
      </c>
      <c r="BW147" s="58">
        <f>INDIRECT(ADDRESS(ROW()-22,COLUMN()-44,1,1,"Risk Register"))</f>
        <v/>
      </c>
      <c r="BX147" s="59">
        <f>IF(AND($H147="threat",$P147&lt;=0.05),"gn",IF(AND($H147="threat",$P147&lt;=0.14),"y",IF(AND($H147="threat", $P147&gt;=0.15),"r",IF(AND($H147="opportunity",$P147&lt;=0.05),"gn",IF(AND($H147="opportunity",$P147&lt;=0.14),"lb",IF(AND($H147="opportunity",$P147&gt;=0.15),"db","z"))))))</f>
        <v/>
      </c>
      <c r="BY147" s="58">
        <f>IF(AND($H147="threat",$BW147=0.9,$BV147=0.05),$D147 &amp; ";","")</f>
        <v/>
      </c>
      <c r="BZ147" s="58">
        <f>IF(AND($H147="threat",$BW147=0.9,$BV147=0.1),$D147 &amp; ";","")</f>
        <v/>
      </c>
      <c r="CA147" s="58">
        <f>IF(AND($H147="threat",$BW147=0.9,$BV147=0.2),$D147 &amp; ";","")</f>
        <v/>
      </c>
      <c r="CB147" s="58">
        <f>IF(AND($H147="threat",$BW147=0.9,$BV147=0.4),$D147 &amp; ";","")</f>
        <v/>
      </c>
      <c r="CC147" s="58">
        <f>IF(AND($H147="threat",$BW147=0.9,$BV147=0.8),$D147 &amp; ";","")</f>
        <v/>
      </c>
      <c r="CD147" s="58">
        <f>IF(AND($H147="threat",$BW147=0.7,$BV147=0.05),$D147 &amp; ";","")</f>
        <v/>
      </c>
      <c r="CE147" s="58">
        <f>IF(AND($H147="threat",$BW147=0.7,$BV147=0.1),$D147 &amp; ";","")</f>
        <v/>
      </c>
      <c r="CF147" s="58">
        <f>IF(AND($H147="threat",$BW147=0.7,$BV147=0.2),$D147 &amp; ";","")</f>
        <v/>
      </c>
      <c r="CG147" s="58">
        <f>IF(AND($H147="threat",$BW147=0.7,$BV147=0.4),$D147 &amp; ";","")</f>
        <v/>
      </c>
      <c r="CH147" s="58">
        <f>IF(AND($H147="threat",$BW147=0.7,$BV147=0.8),$D147 &amp; ";","")</f>
        <v/>
      </c>
      <c r="CI147" s="58">
        <f>IF(AND($H147="threat",$BW147=0.5,$BV147=0.05),$D147 &amp; ";","")</f>
        <v/>
      </c>
      <c r="CJ147" s="58">
        <f>IF(AND($H147="threat",$BW147=0.5,$BV147=0.1),$D147 &amp; ";","")</f>
        <v/>
      </c>
      <c r="CK147" s="58">
        <f>IF(AND($H147="threat",$BW147=0.5,$BV147=0.2),$D147 &amp; ";","")</f>
        <v/>
      </c>
      <c r="CL147" s="58">
        <f>IF(AND($H147="threat",$BW147=0.5,$BV147=0.4),$D147 &amp; ";","")</f>
        <v/>
      </c>
      <c r="CM147" s="58">
        <f>IF(AND($H147="threat",$BW147=0.5,$BV147=0.8),$D147 &amp; ";","")</f>
        <v/>
      </c>
      <c r="CN147" s="58">
        <f>IF(AND($H147="threat",$BW147=0.3,$BV147=0.05),$D147 &amp; ";","")</f>
        <v/>
      </c>
      <c r="CO147" s="58">
        <f>IF(AND($H147="threat",$BW147=0.3,$BV147=0.1),$D147 &amp; ";","")</f>
        <v/>
      </c>
      <c r="CP147" s="58">
        <f>IF(AND($H147="threat",$BW147=0.3,$BV147=0.2),$D147 &amp; ";","")</f>
        <v/>
      </c>
      <c r="CQ147" s="58">
        <f>IF(AND($H147="threat",$BW147=0.3,$BV147=0.4),$D147 &amp; ";","")</f>
        <v/>
      </c>
      <c r="CR147" s="58">
        <f>IF(AND($H147="threat",$BW147=0.3,$BV147=0.8),$D147 &amp; ";","")</f>
        <v/>
      </c>
      <c r="CS147" s="58">
        <f>IF(AND($H147="threat",$BW147=0.1,$BV147=0.05),$D147 &amp; ";","")</f>
        <v/>
      </c>
      <c r="CT147" s="58">
        <f>IF(AND($H147="threat",$BW147=0.1,$BV147=0.1),$D147 &amp; ";","")</f>
        <v/>
      </c>
      <c r="CU147" s="58">
        <f>IF(AND($H147="threat",$BW147=0.1,$BV147=0.2),$D147 &amp; ";","")</f>
        <v/>
      </c>
      <c r="CV147" s="58">
        <f>IF(AND($H147="threat",$BW147=0.1,$BV147=0.4),$D147 &amp; ";","")</f>
        <v/>
      </c>
      <c r="CW147" s="58">
        <f>IF(AND($H147="threat",$BW147=0.1,$BV147=0.8),$D147 &amp; ";","")</f>
        <v/>
      </c>
      <c r="CX147" s="39" t="n"/>
      <c r="CY147" s="58">
        <f>IF(AND($H147="opportunity",$BW147=0.9,$BV147=0.8),$D147 &amp; ";","")</f>
        <v/>
      </c>
      <c r="CZ147" s="58">
        <f>IF(AND($H147="opportunity",$BW147=0.9,$BV147=0.4),$D147 &amp; ";","")</f>
        <v/>
      </c>
      <c r="DA147" s="58">
        <f>IF(AND($H147="opportunity",$BW147=0.9,$BV147=0.2),$D147 &amp; ";","")</f>
        <v/>
      </c>
      <c r="DB147" s="58">
        <f>IF(AND($H147="opportunity",$BW147=0.9,$BV147=0.1),$D147 &amp; ";","")</f>
        <v/>
      </c>
      <c r="DC147" s="58">
        <f>IF(AND($H147="opportunity",$BW147=0.9,$BV147=0.05),$D147 &amp; ";","")</f>
        <v/>
      </c>
      <c r="DD147" s="58">
        <f>IF(AND($H147="opportunity",$BW147=0.7,$BV147=0.8),$D147 &amp; ";","")</f>
        <v/>
      </c>
      <c r="DE147" s="58">
        <f>IF(AND($H147="opportunity",$BW147=0.7,$BV147=0.4),$D147 &amp; ";","")</f>
        <v/>
      </c>
      <c r="DF147" s="58">
        <f>IF(AND($H147="opportunity",$BW147=0.7,$BV147=0.2),$D147 &amp; ";","")</f>
        <v/>
      </c>
      <c r="DG147" s="58">
        <f>IF(AND($H147="opportunity",$BW147=0.7,$BV147=0.1),$D147 &amp; ";","")</f>
        <v/>
      </c>
      <c r="DH147" s="58">
        <f>IF(AND($H147="opportunity",$BW147=0.7,$BV147=0.05),$D147 &amp; ";","")</f>
        <v/>
      </c>
      <c r="DI147" s="58">
        <f>IF(AND($H147="opportunity",$BW147=0.5,$BV147=0.8),$D147 &amp; ";","")</f>
        <v/>
      </c>
      <c r="DJ147" s="58">
        <f>IF(AND($H147="opportunity",$BW147=0.5,$BV147=0.4),$D147 &amp; ";","")</f>
        <v/>
      </c>
      <c r="DK147" s="58">
        <f>IF(AND($H147="opportunity",$BW147=0.5,$BV147=0.2),$D147 &amp; ";","")</f>
        <v/>
      </c>
      <c r="DL147" s="58">
        <f>IF(AND($H147="opportunity",$BW147=0.5,$BV147=0.1),$D147 &amp; ";","")</f>
        <v/>
      </c>
      <c r="DM147" s="58">
        <f>IF(AND($H147="opportunity",$BW147=0.5,$BV147=0.05),$D147 &amp; ";","")</f>
        <v/>
      </c>
      <c r="DN147" s="58">
        <f>IF(AND($H147="opportunity",$BW147=0.3,$BV147=0.8),$D147 &amp; ";","")</f>
        <v/>
      </c>
      <c r="DO147" s="58">
        <f>IF(AND($H147="opportunity",$BW147=0.3,$BV147=0.4),$D147 &amp; ";","")</f>
        <v/>
      </c>
      <c r="DP147" s="58">
        <f>IF(AND($H147="opportunity",$BW147=0.3,$BV147=0.2),$D147 &amp; ";","")</f>
        <v/>
      </c>
      <c r="DQ147" s="58">
        <f>IF(AND($H147="opportunity",$BW147=0.3,$BV147=0.1),$D147 &amp; ";","")</f>
        <v/>
      </c>
      <c r="DR147" s="58">
        <f>IF(AND($H147="opportunity",$BW147=0.3,$BV147=0.05),$D147 &amp; ";","")</f>
        <v/>
      </c>
      <c r="DS147" s="58">
        <f>IF(AND($H147="opportunity",$BW147=0.1,$BV147=0.8),$D147 &amp; ";","")</f>
        <v/>
      </c>
      <c r="DT147" s="58">
        <f>IF(AND($H147="opportunity",$BW147=0.1,$BV147=0.4),$D147 &amp; ";","")</f>
        <v/>
      </c>
      <c r="DU147" s="58">
        <f>IF(AND($H147="opportunity",$BW147=0.1,$BV147=0.2),$D147 &amp; ";","")</f>
        <v/>
      </c>
      <c r="DV147" s="58">
        <f>IF(AND($H147="opportunity",$BW147=0.1,$BV147=0.1),$D147 &amp; ";","")</f>
        <v/>
      </c>
      <c r="DW147" s="58">
        <f>IF(AND($H147="opportunity",$BW147=0.1,$BV147=0.05),$D147 &amp; ";","")</f>
        <v/>
      </c>
    </row>
    <row r="148">
      <c r="D148" s="60">
        <f>INDIRECT(ADDRESS(ROW()-22,COLUMN()-2,1,1,"Risk Register"))</f>
        <v/>
      </c>
      <c r="E148" s="143">
        <f>INDIRECT(ADDRESS(ROW()-22,COLUMN()-1,1,1,"Risk Register"))</f>
        <v/>
      </c>
      <c r="G148" s="56">
        <f>INDIRECT(ADDRESS(ROW()-22,COLUMN()+10,1,1,"Risk Register"))</f>
        <v/>
      </c>
      <c r="H148" s="60">
        <f>INDIRECT(ADDRESS(ROW()-22,COLUMN()+8,1,1,"Risk Register"))</f>
        <v/>
      </c>
      <c r="I148" s="54">
        <f>INDIRECT(ADDRESS(ROW()-22,COLUMN()+3,1,1,"Risk Register"))</f>
        <v/>
      </c>
      <c r="J148" s="143">
        <f>INDIRECT(ADDRESS(ROW()-22,COLUMN()+12,1,1,"Risk Register"))</f>
        <v/>
      </c>
      <c r="K148" s="143">
        <f>INDIRECT(ADDRESS(ROW()-22,COLUMN()-2,1,1,"Risk Register"))</f>
        <v/>
      </c>
      <c r="L148" s="176">
        <f>INDIRECT(ADDRESS(ROW()-22,COLUMN()+15,1,1,"Risk Register"))</f>
        <v/>
      </c>
      <c r="M148" s="54">
        <f>INDIRECT(ADDRESS(ROW()-22,COLUMN()+13,1,1,"Risk Register"))</f>
        <v/>
      </c>
      <c r="N148" s="143">
        <f>INDIRECT(ADDRESS(ROW()-22,COLUMN()-9,1,1,"Risk Register"))</f>
        <v/>
      </c>
      <c r="O148" s="143">
        <f>INDIRECT(ADDRESS(ROW()-22,COLUMN()-8,1,1,"Risk Register"))</f>
        <v/>
      </c>
      <c r="P148" s="56">
        <f>INDIRECT(ADDRESS(ROW()-22,COLUMN()+18,1,1,"Risk Register"))</f>
        <v/>
      </c>
      <c r="R148" s="57">
        <f>INDIRECT(ADDRESS(ROW()-22,COLUMN()-5,1,1,"Risk Register"))</f>
        <v/>
      </c>
      <c r="S148" s="58">
        <f>INDIRECT(ADDRESS(ROW()-22,COLUMN()-4,1,1,"Risk Register"))</f>
        <v/>
      </c>
      <c r="T148" s="59">
        <f>IF(AND($H148="threat",$G148&lt;=0.05),"gn",IF(AND($H148="threat",$G148&lt;=0.14),"y",IF(AND($H148="threat", $G148&gt;=0.15),"r",IF(AND($H148="opportunity",$G148&lt;=0.05),"gn",IF(AND($H148="opportunity",$G148&lt;=0.14),"lb",IF(AND($H148="opportunity",$G148&gt;=0.15),"db","z"))))))</f>
        <v/>
      </c>
      <c r="U148" s="58">
        <f>IF(AND($H148="threat",$S148=0.9,$R148=0.05),$D148 &amp; ";","")</f>
        <v/>
      </c>
      <c r="V148" s="58">
        <f>IF(AND($H148="threat",$S148=0.9,$R148=0.1),$D148 &amp; ";","")</f>
        <v/>
      </c>
      <c r="W148" s="58">
        <f>IF(AND($H148="threat",$S148=0.9,$R148=0.2),$D148 &amp; ";","")</f>
        <v/>
      </c>
      <c r="X148" s="58">
        <f>IF(AND($H148="threat",$S148=0.9,$R148=0.4),$D148 &amp; ";","")</f>
        <v/>
      </c>
      <c r="Y148" s="58">
        <f>IF(AND($H148="threat",$S148=0.9,$R148=0.8),$D148 &amp; ";","")</f>
        <v/>
      </c>
      <c r="Z148" s="58">
        <f>IF(AND($H148="threat",$S148=0.7,$R148=0.05),$D148 &amp; ";","")</f>
        <v/>
      </c>
      <c r="AA148" s="58">
        <f>IF(AND($H148="threat",$S148=0.7,$R148=0.1),$D148 &amp; ";","")</f>
        <v/>
      </c>
      <c r="AB148" s="58">
        <f>IF(AND($H148="threat",$S148=0.7,$R148=0.2),$D148 &amp; ";","")</f>
        <v/>
      </c>
      <c r="AC148" s="58">
        <f>IF(AND($H148="threat",$S148=0.7,$R148=0.4),$D148 &amp; ";","")</f>
        <v/>
      </c>
      <c r="AD148" s="58">
        <f>IF(AND($H148="threat",$S148=0.7,$R148=0.8),$D148 &amp; ";","")</f>
        <v/>
      </c>
      <c r="AE148" s="58">
        <f>IF(AND($H148="threat",$S148=0.5,$R148=0.05),$D148 &amp; ";","")</f>
        <v/>
      </c>
      <c r="AF148" s="58">
        <f>IF(AND($H148="threat",$S148=0.5,$R148=0.1),$D148 &amp; ";","")</f>
        <v/>
      </c>
      <c r="AG148" s="58">
        <f>IF(AND($H148="threat",$S148=0.5,$R148=0.2),$D148 &amp; ";","")</f>
        <v/>
      </c>
      <c r="AH148" s="58">
        <f>IF(AND($H148="threat",$S148=0.5,$R148=0.4),$D148 &amp; ";","")</f>
        <v/>
      </c>
      <c r="AI148" s="58">
        <f>IF(AND($H148="threat",$S148=0.5,$R148=0.8),$D148 &amp; ";","")</f>
        <v/>
      </c>
      <c r="AJ148" s="58">
        <f>IF(AND($H148="threat",$S148=0.3,$R148=0.05),$D148 &amp; ";","")</f>
        <v/>
      </c>
      <c r="AK148" s="58">
        <f>IF(AND($H148="threat",$S148=0.3,$R148=0.1),$D148 &amp; ";","")</f>
        <v/>
      </c>
      <c r="AL148" s="58">
        <f>IF(AND($H148="threat",$S148=0.3,$R148=0.2),$D148 &amp; ";","")</f>
        <v/>
      </c>
      <c r="AM148" s="58">
        <f>IF(AND($H148="threat",$S148=0.3,$R148=0.4),$D148 &amp; ";","")</f>
        <v/>
      </c>
      <c r="AN148" s="58">
        <f>IF(AND($H148="threat",$S148=0.3,$R148=0.8),$D148 &amp; ";","")</f>
        <v/>
      </c>
      <c r="AO148" s="58">
        <f>IF(AND($H148="threat",$S148=0.1,$R148=0.05),$D148 &amp; ";","")</f>
        <v/>
      </c>
      <c r="AP148" s="58">
        <f>IF(AND($H148="threat",$S148=0.1,$R148=0.1),$D148 &amp; ";","")</f>
        <v/>
      </c>
      <c r="AQ148" s="58">
        <f>IF(AND($H148="threat",$S148=0.1,$R148=0.2),$D148 &amp; ";","")</f>
        <v/>
      </c>
      <c r="AR148" s="58">
        <f>IF(AND($H148="threat",$S148=0.1,$R148=0.4),$D148 &amp; ";","")</f>
        <v/>
      </c>
      <c r="AS148" s="58">
        <f>IF(AND($H148="threat",$S148=0.1,$R148=0.8),$D148 &amp; ";","")</f>
        <v/>
      </c>
      <c r="AT148" s="39" t="n"/>
      <c r="AU148" s="58">
        <f>IF(AND($H148="opportunity",$S148=0.9,$R148=0.8),$D148 &amp; ";","")</f>
        <v/>
      </c>
      <c r="AV148" s="58">
        <f>IF(AND($H148="opportunity",$S148=0.9,$R148=0.4),$D148 &amp; ";","")</f>
        <v/>
      </c>
      <c r="AW148" s="58">
        <f>IF(AND($H148="opportunity",$S148=0.9,$R148=0.2),$D148 &amp; ";","")</f>
        <v/>
      </c>
      <c r="AX148" s="58">
        <f>IF(AND($H148="opportunity",$S148=0.9,$R148=0.1),$D148 &amp; ";","")</f>
        <v/>
      </c>
      <c r="AY148" s="58">
        <f>IF(AND($H148="opportunity",$S148=0.9,$R148=0.05),$D148 &amp; ";","")</f>
        <v/>
      </c>
      <c r="AZ148" s="58">
        <f>IF(AND($H148="opportunity",$S148=0.7,$R148=0.8),$D148 &amp; ";","")</f>
        <v/>
      </c>
      <c r="BA148" s="58">
        <f>IF(AND($H148="opportunity",$S148=0.7,$R148=0.4),$D148 &amp; ";","")</f>
        <v/>
      </c>
      <c r="BB148" s="58">
        <f>IF(AND($H148="opportunity",$S148=0.7,$R148=0.2),$D148 &amp; ";","")</f>
        <v/>
      </c>
      <c r="BC148" s="58">
        <f>IF(AND($H148="opportunity",$S148=0.7,$R148=0.1),$D148 &amp; ";","")</f>
        <v/>
      </c>
      <c r="BD148" s="58">
        <f>IF(AND($H148="opportunity",$S148=0.7,$R148=0.05),$D148 &amp; ";","")</f>
        <v/>
      </c>
      <c r="BE148" s="58">
        <f>IF(AND($H148="opportunity",$S148=0.5,$R148=0.8),$D148 &amp; ";","")</f>
        <v/>
      </c>
      <c r="BF148" s="58">
        <f>IF(AND($H148="opportunity",$S148=0.5,$R148=0.4),$D148 &amp; ";","")</f>
        <v/>
      </c>
      <c r="BG148" s="58">
        <f>IF(AND($H148="opportunity",$S148=0.5,$R148=0.2),$D148 &amp; ";","")</f>
        <v/>
      </c>
      <c r="BH148" s="58">
        <f>IF(AND($H148="opportunity",$S148=0.5,$R148=0.1),$D148 &amp; ";","")</f>
        <v/>
      </c>
      <c r="BI148" s="58">
        <f>IF(AND($H148="opportunity",$S148=0.5,$R148=0.05),$D148 &amp; ";","")</f>
        <v/>
      </c>
      <c r="BJ148" s="58">
        <f>IF(AND($H148="opportunity",$S148=0.3,$R148=0.8),$D148 &amp; ";","")</f>
        <v/>
      </c>
      <c r="BK148" s="58">
        <f>IF(AND($H148="opportunity",$S148=0.3,$R148=0.4),$D148 &amp; ";","")</f>
        <v/>
      </c>
      <c r="BL148" s="58">
        <f>IF(AND($H148="opportunity",$S148=0.3,$R148=0.2),$D148 &amp; ";","")</f>
        <v/>
      </c>
      <c r="BM148" s="58">
        <f>IF(AND($H148="opportunity",$S148=0.3,$R148=0.1),$D148 &amp; ";","")</f>
        <v/>
      </c>
      <c r="BN148" s="58">
        <f>IF(AND($H148="opportunity",$S148=0.3,$R148=0.05),$D148 &amp; ";","")</f>
        <v/>
      </c>
      <c r="BO148" s="58">
        <f>IF(AND($H148="opportunity",$S148=0.1,$R148=0.8),$D148 &amp; ";","")</f>
        <v/>
      </c>
      <c r="BP148" s="58">
        <f>IF(AND($H148="opportunity",$S148=0.1,$R148=0.4),$D148 &amp; ";","")</f>
        <v/>
      </c>
      <c r="BQ148" s="58">
        <f>IF(AND($H148="opportunity",$S148=0.1,$R148=0.2),$D148 &amp; ";","")</f>
        <v/>
      </c>
      <c r="BR148" s="58">
        <f>IF(AND($H148="opportunity",$S148=0.1,$R148=0.1),$D148 &amp; ";","")</f>
        <v/>
      </c>
      <c r="BS148" s="58">
        <f>IF(AND($H148="opportunity",$S148=0.1,$R148=0.05),$D148 &amp; ";","")</f>
        <v/>
      </c>
      <c r="BV148" s="57">
        <f>INDIRECT(ADDRESS(ROW()-22,COLUMN()-45,1,1,"Risk Register"))</f>
        <v/>
      </c>
      <c r="BW148" s="58">
        <f>INDIRECT(ADDRESS(ROW()-22,COLUMN()-44,1,1,"Risk Register"))</f>
        <v/>
      </c>
      <c r="BX148" s="59">
        <f>IF(AND($H148="threat",$P148&lt;=0.05),"gn",IF(AND($H148="threat",$P148&lt;=0.14),"y",IF(AND($H148="threat", $P148&gt;=0.15),"r",IF(AND($H148="opportunity",$P148&lt;=0.05),"gn",IF(AND($H148="opportunity",$P148&lt;=0.14),"lb",IF(AND($H148="opportunity",$P148&gt;=0.15),"db","z"))))))</f>
        <v/>
      </c>
      <c r="BY148" s="58">
        <f>IF(AND($H148="threat",$BW148=0.9,$BV148=0.05),$D148 &amp; ";","")</f>
        <v/>
      </c>
      <c r="BZ148" s="58">
        <f>IF(AND($H148="threat",$BW148=0.9,$BV148=0.1),$D148 &amp; ";","")</f>
        <v/>
      </c>
      <c r="CA148" s="58">
        <f>IF(AND($H148="threat",$BW148=0.9,$BV148=0.2),$D148 &amp; ";","")</f>
        <v/>
      </c>
      <c r="CB148" s="58">
        <f>IF(AND($H148="threat",$BW148=0.9,$BV148=0.4),$D148 &amp; ";","")</f>
        <v/>
      </c>
      <c r="CC148" s="58">
        <f>IF(AND($H148="threat",$BW148=0.9,$BV148=0.8),$D148 &amp; ";","")</f>
        <v/>
      </c>
      <c r="CD148" s="58">
        <f>IF(AND($H148="threat",$BW148=0.7,$BV148=0.05),$D148 &amp; ";","")</f>
        <v/>
      </c>
      <c r="CE148" s="58">
        <f>IF(AND($H148="threat",$BW148=0.7,$BV148=0.1),$D148 &amp; ";","")</f>
        <v/>
      </c>
      <c r="CF148" s="58">
        <f>IF(AND($H148="threat",$BW148=0.7,$BV148=0.2),$D148 &amp; ";","")</f>
        <v/>
      </c>
      <c r="CG148" s="58">
        <f>IF(AND($H148="threat",$BW148=0.7,$BV148=0.4),$D148 &amp; ";","")</f>
        <v/>
      </c>
      <c r="CH148" s="58">
        <f>IF(AND($H148="threat",$BW148=0.7,$BV148=0.8),$D148 &amp; ";","")</f>
        <v/>
      </c>
      <c r="CI148" s="58">
        <f>IF(AND($H148="threat",$BW148=0.5,$BV148=0.05),$D148 &amp; ";","")</f>
        <v/>
      </c>
      <c r="CJ148" s="58">
        <f>IF(AND($H148="threat",$BW148=0.5,$BV148=0.1),$D148 &amp; ";","")</f>
        <v/>
      </c>
      <c r="CK148" s="58">
        <f>IF(AND($H148="threat",$BW148=0.5,$BV148=0.2),$D148 &amp; ";","")</f>
        <v/>
      </c>
      <c r="CL148" s="58">
        <f>IF(AND($H148="threat",$BW148=0.5,$BV148=0.4),$D148 &amp; ";","")</f>
        <v/>
      </c>
      <c r="CM148" s="58">
        <f>IF(AND($H148="threat",$BW148=0.5,$BV148=0.8),$D148 &amp; ";","")</f>
        <v/>
      </c>
      <c r="CN148" s="58">
        <f>IF(AND($H148="threat",$BW148=0.3,$BV148=0.05),$D148 &amp; ";","")</f>
        <v/>
      </c>
      <c r="CO148" s="58">
        <f>IF(AND($H148="threat",$BW148=0.3,$BV148=0.1),$D148 &amp; ";","")</f>
        <v/>
      </c>
      <c r="CP148" s="58">
        <f>IF(AND($H148="threat",$BW148=0.3,$BV148=0.2),$D148 &amp; ";","")</f>
        <v/>
      </c>
      <c r="CQ148" s="58">
        <f>IF(AND($H148="threat",$BW148=0.3,$BV148=0.4),$D148 &amp; ";","")</f>
        <v/>
      </c>
      <c r="CR148" s="58">
        <f>IF(AND($H148="threat",$BW148=0.3,$BV148=0.8),$D148 &amp; ";","")</f>
        <v/>
      </c>
      <c r="CS148" s="58">
        <f>IF(AND($H148="threat",$BW148=0.1,$BV148=0.05),$D148 &amp; ";","")</f>
        <v/>
      </c>
      <c r="CT148" s="58">
        <f>IF(AND($H148="threat",$BW148=0.1,$BV148=0.1),$D148 &amp; ";","")</f>
        <v/>
      </c>
      <c r="CU148" s="58">
        <f>IF(AND($H148="threat",$BW148=0.1,$BV148=0.2),$D148 &amp; ";","")</f>
        <v/>
      </c>
      <c r="CV148" s="58">
        <f>IF(AND($H148="threat",$BW148=0.1,$BV148=0.4),$D148 &amp; ";","")</f>
        <v/>
      </c>
      <c r="CW148" s="58">
        <f>IF(AND($H148="threat",$BW148=0.1,$BV148=0.8),$D148 &amp; ";","")</f>
        <v/>
      </c>
      <c r="CX148" s="39" t="n"/>
      <c r="CY148" s="58">
        <f>IF(AND($H148="opportunity",$BW148=0.9,$BV148=0.8),$D148 &amp; ";","")</f>
        <v/>
      </c>
      <c r="CZ148" s="58">
        <f>IF(AND($H148="opportunity",$BW148=0.9,$BV148=0.4),$D148 &amp; ";","")</f>
        <v/>
      </c>
      <c r="DA148" s="58">
        <f>IF(AND($H148="opportunity",$BW148=0.9,$BV148=0.2),$D148 &amp; ";","")</f>
        <v/>
      </c>
      <c r="DB148" s="58">
        <f>IF(AND($H148="opportunity",$BW148=0.9,$BV148=0.1),$D148 &amp; ";","")</f>
        <v/>
      </c>
      <c r="DC148" s="58">
        <f>IF(AND($H148="opportunity",$BW148=0.9,$BV148=0.05),$D148 &amp; ";","")</f>
        <v/>
      </c>
      <c r="DD148" s="58">
        <f>IF(AND($H148="opportunity",$BW148=0.7,$BV148=0.8),$D148 &amp; ";","")</f>
        <v/>
      </c>
      <c r="DE148" s="58">
        <f>IF(AND($H148="opportunity",$BW148=0.7,$BV148=0.4),$D148 &amp; ";","")</f>
        <v/>
      </c>
      <c r="DF148" s="58">
        <f>IF(AND($H148="opportunity",$BW148=0.7,$BV148=0.2),$D148 &amp; ";","")</f>
        <v/>
      </c>
      <c r="DG148" s="58">
        <f>IF(AND($H148="opportunity",$BW148=0.7,$BV148=0.1),$D148 &amp; ";","")</f>
        <v/>
      </c>
      <c r="DH148" s="58">
        <f>IF(AND($H148="opportunity",$BW148=0.7,$BV148=0.05),$D148 &amp; ";","")</f>
        <v/>
      </c>
      <c r="DI148" s="58">
        <f>IF(AND($H148="opportunity",$BW148=0.5,$BV148=0.8),$D148 &amp; ";","")</f>
        <v/>
      </c>
      <c r="DJ148" s="58">
        <f>IF(AND($H148="opportunity",$BW148=0.5,$BV148=0.4),$D148 &amp; ";","")</f>
        <v/>
      </c>
      <c r="DK148" s="58">
        <f>IF(AND($H148="opportunity",$BW148=0.5,$BV148=0.2),$D148 &amp; ";","")</f>
        <v/>
      </c>
      <c r="DL148" s="58">
        <f>IF(AND($H148="opportunity",$BW148=0.5,$BV148=0.1),$D148 &amp; ";","")</f>
        <v/>
      </c>
      <c r="DM148" s="58">
        <f>IF(AND($H148="opportunity",$BW148=0.5,$BV148=0.05),$D148 &amp; ";","")</f>
        <v/>
      </c>
      <c r="DN148" s="58">
        <f>IF(AND($H148="opportunity",$BW148=0.3,$BV148=0.8),$D148 &amp; ";","")</f>
        <v/>
      </c>
      <c r="DO148" s="58">
        <f>IF(AND($H148="opportunity",$BW148=0.3,$BV148=0.4),$D148 &amp; ";","")</f>
        <v/>
      </c>
      <c r="DP148" s="58">
        <f>IF(AND($H148="opportunity",$BW148=0.3,$BV148=0.2),$D148 &amp; ";","")</f>
        <v/>
      </c>
      <c r="DQ148" s="58">
        <f>IF(AND($H148="opportunity",$BW148=0.3,$BV148=0.1),$D148 &amp; ";","")</f>
        <v/>
      </c>
      <c r="DR148" s="58">
        <f>IF(AND($H148="opportunity",$BW148=0.3,$BV148=0.05),$D148 &amp; ";","")</f>
        <v/>
      </c>
      <c r="DS148" s="58">
        <f>IF(AND($H148="opportunity",$BW148=0.1,$BV148=0.8),$D148 &amp; ";","")</f>
        <v/>
      </c>
      <c r="DT148" s="58">
        <f>IF(AND($H148="opportunity",$BW148=0.1,$BV148=0.4),$D148 &amp; ";","")</f>
        <v/>
      </c>
      <c r="DU148" s="58">
        <f>IF(AND($H148="opportunity",$BW148=0.1,$BV148=0.2),$D148 &amp; ";","")</f>
        <v/>
      </c>
      <c r="DV148" s="58">
        <f>IF(AND($H148="opportunity",$BW148=0.1,$BV148=0.1),$D148 &amp; ";","")</f>
        <v/>
      </c>
      <c r="DW148" s="58">
        <f>IF(AND($H148="opportunity",$BW148=0.1,$BV148=0.05),$D148 &amp; ";","")</f>
        <v/>
      </c>
    </row>
    <row r="149">
      <c r="D149" s="60">
        <f>INDIRECT(ADDRESS(ROW()-22,COLUMN()-2,1,1,"Risk Register"))</f>
        <v/>
      </c>
      <c r="E149" s="143">
        <f>INDIRECT(ADDRESS(ROW()-22,COLUMN()-1,1,1,"Risk Register"))</f>
        <v/>
      </c>
      <c r="G149" s="56">
        <f>INDIRECT(ADDRESS(ROW()-22,COLUMN()+10,1,1,"Risk Register"))</f>
        <v/>
      </c>
      <c r="H149" s="60">
        <f>INDIRECT(ADDRESS(ROW()-22,COLUMN()+8,1,1,"Risk Register"))</f>
        <v/>
      </c>
      <c r="I149" s="54">
        <f>INDIRECT(ADDRESS(ROW()-22,COLUMN()+3,1,1,"Risk Register"))</f>
        <v/>
      </c>
      <c r="J149" s="143">
        <f>INDIRECT(ADDRESS(ROW()-22,COLUMN()+12,1,1,"Risk Register"))</f>
        <v/>
      </c>
      <c r="K149" s="143">
        <f>INDIRECT(ADDRESS(ROW()-22,COLUMN()-2,1,1,"Risk Register"))</f>
        <v/>
      </c>
      <c r="L149" s="176">
        <f>INDIRECT(ADDRESS(ROW()-22,COLUMN()+15,1,1,"Risk Register"))</f>
        <v/>
      </c>
      <c r="M149" s="54">
        <f>INDIRECT(ADDRESS(ROW()-22,COLUMN()+13,1,1,"Risk Register"))</f>
        <v/>
      </c>
      <c r="N149" s="143">
        <f>INDIRECT(ADDRESS(ROW()-22,COLUMN()-9,1,1,"Risk Register"))</f>
        <v/>
      </c>
      <c r="O149" s="143">
        <f>INDIRECT(ADDRESS(ROW()-22,COLUMN()-8,1,1,"Risk Register"))</f>
        <v/>
      </c>
      <c r="P149" s="56">
        <f>INDIRECT(ADDRESS(ROW()-22,COLUMN()+18,1,1,"Risk Register"))</f>
        <v/>
      </c>
      <c r="R149" s="57">
        <f>INDIRECT(ADDRESS(ROW()-22,COLUMN()-5,1,1,"Risk Register"))</f>
        <v/>
      </c>
      <c r="S149" s="58">
        <f>INDIRECT(ADDRESS(ROW()-22,COLUMN()-4,1,1,"Risk Register"))</f>
        <v/>
      </c>
      <c r="T149" s="59">
        <f>IF(AND($H149="threat",$G149&lt;=0.05),"gn",IF(AND($H149="threat",$G149&lt;=0.14),"y",IF(AND($H149="threat", $G149&gt;=0.15),"r",IF(AND($H149="opportunity",$G149&lt;=0.05),"gn",IF(AND($H149="opportunity",$G149&lt;=0.14),"lb",IF(AND($H149="opportunity",$G149&gt;=0.15),"db","z"))))))</f>
        <v/>
      </c>
      <c r="U149" s="58">
        <f>IF(AND($H149="threat",$S149=0.9,$R149=0.05),$D149 &amp; ";","")</f>
        <v/>
      </c>
      <c r="V149" s="58">
        <f>IF(AND($H149="threat",$S149=0.9,$R149=0.1),$D149 &amp; ";","")</f>
        <v/>
      </c>
      <c r="W149" s="58">
        <f>IF(AND($H149="threat",$S149=0.9,$R149=0.2),$D149 &amp; ";","")</f>
        <v/>
      </c>
      <c r="X149" s="58">
        <f>IF(AND($H149="threat",$S149=0.9,$R149=0.4),$D149 &amp; ";","")</f>
        <v/>
      </c>
      <c r="Y149" s="58">
        <f>IF(AND($H149="threat",$S149=0.9,$R149=0.8),$D149 &amp; ";","")</f>
        <v/>
      </c>
      <c r="Z149" s="58">
        <f>IF(AND($H149="threat",$S149=0.7,$R149=0.05),$D149 &amp; ";","")</f>
        <v/>
      </c>
      <c r="AA149" s="58">
        <f>IF(AND($H149="threat",$S149=0.7,$R149=0.1),$D149 &amp; ";","")</f>
        <v/>
      </c>
      <c r="AB149" s="58">
        <f>IF(AND($H149="threat",$S149=0.7,$R149=0.2),$D149 &amp; ";","")</f>
        <v/>
      </c>
      <c r="AC149" s="58">
        <f>IF(AND($H149="threat",$S149=0.7,$R149=0.4),$D149 &amp; ";","")</f>
        <v/>
      </c>
      <c r="AD149" s="58">
        <f>IF(AND($H149="threat",$S149=0.7,$R149=0.8),$D149 &amp; ";","")</f>
        <v/>
      </c>
      <c r="AE149" s="58">
        <f>IF(AND($H149="threat",$S149=0.5,$R149=0.05),$D149 &amp; ";","")</f>
        <v/>
      </c>
      <c r="AF149" s="58">
        <f>IF(AND($H149="threat",$S149=0.5,$R149=0.1),$D149 &amp; ";","")</f>
        <v/>
      </c>
      <c r="AG149" s="58">
        <f>IF(AND($H149="threat",$S149=0.5,$R149=0.2),$D149 &amp; ";","")</f>
        <v/>
      </c>
      <c r="AH149" s="58">
        <f>IF(AND($H149="threat",$S149=0.5,$R149=0.4),$D149 &amp; ";","")</f>
        <v/>
      </c>
      <c r="AI149" s="58">
        <f>IF(AND($H149="threat",$S149=0.5,$R149=0.8),$D149 &amp; ";","")</f>
        <v/>
      </c>
      <c r="AJ149" s="58">
        <f>IF(AND($H149="threat",$S149=0.3,$R149=0.05),$D149 &amp; ";","")</f>
        <v/>
      </c>
      <c r="AK149" s="58">
        <f>IF(AND($H149="threat",$S149=0.3,$R149=0.1),$D149 &amp; ";","")</f>
        <v/>
      </c>
      <c r="AL149" s="58">
        <f>IF(AND($H149="threat",$S149=0.3,$R149=0.2),$D149 &amp; ";","")</f>
        <v/>
      </c>
      <c r="AM149" s="58">
        <f>IF(AND($H149="threat",$S149=0.3,$R149=0.4),$D149 &amp; ";","")</f>
        <v/>
      </c>
      <c r="AN149" s="58">
        <f>IF(AND($H149="threat",$S149=0.3,$R149=0.8),$D149 &amp; ";","")</f>
        <v/>
      </c>
      <c r="AO149" s="58">
        <f>IF(AND($H149="threat",$S149=0.1,$R149=0.05),$D149 &amp; ";","")</f>
        <v/>
      </c>
      <c r="AP149" s="58">
        <f>IF(AND($H149="threat",$S149=0.1,$R149=0.1),$D149 &amp; ";","")</f>
        <v/>
      </c>
      <c r="AQ149" s="58">
        <f>IF(AND($H149="threat",$S149=0.1,$R149=0.2),$D149 &amp; ";","")</f>
        <v/>
      </c>
      <c r="AR149" s="58">
        <f>IF(AND($H149="threat",$S149=0.1,$R149=0.4),$D149 &amp; ";","")</f>
        <v/>
      </c>
      <c r="AS149" s="58">
        <f>IF(AND($H149="threat",$S149=0.1,$R149=0.8),$D149 &amp; ";","")</f>
        <v/>
      </c>
      <c r="AT149" s="39" t="n"/>
      <c r="AU149" s="58">
        <f>IF(AND($H149="opportunity",$S149=0.9,$R149=0.8),$D149 &amp; ";","")</f>
        <v/>
      </c>
      <c r="AV149" s="58">
        <f>IF(AND($H149="opportunity",$S149=0.9,$R149=0.4),$D149 &amp; ";","")</f>
        <v/>
      </c>
      <c r="AW149" s="58">
        <f>IF(AND($H149="opportunity",$S149=0.9,$R149=0.2),$D149 &amp; ";","")</f>
        <v/>
      </c>
      <c r="AX149" s="58">
        <f>IF(AND($H149="opportunity",$S149=0.9,$R149=0.1),$D149 &amp; ";","")</f>
        <v/>
      </c>
      <c r="AY149" s="58">
        <f>IF(AND($H149="opportunity",$S149=0.9,$R149=0.05),$D149 &amp; ";","")</f>
        <v/>
      </c>
      <c r="AZ149" s="58">
        <f>IF(AND($H149="opportunity",$S149=0.7,$R149=0.8),$D149 &amp; ";","")</f>
        <v/>
      </c>
      <c r="BA149" s="58">
        <f>IF(AND($H149="opportunity",$S149=0.7,$R149=0.4),$D149 &amp; ";","")</f>
        <v/>
      </c>
      <c r="BB149" s="58">
        <f>IF(AND($H149="opportunity",$S149=0.7,$R149=0.2),$D149 &amp; ";","")</f>
        <v/>
      </c>
      <c r="BC149" s="58">
        <f>IF(AND($H149="opportunity",$S149=0.7,$R149=0.1),$D149 &amp; ";","")</f>
        <v/>
      </c>
      <c r="BD149" s="58">
        <f>IF(AND($H149="opportunity",$S149=0.7,$R149=0.05),$D149 &amp; ";","")</f>
        <v/>
      </c>
      <c r="BE149" s="58">
        <f>IF(AND($H149="opportunity",$S149=0.5,$R149=0.8),$D149 &amp; ";","")</f>
        <v/>
      </c>
      <c r="BF149" s="58">
        <f>IF(AND($H149="opportunity",$S149=0.5,$R149=0.4),$D149 &amp; ";","")</f>
        <v/>
      </c>
      <c r="BG149" s="58">
        <f>IF(AND($H149="opportunity",$S149=0.5,$R149=0.2),$D149 &amp; ";","")</f>
        <v/>
      </c>
      <c r="BH149" s="58">
        <f>IF(AND($H149="opportunity",$S149=0.5,$R149=0.1),$D149 &amp; ";","")</f>
        <v/>
      </c>
      <c r="BI149" s="58">
        <f>IF(AND($H149="opportunity",$S149=0.5,$R149=0.05),$D149 &amp; ";","")</f>
        <v/>
      </c>
      <c r="BJ149" s="58">
        <f>IF(AND($H149="opportunity",$S149=0.3,$R149=0.8),$D149 &amp; ";","")</f>
        <v/>
      </c>
      <c r="BK149" s="58">
        <f>IF(AND($H149="opportunity",$S149=0.3,$R149=0.4),$D149 &amp; ";","")</f>
        <v/>
      </c>
      <c r="BL149" s="58">
        <f>IF(AND($H149="opportunity",$S149=0.3,$R149=0.2),$D149 &amp; ";","")</f>
        <v/>
      </c>
      <c r="BM149" s="58">
        <f>IF(AND($H149="opportunity",$S149=0.3,$R149=0.1),$D149 &amp; ";","")</f>
        <v/>
      </c>
      <c r="BN149" s="58">
        <f>IF(AND($H149="opportunity",$S149=0.3,$R149=0.05),$D149 &amp; ";","")</f>
        <v/>
      </c>
      <c r="BO149" s="58">
        <f>IF(AND($H149="opportunity",$S149=0.1,$R149=0.8),$D149 &amp; ";","")</f>
        <v/>
      </c>
      <c r="BP149" s="58">
        <f>IF(AND($H149="opportunity",$S149=0.1,$R149=0.4),$D149 &amp; ";","")</f>
        <v/>
      </c>
      <c r="BQ149" s="58">
        <f>IF(AND($H149="opportunity",$S149=0.1,$R149=0.2),$D149 &amp; ";","")</f>
        <v/>
      </c>
      <c r="BR149" s="58">
        <f>IF(AND($H149="opportunity",$S149=0.1,$R149=0.1),$D149 &amp; ";","")</f>
        <v/>
      </c>
      <c r="BS149" s="58">
        <f>IF(AND($H149="opportunity",$S149=0.1,$R149=0.05),$D149 &amp; ";","")</f>
        <v/>
      </c>
      <c r="BV149" s="57">
        <f>INDIRECT(ADDRESS(ROW()-22,COLUMN()-45,1,1,"Risk Register"))</f>
        <v/>
      </c>
      <c r="BW149" s="58">
        <f>INDIRECT(ADDRESS(ROW()-22,COLUMN()-44,1,1,"Risk Register"))</f>
        <v/>
      </c>
      <c r="BX149" s="59">
        <f>IF(AND($H149="threat",$P149&lt;=0.05),"gn",IF(AND($H149="threat",$P149&lt;=0.14),"y",IF(AND($H149="threat", $P149&gt;=0.15),"r",IF(AND($H149="opportunity",$P149&lt;=0.05),"gn",IF(AND($H149="opportunity",$P149&lt;=0.14),"lb",IF(AND($H149="opportunity",$P149&gt;=0.15),"db","z"))))))</f>
        <v/>
      </c>
      <c r="BY149" s="58">
        <f>IF(AND($H149="threat",$BW149=0.9,$BV149=0.05),$D149 &amp; ";","")</f>
        <v/>
      </c>
      <c r="BZ149" s="58">
        <f>IF(AND($H149="threat",$BW149=0.9,$BV149=0.1),$D149 &amp; ";","")</f>
        <v/>
      </c>
      <c r="CA149" s="58">
        <f>IF(AND($H149="threat",$BW149=0.9,$BV149=0.2),$D149 &amp; ";","")</f>
        <v/>
      </c>
      <c r="CB149" s="58">
        <f>IF(AND($H149="threat",$BW149=0.9,$BV149=0.4),$D149 &amp; ";","")</f>
        <v/>
      </c>
      <c r="CC149" s="58">
        <f>IF(AND($H149="threat",$BW149=0.9,$BV149=0.8),$D149 &amp; ";","")</f>
        <v/>
      </c>
      <c r="CD149" s="58">
        <f>IF(AND($H149="threat",$BW149=0.7,$BV149=0.05),$D149 &amp; ";","")</f>
        <v/>
      </c>
      <c r="CE149" s="58">
        <f>IF(AND($H149="threat",$BW149=0.7,$BV149=0.1),$D149 &amp; ";","")</f>
        <v/>
      </c>
      <c r="CF149" s="58">
        <f>IF(AND($H149="threat",$BW149=0.7,$BV149=0.2),$D149 &amp; ";","")</f>
        <v/>
      </c>
      <c r="CG149" s="58">
        <f>IF(AND($H149="threat",$BW149=0.7,$BV149=0.4),$D149 &amp; ";","")</f>
        <v/>
      </c>
      <c r="CH149" s="58">
        <f>IF(AND($H149="threat",$BW149=0.7,$BV149=0.8),$D149 &amp; ";","")</f>
        <v/>
      </c>
      <c r="CI149" s="58">
        <f>IF(AND($H149="threat",$BW149=0.5,$BV149=0.05),$D149 &amp; ";","")</f>
        <v/>
      </c>
      <c r="CJ149" s="58">
        <f>IF(AND($H149="threat",$BW149=0.5,$BV149=0.1),$D149 &amp; ";","")</f>
        <v/>
      </c>
      <c r="CK149" s="58">
        <f>IF(AND($H149="threat",$BW149=0.5,$BV149=0.2),$D149 &amp; ";","")</f>
        <v/>
      </c>
      <c r="CL149" s="58">
        <f>IF(AND($H149="threat",$BW149=0.5,$BV149=0.4),$D149 &amp; ";","")</f>
        <v/>
      </c>
      <c r="CM149" s="58">
        <f>IF(AND($H149="threat",$BW149=0.5,$BV149=0.8),$D149 &amp; ";","")</f>
        <v/>
      </c>
      <c r="CN149" s="58">
        <f>IF(AND($H149="threat",$BW149=0.3,$BV149=0.05),$D149 &amp; ";","")</f>
        <v/>
      </c>
      <c r="CO149" s="58">
        <f>IF(AND($H149="threat",$BW149=0.3,$BV149=0.1),$D149 &amp; ";","")</f>
        <v/>
      </c>
      <c r="CP149" s="58">
        <f>IF(AND($H149="threat",$BW149=0.3,$BV149=0.2),$D149 &amp; ";","")</f>
        <v/>
      </c>
      <c r="CQ149" s="58">
        <f>IF(AND($H149="threat",$BW149=0.3,$BV149=0.4),$D149 &amp; ";","")</f>
        <v/>
      </c>
      <c r="CR149" s="58">
        <f>IF(AND($H149="threat",$BW149=0.3,$BV149=0.8),$D149 &amp; ";","")</f>
        <v/>
      </c>
      <c r="CS149" s="58">
        <f>IF(AND($H149="threat",$BW149=0.1,$BV149=0.05),$D149 &amp; ";","")</f>
        <v/>
      </c>
      <c r="CT149" s="58">
        <f>IF(AND($H149="threat",$BW149=0.1,$BV149=0.1),$D149 &amp; ";","")</f>
        <v/>
      </c>
      <c r="CU149" s="58">
        <f>IF(AND($H149="threat",$BW149=0.1,$BV149=0.2),$D149 &amp; ";","")</f>
        <v/>
      </c>
      <c r="CV149" s="58">
        <f>IF(AND($H149="threat",$BW149=0.1,$BV149=0.4),$D149 &amp; ";","")</f>
        <v/>
      </c>
      <c r="CW149" s="58">
        <f>IF(AND($H149="threat",$BW149=0.1,$BV149=0.8),$D149 &amp; ";","")</f>
        <v/>
      </c>
      <c r="CX149" s="39" t="n"/>
      <c r="CY149" s="58">
        <f>IF(AND($H149="opportunity",$BW149=0.9,$BV149=0.8),$D149 &amp; ";","")</f>
        <v/>
      </c>
      <c r="CZ149" s="58">
        <f>IF(AND($H149="opportunity",$BW149=0.9,$BV149=0.4),$D149 &amp; ";","")</f>
        <v/>
      </c>
      <c r="DA149" s="58">
        <f>IF(AND($H149="opportunity",$BW149=0.9,$BV149=0.2),$D149 &amp; ";","")</f>
        <v/>
      </c>
      <c r="DB149" s="58">
        <f>IF(AND($H149="opportunity",$BW149=0.9,$BV149=0.1),$D149 &amp; ";","")</f>
        <v/>
      </c>
      <c r="DC149" s="58">
        <f>IF(AND($H149="opportunity",$BW149=0.9,$BV149=0.05),$D149 &amp; ";","")</f>
        <v/>
      </c>
      <c r="DD149" s="58">
        <f>IF(AND($H149="opportunity",$BW149=0.7,$BV149=0.8),$D149 &amp; ";","")</f>
        <v/>
      </c>
      <c r="DE149" s="58">
        <f>IF(AND($H149="opportunity",$BW149=0.7,$BV149=0.4),$D149 &amp; ";","")</f>
        <v/>
      </c>
      <c r="DF149" s="58">
        <f>IF(AND($H149="opportunity",$BW149=0.7,$BV149=0.2),$D149 &amp; ";","")</f>
        <v/>
      </c>
      <c r="DG149" s="58">
        <f>IF(AND($H149="opportunity",$BW149=0.7,$BV149=0.1),$D149 &amp; ";","")</f>
        <v/>
      </c>
      <c r="DH149" s="58">
        <f>IF(AND($H149="opportunity",$BW149=0.7,$BV149=0.05),$D149 &amp; ";","")</f>
        <v/>
      </c>
      <c r="DI149" s="58">
        <f>IF(AND($H149="opportunity",$BW149=0.5,$BV149=0.8),$D149 &amp; ";","")</f>
        <v/>
      </c>
      <c r="DJ149" s="58">
        <f>IF(AND($H149="opportunity",$BW149=0.5,$BV149=0.4),$D149 &amp; ";","")</f>
        <v/>
      </c>
      <c r="DK149" s="58">
        <f>IF(AND($H149="opportunity",$BW149=0.5,$BV149=0.2),$D149 &amp; ";","")</f>
        <v/>
      </c>
      <c r="DL149" s="58">
        <f>IF(AND($H149="opportunity",$BW149=0.5,$BV149=0.1),$D149 &amp; ";","")</f>
        <v/>
      </c>
      <c r="DM149" s="58">
        <f>IF(AND($H149="opportunity",$BW149=0.5,$BV149=0.05),$D149 &amp; ";","")</f>
        <v/>
      </c>
      <c r="DN149" s="58">
        <f>IF(AND($H149="opportunity",$BW149=0.3,$BV149=0.8),$D149 &amp; ";","")</f>
        <v/>
      </c>
      <c r="DO149" s="58">
        <f>IF(AND($H149="opportunity",$BW149=0.3,$BV149=0.4),$D149 &amp; ";","")</f>
        <v/>
      </c>
      <c r="DP149" s="58">
        <f>IF(AND($H149="opportunity",$BW149=0.3,$BV149=0.2),$D149 &amp; ";","")</f>
        <v/>
      </c>
      <c r="DQ149" s="58">
        <f>IF(AND($H149="opportunity",$BW149=0.3,$BV149=0.1),$D149 &amp; ";","")</f>
        <v/>
      </c>
      <c r="DR149" s="58">
        <f>IF(AND($H149="opportunity",$BW149=0.3,$BV149=0.05),$D149 &amp; ";","")</f>
        <v/>
      </c>
      <c r="DS149" s="58">
        <f>IF(AND($H149="opportunity",$BW149=0.1,$BV149=0.8),$D149 &amp; ";","")</f>
        <v/>
      </c>
      <c r="DT149" s="58">
        <f>IF(AND($H149="opportunity",$BW149=0.1,$BV149=0.4),$D149 &amp; ";","")</f>
        <v/>
      </c>
      <c r="DU149" s="58">
        <f>IF(AND($H149="opportunity",$BW149=0.1,$BV149=0.2),$D149 &amp; ";","")</f>
        <v/>
      </c>
      <c r="DV149" s="58">
        <f>IF(AND($H149="opportunity",$BW149=0.1,$BV149=0.1),$D149 &amp; ";","")</f>
        <v/>
      </c>
      <c r="DW149" s="58">
        <f>IF(AND($H149="opportunity",$BW149=0.1,$BV149=0.05),$D149 &amp; ";","")</f>
        <v/>
      </c>
    </row>
    <row r="150" ht="12.75" customHeight="1">
      <c r="D150" s="60">
        <f>INDIRECT(ADDRESS(ROW()-22,COLUMN()-2,1,1,"Risk Register"))</f>
        <v/>
      </c>
      <c r="E150" s="143">
        <f>INDIRECT(ADDRESS(ROW()-22,COLUMN()-1,1,1,"Risk Register"))</f>
        <v/>
      </c>
      <c r="G150" s="56">
        <f>INDIRECT(ADDRESS(ROW()-22,COLUMN()+10,1,1,"Risk Register"))</f>
        <v/>
      </c>
      <c r="H150" s="60">
        <f>INDIRECT(ADDRESS(ROW()-22,COLUMN()+8,1,1,"Risk Register"))</f>
        <v/>
      </c>
      <c r="I150" s="54">
        <f>INDIRECT(ADDRESS(ROW()-22,COLUMN()+3,1,1,"Risk Register"))</f>
        <v/>
      </c>
      <c r="J150" s="143">
        <f>INDIRECT(ADDRESS(ROW()-22,COLUMN()+12,1,1,"Risk Register"))</f>
        <v/>
      </c>
      <c r="K150" s="143">
        <f>INDIRECT(ADDRESS(ROW()-22,COLUMN()-2,1,1,"Risk Register"))</f>
        <v/>
      </c>
      <c r="L150" s="176">
        <f>INDIRECT(ADDRESS(ROW()-22,COLUMN()+15,1,1,"Risk Register"))</f>
        <v/>
      </c>
      <c r="M150" s="54">
        <f>INDIRECT(ADDRESS(ROW()-22,COLUMN()+13,1,1,"Risk Register"))</f>
        <v/>
      </c>
      <c r="N150" s="143">
        <f>INDIRECT(ADDRESS(ROW()-22,COLUMN()-9,1,1,"Risk Register"))</f>
        <v/>
      </c>
      <c r="O150" s="143">
        <f>INDIRECT(ADDRESS(ROW()-22,COLUMN()-8,1,1,"Risk Register"))</f>
        <v/>
      </c>
      <c r="P150" s="56">
        <f>INDIRECT(ADDRESS(ROW()-22,COLUMN()+18,1,1,"Risk Register"))</f>
        <v/>
      </c>
      <c r="R150" s="57">
        <f>INDIRECT(ADDRESS(ROW()-22,COLUMN()-5,1,1,"Risk Register"))</f>
        <v/>
      </c>
      <c r="S150" s="58">
        <f>INDIRECT(ADDRESS(ROW()-22,COLUMN()-4,1,1,"Risk Register"))</f>
        <v/>
      </c>
      <c r="T150" s="59">
        <f>IF(AND($H150="threat",$G150&lt;=0.05),"gn",IF(AND($H150="threat",$G150&lt;=0.14),"y",IF(AND($H150="threat", $G150&gt;=0.15),"r",IF(AND($H150="opportunity",$G150&lt;=0.05),"gn",IF(AND($H150="opportunity",$G150&lt;=0.14),"lb",IF(AND($H150="opportunity",$G150&gt;=0.15),"db","z"))))))</f>
        <v/>
      </c>
      <c r="U150" s="58">
        <f>IF(AND($H150="threat",$S150=0.9,$R150=0.05),$D150 &amp; ";","")</f>
        <v/>
      </c>
      <c r="V150" s="58">
        <f>IF(AND($H150="threat",$S150=0.9,$R150=0.1),$D150 &amp; ";","")</f>
        <v/>
      </c>
      <c r="W150" s="58">
        <f>IF(AND($H150="threat",$S150=0.9,$R150=0.2),$D150 &amp; ";","")</f>
        <v/>
      </c>
      <c r="X150" s="58">
        <f>IF(AND($H150="threat",$S150=0.9,$R150=0.4),$D150 &amp; ";","")</f>
        <v/>
      </c>
      <c r="Y150" s="58">
        <f>IF(AND($H150="threat",$S150=0.9,$R150=0.8),$D150 &amp; ";","")</f>
        <v/>
      </c>
      <c r="Z150" s="58">
        <f>IF(AND($H150="threat",$S150=0.7,$R150=0.05),$D150 &amp; ";","")</f>
        <v/>
      </c>
      <c r="AA150" s="58">
        <f>IF(AND($H150="threat",$S150=0.7,$R150=0.1),$D150 &amp; ";","")</f>
        <v/>
      </c>
      <c r="AB150" s="58">
        <f>IF(AND($H150="threat",$S150=0.7,$R150=0.2),$D150 &amp; ";","")</f>
        <v/>
      </c>
      <c r="AC150" s="58">
        <f>IF(AND($H150="threat",$S150=0.7,$R150=0.4),$D150 &amp; ";","")</f>
        <v/>
      </c>
      <c r="AD150" s="58">
        <f>IF(AND($H150="threat",$S150=0.7,$R150=0.8),$D150 &amp; ";","")</f>
        <v/>
      </c>
      <c r="AE150" s="58">
        <f>IF(AND($H150="threat",$S150=0.5,$R150=0.05),$D150 &amp; ";","")</f>
        <v/>
      </c>
      <c r="AF150" s="58">
        <f>IF(AND($H150="threat",$S150=0.5,$R150=0.1),$D150 &amp; ";","")</f>
        <v/>
      </c>
      <c r="AG150" s="58">
        <f>IF(AND($H150="threat",$S150=0.5,$R150=0.2),$D150 &amp; ";","")</f>
        <v/>
      </c>
      <c r="AH150" s="58">
        <f>IF(AND($H150="threat",$S150=0.5,$R150=0.4),$D150 &amp; ";","")</f>
        <v/>
      </c>
      <c r="AI150" s="58">
        <f>IF(AND($H150="threat",$S150=0.5,$R150=0.8),$D150 &amp; ";","")</f>
        <v/>
      </c>
      <c r="AJ150" s="58">
        <f>IF(AND($H150="threat",$S150=0.3,$R150=0.05),$D150 &amp; ";","")</f>
        <v/>
      </c>
      <c r="AK150" s="58">
        <f>IF(AND($H150="threat",$S150=0.3,$R150=0.1),$D150 &amp; ";","")</f>
        <v/>
      </c>
      <c r="AL150" s="58">
        <f>IF(AND($H150="threat",$S150=0.3,$R150=0.2),$D150 &amp; ";","")</f>
        <v/>
      </c>
      <c r="AM150" s="58">
        <f>IF(AND($H150="threat",$S150=0.3,$R150=0.4),$D150 &amp; ";","")</f>
        <v/>
      </c>
      <c r="AN150" s="58">
        <f>IF(AND($H150="threat",$S150=0.3,$R150=0.8),$D150 &amp; ";","")</f>
        <v/>
      </c>
      <c r="AO150" s="58">
        <f>IF(AND($H150="threat",$S150=0.1,$R150=0.05),$D150 &amp; ";","")</f>
        <v/>
      </c>
      <c r="AP150" s="58">
        <f>IF(AND($H150="threat",$S150=0.1,$R150=0.1),$D150 &amp; ";","")</f>
        <v/>
      </c>
      <c r="AQ150" s="58">
        <f>IF(AND($H150="threat",$S150=0.1,$R150=0.2),$D150 &amp; ";","")</f>
        <v/>
      </c>
      <c r="AR150" s="58">
        <f>IF(AND($H150="threat",$S150=0.1,$R150=0.4),$D150 &amp; ";","")</f>
        <v/>
      </c>
      <c r="AS150" s="58">
        <f>IF(AND($H150="threat",$S150=0.1,$R150=0.8),$D150 &amp; ";","")</f>
        <v/>
      </c>
      <c r="AT150" s="39" t="n"/>
      <c r="AU150" s="58">
        <f>IF(AND($H150="opportunity",$S150=0.9,$R150=0.8),$D150 &amp; ";","")</f>
        <v/>
      </c>
      <c r="AV150" s="58">
        <f>IF(AND($H150="opportunity",$S150=0.9,$R150=0.4),$D150 &amp; ";","")</f>
        <v/>
      </c>
      <c r="AW150" s="58">
        <f>IF(AND($H150="opportunity",$S150=0.9,$R150=0.2),$D150 &amp; ";","")</f>
        <v/>
      </c>
      <c r="AX150" s="58">
        <f>IF(AND($H150="opportunity",$S150=0.9,$R150=0.1),$D150 &amp; ";","")</f>
        <v/>
      </c>
      <c r="AY150" s="58">
        <f>IF(AND($H150="opportunity",$S150=0.9,$R150=0.05),$D150 &amp; ";","")</f>
        <v/>
      </c>
      <c r="AZ150" s="58">
        <f>IF(AND($H150="opportunity",$S150=0.7,$R150=0.8),$D150 &amp; ";","")</f>
        <v/>
      </c>
      <c r="BA150" s="58">
        <f>IF(AND($H150="opportunity",$S150=0.7,$R150=0.4),$D150 &amp; ";","")</f>
        <v/>
      </c>
      <c r="BB150" s="58">
        <f>IF(AND($H150="opportunity",$S150=0.7,$R150=0.2),$D150 &amp; ";","")</f>
        <v/>
      </c>
      <c r="BC150" s="58">
        <f>IF(AND($H150="opportunity",$S150=0.7,$R150=0.1),$D150 &amp; ";","")</f>
        <v/>
      </c>
      <c r="BD150" s="58">
        <f>IF(AND($H150="opportunity",$S150=0.7,$R150=0.05),$D150 &amp; ";","")</f>
        <v/>
      </c>
      <c r="BE150" s="58">
        <f>IF(AND($H150="opportunity",$S150=0.5,$R150=0.8),$D150 &amp; ";","")</f>
        <v/>
      </c>
      <c r="BF150" s="58">
        <f>IF(AND($H150="opportunity",$S150=0.5,$R150=0.4),$D150 &amp; ";","")</f>
        <v/>
      </c>
      <c r="BG150" s="58">
        <f>IF(AND($H150="opportunity",$S150=0.5,$R150=0.2),$D150 &amp; ";","")</f>
        <v/>
      </c>
      <c r="BH150" s="58">
        <f>IF(AND($H150="opportunity",$S150=0.5,$R150=0.1),$D150 &amp; ";","")</f>
        <v/>
      </c>
      <c r="BI150" s="58">
        <f>IF(AND($H150="opportunity",$S150=0.5,$R150=0.05),$D150 &amp; ";","")</f>
        <v/>
      </c>
      <c r="BJ150" s="58">
        <f>IF(AND($H150="opportunity",$S150=0.3,$R150=0.8),$D150 &amp; ";","")</f>
        <v/>
      </c>
      <c r="BK150" s="58">
        <f>IF(AND($H150="opportunity",$S150=0.3,$R150=0.4),$D150 &amp; ";","")</f>
        <v/>
      </c>
      <c r="BL150" s="58">
        <f>IF(AND($H150="opportunity",$S150=0.3,$R150=0.2),$D150 &amp; ";","")</f>
        <v/>
      </c>
      <c r="BM150" s="58">
        <f>IF(AND($H150="opportunity",$S150=0.3,$R150=0.1),$D150 &amp; ";","")</f>
        <v/>
      </c>
      <c r="BN150" s="58">
        <f>IF(AND($H150="opportunity",$S150=0.3,$R150=0.05),$D150 &amp; ";","")</f>
        <v/>
      </c>
      <c r="BO150" s="58">
        <f>IF(AND($H150="opportunity",$S150=0.1,$R150=0.8),$D150 &amp; ";","")</f>
        <v/>
      </c>
      <c r="BP150" s="58">
        <f>IF(AND($H150="opportunity",$S150=0.1,$R150=0.4),$D150 &amp; ";","")</f>
        <v/>
      </c>
      <c r="BQ150" s="58">
        <f>IF(AND($H150="opportunity",$S150=0.1,$R150=0.2),$D150 &amp; ";","")</f>
        <v/>
      </c>
      <c r="BR150" s="58">
        <f>IF(AND($H150="opportunity",$S150=0.1,$R150=0.1),$D150 &amp; ";","")</f>
        <v/>
      </c>
      <c r="BS150" s="58">
        <f>IF(AND($H150="opportunity",$S150=0.1,$R150=0.05),$D150 &amp; ";","")</f>
        <v/>
      </c>
      <c r="BV150" s="57">
        <f>INDIRECT(ADDRESS(ROW()-22,COLUMN()-45,1,1,"Risk Register"))</f>
        <v/>
      </c>
      <c r="BW150" s="58">
        <f>INDIRECT(ADDRESS(ROW()-22,COLUMN()-44,1,1,"Risk Register"))</f>
        <v/>
      </c>
      <c r="BX150" s="59">
        <f>IF(AND($H150="threat",$P150&lt;=0.05),"gn",IF(AND($H150="threat",$P150&lt;=0.14),"y",IF(AND($H150="threat", $P150&gt;=0.15),"r",IF(AND($H150="opportunity",$P150&lt;=0.05),"gn",IF(AND($H150="opportunity",$P150&lt;=0.14),"lb",IF(AND($H150="opportunity",$P150&gt;=0.15),"db","z"))))))</f>
        <v/>
      </c>
      <c r="BY150" s="58">
        <f>IF(AND($H150="threat",$BW150=0.9,$BV150=0.05),$D150 &amp; ";","")</f>
        <v/>
      </c>
      <c r="BZ150" s="58">
        <f>IF(AND($H150="threat",$BW150=0.9,$BV150=0.1),$D150 &amp; ";","")</f>
        <v/>
      </c>
      <c r="CA150" s="58">
        <f>IF(AND($H150="threat",$BW150=0.9,$BV150=0.2),$D150 &amp; ";","")</f>
        <v/>
      </c>
      <c r="CB150" s="58">
        <f>IF(AND($H150="threat",$BW150=0.9,$BV150=0.4),$D150 &amp; ";","")</f>
        <v/>
      </c>
      <c r="CC150" s="58">
        <f>IF(AND($H150="threat",$BW150=0.9,$BV150=0.8),$D150 &amp; ";","")</f>
        <v/>
      </c>
      <c r="CD150" s="58">
        <f>IF(AND($H150="threat",$BW150=0.7,$BV150=0.05),$D150 &amp; ";","")</f>
        <v/>
      </c>
      <c r="CE150" s="58">
        <f>IF(AND($H150="threat",$BW150=0.7,$BV150=0.1),$D150 &amp; ";","")</f>
        <v/>
      </c>
      <c r="CF150" s="58">
        <f>IF(AND($H150="threat",$BW150=0.7,$BV150=0.2),$D150 &amp; ";","")</f>
        <v/>
      </c>
      <c r="CG150" s="58">
        <f>IF(AND($H150="threat",$BW150=0.7,$BV150=0.4),$D150 &amp; ";","")</f>
        <v/>
      </c>
      <c r="CH150" s="58">
        <f>IF(AND($H150="threat",$BW150=0.7,$BV150=0.8),$D150 &amp; ";","")</f>
        <v/>
      </c>
      <c r="CI150" s="58">
        <f>IF(AND($H150="threat",$BW150=0.5,$BV150=0.05),$D150 &amp; ";","")</f>
        <v/>
      </c>
      <c r="CJ150" s="58">
        <f>IF(AND($H150="threat",$BW150=0.5,$BV150=0.1),$D150 &amp; ";","")</f>
        <v/>
      </c>
      <c r="CK150" s="58">
        <f>IF(AND($H150="threat",$BW150=0.5,$BV150=0.2),$D150 &amp; ";","")</f>
        <v/>
      </c>
      <c r="CL150" s="58">
        <f>IF(AND($H150="threat",$BW150=0.5,$BV150=0.4),$D150 &amp; ";","")</f>
        <v/>
      </c>
      <c r="CM150" s="58">
        <f>IF(AND($H150="threat",$BW150=0.5,$BV150=0.8),$D150 &amp; ";","")</f>
        <v/>
      </c>
      <c r="CN150" s="58">
        <f>IF(AND($H150="threat",$BW150=0.3,$BV150=0.05),$D150 &amp; ";","")</f>
        <v/>
      </c>
      <c r="CO150" s="58">
        <f>IF(AND($H150="threat",$BW150=0.3,$BV150=0.1),$D150 &amp; ";","")</f>
        <v/>
      </c>
      <c r="CP150" s="58">
        <f>IF(AND($H150="threat",$BW150=0.3,$BV150=0.2),$D150 &amp; ";","")</f>
        <v/>
      </c>
      <c r="CQ150" s="58">
        <f>IF(AND($H150="threat",$BW150=0.3,$BV150=0.4),$D150 &amp; ";","")</f>
        <v/>
      </c>
      <c r="CR150" s="58">
        <f>IF(AND($H150="threat",$BW150=0.3,$BV150=0.8),$D150 &amp; ";","")</f>
        <v/>
      </c>
      <c r="CS150" s="58">
        <f>IF(AND($H150="threat",$BW150=0.1,$BV150=0.05),$D150 &amp; ";","")</f>
        <v/>
      </c>
      <c r="CT150" s="58">
        <f>IF(AND($H150="threat",$BW150=0.1,$BV150=0.1),$D150 &amp; ";","")</f>
        <v/>
      </c>
      <c r="CU150" s="58">
        <f>IF(AND($H150="threat",$BW150=0.1,$BV150=0.2),$D150 &amp; ";","")</f>
        <v/>
      </c>
      <c r="CV150" s="58">
        <f>IF(AND($H150="threat",$BW150=0.1,$BV150=0.4),$D150 &amp; ";","")</f>
        <v/>
      </c>
      <c r="CW150" s="58">
        <f>IF(AND($H150="threat",$BW150=0.1,$BV150=0.8),$D150 &amp; ";","")</f>
        <v/>
      </c>
      <c r="CX150" s="39" t="n"/>
      <c r="CY150" s="58">
        <f>IF(AND($H150="opportunity",$BW150=0.9,$BV150=0.8),$D150 &amp; ";","")</f>
        <v/>
      </c>
      <c r="CZ150" s="58">
        <f>IF(AND($H150="opportunity",$BW150=0.9,$BV150=0.4),$D150 &amp; ";","")</f>
        <v/>
      </c>
      <c r="DA150" s="58">
        <f>IF(AND($H150="opportunity",$BW150=0.9,$BV150=0.2),$D150 &amp; ";","")</f>
        <v/>
      </c>
      <c r="DB150" s="58">
        <f>IF(AND($H150="opportunity",$BW150=0.9,$BV150=0.1),$D150 &amp; ";","")</f>
        <v/>
      </c>
      <c r="DC150" s="58">
        <f>IF(AND($H150="opportunity",$BW150=0.9,$BV150=0.05),$D150 &amp; ";","")</f>
        <v/>
      </c>
      <c r="DD150" s="58">
        <f>IF(AND($H150="opportunity",$BW150=0.7,$BV150=0.8),$D150 &amp; ";","")</f>
        <v/>
      </c>
      <c r="DE150" s="58">
        <f>IF(AND($H150="opportunity",$BW150=0.7,$BV150=0.4),$D150 &amp; ";","")</f>
        <v/>
      </c>
      <c r="DF150" s="58">
        <f>IF(AND($H150="opportunity",$BW150=0.7,$BV150=0.2),$D150 &amp; ";","")</f>
        <v/>
      </c>
      <c r="DG150" s="58">
        <f>IF(AND($H150="opportunity",$BW150=0.7,$BV150=0.1),$D150 &amp; ";","")</f>
        <v/>
      </c>
      <c r="DH150" s="58">
        <f>IF(AND($H150="opportunity",$BW150=0.7,$BV150=0.05),$D150 &amp; ";","")</f>
        <v/>
      </c>
      <c r="DI150" s="58">
        <f>IF(AND($H150="opportunity",$BW150=0.5,$BV150=0.8),$D150 &amp; ";","")</f>
        <v/>
      </c>
      <c r="DJ150" s="58">
        <f>IF(AND($H150="opportunity",$BW150=0.5,$BV150=0.4),$D150 &amp; ";","")</f>
        <v/>
      </c>
      <c r="DK150" s="58">
        <f>IF(AND($H150="opportunity",$BW150=0.5,$BV150=0.2),$D150 &amp; ";","")</f>
        <v/>
      </c>
      <c r="DL150" s="58">
        <f>IF(AND($H150="opportunity",$BW150=0.5,$BV150=0.1),$D150 &amp; ";","")</f>
        <v/>
      </c>
      <c r="DM150" s="58">
        <f>IF(AND($H150="opportunity",$BW150=0.5,$BV150=0.05),$D150 &amp; ";","")</f>
        <v/>
      </c>
      <c r="DN150" s="58">
        <f>IF(AND($H150="opportunity",$BW150=0.3,$BV150=0.8),$D150 &amp; ";","")</f>
        <v/>
      </c>
      <c r="DO150" s="58">
        <f>IF(AND($H150="opportunity",$BW150=0.3,$BV150=0.4),$D150 &amp; ";","")</f>
        <v/>
      </c>
      <c r="DP150" s="58">
        <f>IF(AND($H150="opportunity",$BW150=0.3,$BV150=0.2),$D150 &amp; ";","")</f>
        <v/>
      </c>
      <c r="DQ150" s="58">
        <f>IF(AND($H150="opportunity",$BW150=0.3,$BV150=0.1),$D150 &amp; ";","")</f>
        <v/>
      </c>
      <c r="DR150" s="58">
        <f>IF(AND($H150="opportunity",$BW150=0.3,$BV150=0.05),$D150 &amp; ";","")</f>
        <v/>
      </c>
      <c r="DS150" s="58">
        <f>IF(AND($H150="opportunity",$BW150=0.1,$BV150=0.8),$D150 &amp; ";","")</f>
        <v/>
      </c>
      <c r="DT150" s="58">
        <f>IF(AND($H150="opportunity",$BW150=0.1,$BV150=0.4),$D150 &amp; ";","")</f>
        <v/>
      </c>
      <c r="DU150" s="58">
        <f>IF(AND($H150="opportunity",$BW150=0.1,$BV150=0.2),$D150 &amp; ";","")</f>
        <v/>
      </c>
      <c r="DV150" s="58">
        <f>IF(AND($H150="opportunity",$BW150=0.1,$BV150=0.1),$D150 &amp; ";","")</f>
        <v/>
      </c>
      <c r="DW150" s="58">
        <f>IF(AND($H150="opportunity",$BW150=0.1,$BV150=0.05),$D150 &amp; ";","")</f>
        <v/>
      </c>
    </row>
    <row r="151" ht="12.75" customHeight="1">
      <c r="D151" s="60">
        <f>INDIRECT(ADDRESS(ROW()-22,COLUMN()-2,1,1,"Risk Register"))</f>
        <v/>
      </c>
      <c r="E151" s="143">
        <f>INDIRECT(ADDRESS(ROW()-22,COLUMN()-1,1,1,"Risk Register"))</f>
        <v/>
      </c>
      <c r="G151" s="56">
        <f>INDIRECT(ADDRESS(ROW()-22,COLUMN()+10,1,1,"Risk Register"))</f>
        <v/>
      </c>
      <c r="H151" s="60">
        <f>INDIRECT(ADDRESS(ROW()-22,COLUMN()+8,1,1,"Risk Register"))</f>
        <v/>
      </c>
      <c r="I151" s="54">
        <f>INDIRECT(ADDRESS(ROW()-22,COLUMN()+3,1,1,"Risk Register"))</f>
        <v/>
      </c>
      <c r="J151" s="143">
        <f>INDIRECT(ADDRESS(ROW()-22,COLUMN()+12,1,1,"Risk Register"))</f>
        <v/>
      </c>
      <c r="K151" s="143">
        <f>INDIRECT(ADDRESS(ROW()-22,COLUMN()-2,1,1,"Risk Register"))</f>
        <v/>
      </c>
      <c r="L151" s="176">
        <f>INDIRECT(ADDRESS(ROW()-22,COLUMN()+15,1,1,"Risk Register"))</f>
        <v/>
      </c>
      <c r="M151" s="54">
        <f>INDIRECT(ADDRESS(ROW()-22,COLUMN()+13,1,1,"Risk Register"))</f>
        <v/>
      </c>
      <c r="N151" s="143">
        <f>INDIRECT(ADDRESS(ROW()-22,COLUMN()-9,1,1,"Risk Register"))</f>
        <v/>
      </c>
      <c r="O151" s="143">
        <f>INDIRECT(ADDRESS(ROW()-22,COLUMN()-8,1,1,"Risk Register"))</f>
        <v/>
      </c>
      <c r="P151" s="56">
        <f>INDIRECT(ADDRESS(ROW()-22,COLUMN()+18,1,1,"Risk Register"))</f>
        <v/>
      </c>
      <c r="R151" s="57">
        <f>INDIRECT(ADDRESS(ROW()-22,COLUMN()-5,1,1,"Risk Register"))</f>
        <v/>
      </c>
      <c r="S151" s="58">
        <f>INDIRECT(ADDRESS(ROW()-22,COLUMN()-4,1,1,"Risk Register"))</f>
        <v/>
      </c>
      <c r="T151" s="59">
        <f>IF(AND($H151="threat",$G151&lt;=0.05),"gn",IF(AND($H151="threat",$G151&lt;=0.14),"y",IF(AND($H151="threat", $G151&gt;=0.15),"r",IF(AND($H151="opportunity",$G151&lt;=0.05),"gn",IF(AND($H151="opportunity",$G151&lt;=0.14),"lb",IF(AND($H151="opportunity",$G151&gt;=0.15),"db","z"))))))</f>
        <v/>
      </c>
      <c r="U151" s="58">
        <f>IF(AND($H151="threat",$S151=0.9,$R151=0.05),$D151 &amp; ";","")</f>
        <v/>
      </c>
      <c r="V151" s="58">
        <f>IF(AND($H151="threat",$S151=0.9,$R151=0.1),$D151 &amp; ";","")</f>
        <v/>
      </c>
      <c r="W151" s="58">
        <f>IF(AND($H151="threat",$S151=0.9,$R151=0.2),$D151 &amp; ";","")</f>
        <v/>
      </c>
      <c r="X151" s="58">
        <f>IF(AND($H151="threat",$S151=0.9,$R151=0.4),$D151 &amp; ";","")</f>
        <v/>
      </c>
      <c r="Y151" s="58">
        <f>IF(AND($H151="threat",$S151=0.9,$R151=0.8),$D151 &amp; ";","")</f>
        <v/>
      </c>
      <c r="Z151" s="58">
        <f>IF(AND($H151="threat",$S151=0.7,$R151=0.05),$D151 &amp; ";","")</f>
        <v/>
      </c>
      <c r="AA151" s="58">
        <f>IF(AND($H151="threat",$S151=0.7,$R151=0.1),$D151 &amp; ";","")</f>
        <v/>
      </c>
      <c r="AB151" s="58">
        <f>IF(AND($H151="threat",$S151=0.7,$R151=0.2),$D151 &amp; ";","")</f>
        <v/>
      </c>
      <c r="AC151" s="58">
        <f>IF(AND($H151="threat",$S151=0.7,$R151=0.4),$D151 &amp; ";","")</f>
        <v/>
      </c>
      <c r="AD151" s="58">
        <f>IF(AND($H151="threat",$S151=0.7,$R151=0.8),$D151 &amp; ";","")</f>
        <v/>
      </c>
      <c r="AE151" s="58">
        <f>IF(AND($H151="threat",$S151=0.5,$R151=0.05),$D151 &amp; ";","")</f>
        <v/>
      </c>
      <c r="AF151" s="58">
        <f>IF(AND($H151="threat",$S151=0.5,$R151=0.1),$D151 &amp; ";","")</f>
        <v/>
      </c>
      <c r="AG151" s="58">
        <f>IF(AND($H151="threat",$S151=0.5,$R151=0.2),$D151 &amp; ";","")</f>
        <v/>
      </c>
      <c r="AH151" s="58">
        <f>IF(AND($H151="threat",$S151=0.5,$R151=0.4),$D151 &amp; ";","")</f>
        <v/>
      </c>
      <c r="AI151" s="58">
        <f>IF(AND($H151="threat",$S151=0.5,$R151=0.8),$D151 &amp; ";","")</f>
        <v/>
      </c>
      <c r="AJ151" s="58">
        <f>IF(AND($H151="threat",$S151=0.3,$R151=0.05),$D151 &amp; ";","")</f>
        <v/>
      </c>
      <c r="AK151" s="58">
        <f>IF(AND($H151="threat",$S151=0.3,$R151=0.1),$D151 &amp; ";","")</f>
        <v/>
      </c>
      <c r="AL151" s="58">
        <f>IF(AND($H151="threat",$S151=0.3,$R151=0.2),$D151 &amp; ";","")</f>
        <v/>
      </c>
      <c r="AM151" s="58">
        <f>IF(AND($H151="threat",$S151=0.3,$R151=0.4),$D151 &amp; ";","")</f>
        <v/>
      </c>
      <c r="AN151" s="58">
        <f>IF(AND($H151="threat",$S151=0.3,$R151=0.8),$D151 &amp; ";","")</f>
        <v/>
      </c>
      <c r="AO151" s="58">
        <f>IF(AND($H151="threat",$S151=0.1,$R151=0.05),$D151 &amp; ";","")</f>
        <v/>
      </c>
      <c r="AP151" s="58">
        <f>IF(AND($H151="threat",$S151=0.1,$R151=0.1),$D151 &amp; ";","")</f>
        <v/>
      </c>
      <c r="AQ151" s="58">
        <f>IF(AND($H151="threat",$S151=0.1,$R151=0.2),$D151 &amp; ";","")</f>
        <v/>
      </c>
      <c r="AR151" s="58">
        <f>IF(AND($H151="threat",$S151=0.1,$R151=0.4),$D151 &amp; ";","")</f>
        <v/>
      </c>
      <c r="AS151" s="58">
        <f>IF(AND($H151="threat",$S151=0.1,$R151=0.8),$D151 &amp; ";","")</f>
        <v/>
      </c>
      <c r="AT151" s="39" t="n"/>
      <c r="AU151" s="58">
        <f>IF(AND($H151="opportunity",$S151=0.9,$R151=0.8),$D151 &amp; ";","")</f>
        <v/>
      </c>
      <c r="AV151" s="58">
        <f>IF(AND($H151="opportunity",$S151=0.9,$R151=0.4),$D151 &amp; ";","")</f>
        <v/>
      </c>
      <c r="AW151" s="58">
        <f>IF(AND($H151="opportunity",$S151=0.9,$R151=0.2),$D151 &amp; ";","")</f>
        <v/>
      </c>
      <c r="AX151" s="58">
        <f>IF(AND($H151="opportunity",$S151=0.9,$R151=0.1),$D151 &amp; ";","")</f>
        <v/>
      </c>
      <c r="AY151" s="58">
        <f>IF(AND($H151="opportunity",$S151=0.9,$R151=0.05),$D151 &amp; ";","")</f>
        <v/>
      </c>
      <c r="AZ151" s="58">
        <f>IF(AND($H151="opportunity",$S151=0.7,$R151=0.8),$D151 &amp; ";","")</f>
        <v/>
      </c>
      <c r="BA151" s="58">
        <f>IF(AND($H151="opportunity",$S151=0.7,$R151=0.4),$D151 &amp; ";","")</f>
        <v/>
      </c>
      <c r="BB151" s="58">
        <f>IF(AND($H151="opportunity",$S151=0.7,$R151=0.2),$D151 &amp; ";","")</f>
        <v/>
      </c>
      <c r="BC151" s="58">
        <f>IF(AND($H151="opportunity",$S151=0.7,$R151=0.1),$D151 &amp; ";","")</f>
        <v/>
      </c>
      <c r="BD151" s="58">
        <f>IF(AND($H151="opportunity",$S151=0.7,$R151=0.05),$D151 &amp; ";","")</f>
        <v/>
      </c>
      <c r="BE151" s="58">
        <f>IF(AND($H151="opportunity",$S151=0.5,$R151=0.8),$D151 &amp; ";","")</f>
        <v/>
      </c>
      <c r="BF151" s="58">
        <f>IF(AND($H151="opportunity",$S151=0.5,$R151=0.4),$D151 &amp; ";","")</f>
        <v/>
      </c>
      <c r="BG151" s="58">
        <f>IF(AND($H151="opportunity",$S151=0.5,$R151=0.2),$D151 &amp; ";","")</f>
        <v/>
      </c>
      <c r="BH151" s="58">
        <f>IF(AND($H151="opportunity",$S151=0.5,$R151=0.1),$D151 &amp; ";","")</f>
        <v/>
      </c>
      <c r="BI151" s="58">
        <f>IF(AND($H151="opportunity",$S151=0.5,$R151=0.05),$D151 &amp; ";","")</f>
        <v/>
      </c>
      <c r="BJ151" s="58">
        <f>IF(AND($H151="opportunity",$S151=0.3,$R151=0.8),$D151 &amp; ";","")</f>
        <v/>
      </c>
      <c r="BK151" s="58">
        <f>IF(AND($H151="opportunity",$S151=0.3,$R151=0.4),$D151 &amp; ";","")</f>
        <v/>
      </c>
      <c r="BL151" s="58">
        <f>IF(AND($H151="opportunity",$S151=0.3,$R151=0.2),$D151 &amp; ";","")</f>
        <v/>
      </c>
      <c r="BM151" s="58">
        <f>IF(AND($H151="opportunity",$S151=0.3,$R151=0.1),$D151 &amp; ";","")</f>
        <v/>
      </c>
      <c r="BN151" s="58">
        <f>IF(AND($H151="opportunity",$S151=0.3,$R151=0.05),$D151 &amp; ";","")</f>
        <v/>
      </c>
      <c r="BO151" s="58">
        <f>IF(AND($H151="opportunity",$S151=0.1,$R151=0.8),$D151 &amp; ";","")</f>
        <v/>
      </c>
      <c r="BP151" s="58">
        <f>IF(AND($H151="opportunity",$S151=0.1,$R151=0.4),$D151 &amp; ";","")</f>
        <v/>
      </c>
      <c r="BQ151" s="58">
        <f>IF(AND($H151="opportunity",$S151=0.1,$R151=0.2),$D151 &amp; ";","")</f>
        <v/>
      </c>
      <c r="BR151" s="58">
        <f>IF(AND($H151="opportunity",$S151=0.1,$R151=0.1),$D151 &amp; ";","")</f>
        <v/>
      </c>
      <c r="BS151" s="58">
        <f>IF(AND($H151="opportunity",$S151=0.1,$R151=0.05),$D151 &amp; ";","")</f>
        <v/>
      </c>
      <c r="BV151" s="57">
        <f>INDIRECT(ADDRESS(ROW()-22,COLUMN()-45,1,1,"Risk Register"))</f>
        <v/>
      </c>
      <c r="BW151" s="58">
        <f>INDIRECT(ADDRESS(ROW()-22,COLUMN()-44,1,1,"Risk Register"))</f>
        <v/>
      </c>
      <c r="BX151" s="59">
        <f>IF(AND($H151="threat",$P151&lt;=0.05),"gn",IF(AND($H151="threat",$P151&lt;=0.14),"y",IF(AND($H151="threat", $P151&gt;=0.15),"r",IF(AND($H151="opportunity",$P151&lt;=0.05),"gn",IF(AND($H151="opportunity",$P151&lt;=0.14),"lb",IF(AND($H151="opportunity",$P151&gt;=0.15),"db","z"))))))</f>
        <v/>
      </c>
      <c r="BY151" s="58">
        <f>IF(AND($H151="threat",$BW151=0.9,$BV151=0.05),$D151 &amp; ";","")</f>
        <v/>
      </c>
      <c r="BZ151" s="58">
        <f>IF(AND($H151="threat",$BW151=0.9,$BV151=0.1),$D151 &amp; ";","")</f>
        <v/>
      </c>
      <c r="CA151" s="58">
        <f>IF(AND($H151="threat",$BW151=0.9,$BV151=0.2),$D151 &amp; ";","")</f>
        <v/>
      </c>
      <c r="CB151" s="58">
        <f>IF(AND($H151="threat",$BW151=0.9,$BV151=0.4),$D151 &amp; ";","")</f>
        <v/>
      </c>
      <c r="CC151" s="58">
        <f>IF(AND($H151="threat",$BW151=0.9,$BV151=0.8),$D151 &amp; ";","")</f>
        <v/>
      </c>
      <c r="CD151" s="58">
        <f>IF(AND($H151="threat",$BW151=0.7,$BV151=0.05),$D151 &amp; ";","")</f>
        <v/>
      </c>
      <c r="CE151" s="58">
        <f>IF(AND($H151="threat",$BW151=0.7,$BV151=0.1),$D151 &amp; ";","")</f>
        <v/>
      </c>
      <c r="CF151" s="58">
        <f>IF(AND($H151="threat",$BW151=0.7,$BV151=0.2),$D151 &amp; ";","")</f>
        <v/>
      </c>
      <c r="CG151" s="58">
        <f>IF(AND($H151="threat",$BW151=0.7,$BV151=0.4),$D151 &amp; ";","")</f>
        <v/>
      </c>
      <c r="CH151" s="58">
        <f>IF(AND($H151="threat",$BW151=0.7,$BV151=0.8),$D151 &amp; ";","")</f>
        <v/>
      </c>
      <c r="CI151" s="58">
        <f>IF(AND($H151="threat",$BW151=0.5,$BV151=0.05),$D151 &amp; ";","")</f>
        <v/>
      </c>
      <c r="CJ151" s="58">
        <f>IF(AND($H151="threat",$BW151=0.5,$BV151=0.1),$D151 &amp; ";","")</f>
        <v/>
      </c>
      <c r="CK151" s="58">
        <f>IF(AND($H151="threat",$BW151=0.5,$BV151=0.2),$D151 &amp; ";","")</f>
        <v/>
      </c>
      <c r="CL151" s="58">
        <f>IF(AND($H151="threat",$BW151=0.5,$BV151=0.4),$D151 &amp; ";","")</f>
        <v/>
      </c>
      <c r="CM151" s="58">
        <f>IF(AND($H151="threat",$BW151=0.5,$BV151=0.8),$D151 &amp; ";","")</f>
        <v/>
      </c>
      <c r="CN151" s="58">
        <f>IF(AND($H151="threat",$BW151=0.3,$BV151=0.05),$D151 &amp; ";","")</f>
        <v/>
      </c>
      <c r="CO151" s="58">
        <f>IF(AND($H151="threat",$BW151=0.3,$BV151=0.1),$D151 &amp; ";","")</f>
        <v/>
      </c>
      <c r="CP151" s="58">
        <f>IF(AND($H151="threat",$BW151=0.3,$BV151=0.2),$D151 &amp; ";","")</f>
        <v/>
      </c>
      <c r="CQ151" s="58">
        <f>IF(AND($H151="threat",$BW151=0.3,$BV151=0.4),$D151 &amp; ";","")</f>
        <v/>
      </c>
      <c r="CR151" s="58">
        <f>IF(AND($H151="threat",$BW151=0.3,$BV151=0.8),$D151 &amp; ";","")</f>
        <v/>
      </c>
      <c r="CS151" s="58">
        <f>IF(AND($H151="threat",$BW151=0.1,$BV151=0.05),$D151 &amp; ";","")</f>
        <v/>
      </c>
      <c r="CT151" s="58">
        <f>IF(AND($H151="threat",$BW151=0.1,$BV151=0.1),$D151 &amp; ";","")</f>
        <v/>
      </c>
      <c r="CU151" s="58">
        <f>IF(AND($H151="threat",$BW151=0.1,$BV151=0.2),$D151 &amp; ";","")</f>
        <v/>
      </c>
      <c r="CV151" s="58">
        <f>IF(AND($H151="threat",$BW151=0.1,$BV151=0.4),$D151 &amp; ";","")</f>
        <v/>
      </c>
      <c r="CW151" s="58">
        <f>IF(AND($H151="threat",$BW151=0.1,$BV151=0.8),$D151 &amp; ";","")</f>
        <v/>
      </c>
      <c r="CX151" s="39" t="n"/>
      <c r="CY151" s="58">
        <f>IF(AND($H151="opportunity",$BW151=0.9,$BV151=0.8),$D151 &amp; ";","")</f>
        <v/>
      </c>
      <c r="CZ151" s="58">
        <f>IF(AND($H151="opportunity",$BW151=0.9,$BV151=0.4),$D151 &amp; ";","")</f>
        <v/>
      </c>
      <c r="DA151" s="58">
        <f>IF(AND($H151="opportunity",$BW151=0.9,$BV151=0.2),$D151 &amp; ";","")</f>
        <v/>
      </c>
      <c r="DB151" s="58">
        <f>IF(AND($H151="opportunity",$BW151=0.9,$BV151=0.1),$D151 &amp; ";","")</f>
        <v/>
      </c>
      <c r="DC151" s="58">
        <f>IF(AND($H151="opportunity",$BW151=0.9,$BV151=0.05),$D151 &amp; ";","")</f>
        <v/>
      </c>
      <c r="DD151" s="58">
        <f>IF(AND($H151="opportunity",$BW151=0.7,$BV151=0.8),$D151 &amp; ";","")</f>
        <v/>
      </c>
      <c r="DE151" s="58">
        <f>IF(AND($H151="opportunity",$BW151=0.7,$BV151=0.4),$D151 &amp; ";","")</f>
        <v/>
      </c>
      <c r="DF151" s="58">
        <f>IF(AND($H151="opportunity",$BW151=0.7,$BV151=0.2),$D151 &amp; ";","")</f>
        <v/>
      </c>
      <c r="DG151" s="58">
        <f>IF(AND($H151="opportunity",$BW151=0.7,$BV151=0.1),$D151 &amp; ";","")</f>
        <v/>
      </c>
      <c r="DH151" s="58">
        <f>IF(AND($H151="opportunity",$BW151=0.7,$BV151=0.05),$D151 &amp; ";","")</f>
        <v/>
      </c>
      <c r="DI151" s="58">
        <f>IF(AND($H151="opportunity",$BW151=0.5,$BV151=0.8),$D151 &amp; ";","")</f>
        <v/>
      </c>
      <c r="DJ151" s="58">
        <f>IF(AND($H151="opportunity",$BW151=0.5,$BV151=0.4),$D151 &amp; ";","")</f>
        <v/>
      </c>
      <c r="DK151" s="58">
        <f>IF(AND($H151="opportunity",$BW151=0.5,$BV151=0.2),$D151 &amp; ";","")</f>
        <v/>
      </c>
      <c r="DL151" s="58">
        <f>IF(AND($H151="opportunity",$BW151=0.5,$BV151=0.1),$D151 &amp; ";","")</f>
        <v/>
      </c>
      <c r="DM151" s="58">
        <f>IF(AND($H151="opportunity",$BW151=0.5,$BV151=0.05),$D151 &amp; ";","")</f>
        <v/>
      </c>
      <c r="DN151" s="58">
        <f>IF(AND($H151="opportunity",$BW151=0.3,$BV151=0.8),$D151 &amp; ";","")</f>
        <v/>
      </c>
      <c r="DO151" s="58">
        <f>IF(AND($H151="opportunity",$BW151=0.3,$BV151=0.4),$D151 &amp; ";","")</f>
        <v/>
      </c>
      <c r="DP151" s="58">
        <f>IF(AND($H151="opportunity",$BW151=0.3,$BV151=0.2),$D151 &amp; ";","")</f>
        <v/>
      </c>
      <c r="DQ151" s="58">
        <f>IF(AND($H151="opportunity",$BW151=0.3,$BV151=0.1),$D151 &amp; ";","")</f>
        <v/>
      </c>
      <c r="DR151" s="58">
        <f>IF(AND($H151="opportunity",$BW151=0.3,$BV151=0.05),$D151 &amp; ";","")</f>
        <v/>
      </c>
      <c r="DS151" s="58">
        <f>IF(AND($H151="opportunity",$BW151=0.1,$BV151=0.8),$D151 &amp; ";","")</f>
        <v/>
      </c>
      <c r="DT151" s="58">
        <f>IF(AND($H151="opportunity",$BW151=0.1,$BV151=0.4),$D151 &amp; ";","")</f>
        <v/>
      </c>
      <c r="DU151" s="58">
        <f>IF(AND($H151="opportunity",$BW151=0.1,$BV151=0.2),$D151 &amp; ";","")</f>
        <v/>
      </c>
      <c r="DV151" s="58">
        <f>IF(AND($H151="opportunity",$BW151=0.1,$BV151=0.1),$D151 &amp; ";","")</f>
        <v/>
      </c>
      <c r="DW151" s="58">
        <f>IF(AND($H151="opportunity",$BW151=0.1,$BV151=0.05),$D151 &amp; ";","")</f>
        <v/>
      </c>
    </row>
    <row r="152" ht="12.75" customHeight="1">
      <c r="D152" s="60">
        <f>INDIRECT(ADDRESS(ROW()-22,COLUMN()-2,1,1,"Risk Register"))</f>
        <v/>
      </c>
      <c r="E152" s="143">
        <f>INDIRECT(ADDRESS(ROW()-22,COLUMN()-1,1,1,"Risk Register"))</f>
        <v/>
      </c>
      <c r="G152" s="56">
        <f>INDIRECT(ADDRESS(ROW()-22,COLUMN()+10,1,1,"Risk Register"))</f>
        <v/>
      </c>
      <c r="H152" s="60">
        <f>INDIRECT(ADDRESS(ROW()-22,COLUMN()+8,1,1,"Risk Register"))</f>
        <v/>
      </c>
      <c r="I152" s="54">
        <f>INDIRECT(ADDRESS(ROW()-22,COLUMN()+3,1,1,"Risk Register"))</f>
        <v/>
      </c>
      <c r="J152" s="143">
        <f>INDIRECT(ADDRESS(ROW()-22,COLUMN()+12,1,1,"Risk Register"))</f>
        <v/>
      </c>
      <c r="K152" s="143">
        <f>INDIRECT(ADDRESS(ROW()-22,COLUMN()-2,1,1,"Risk Register"))</f>
        <v/>
      </c>
      <c r="L152" s="176">
        <f>INDIRECT(ADDRESS(ROW()-22,COLUMN()+15,1,1,"Risk Register"))</f>
        <v/>
      </c>
      <c r="M152" s="54">
        <f>INDIRECT(ADDRESS(ROW()-22,COLUMN()+13,1,1,"Risk Register"))</f>
        <v/>
      </c>
      <c r="N152" s="143">
        <f>INDIRECT(ADDRESS(ROW()-22,COLUMN()-9,1,1,"Risk Register"))</f>
        <v/>
      </c>
      <c r="O152" s="143">
        <f>INDIRECT(ADDRESS(ROW()-22,COLUMN()-8,1,1,"Risk Register"))</f>
        <v/>
      </c>
      <c r="P152" s="56">
        <f>INDIRECT(ADDRESS(ROW()-22,COLUMN()+18,1,1,"Risk Register"))</f>
        <v/>
      </c>
      <c r="R152" s="57">
        <f>INDIRECT(ADDRESS(ROW()-22,COLUMN()-5,1,1,"Risk Register"))</f>
        <v/>
      </c>
      <c r="S152" s="58">
        <f>INDIRECT(ADDRESS(ROW()-22,COLUMN()-4,1,1,"Risk Register"))</f>
        <v/>
      </c>
      <c r="T152" s="59">
        <f>IF(AND($H152="threat",$G152&lt;=0.05),"gn",IF(AND($H152="threat",$G152&lt;=0.14),"y",IF(AND($H152="threat", $G152&gt;=0.15),"r",IF(AND($H152="opportunity",$G152&lt;=0.05),"gn",IF(AND($H152="opportunity",$G152&lt;=0.14),"lb",IF(AND($H152="opportunity",$G152&gt;=0.15),"db","z"))))))</f>
        <v/>
      </c>
      <c r="U152" s="58">
        <f>IF(AND($H152="threat",$S152=0.9,$R152=0.05),$D152 &amp; ";","")</f>
        <v/>
      </c>
      <c r="V152" s="58">
        <f>IF(AND($H152="threat",$S152=0.9,$R152=0.1),$D152 &amp; ";","")</f>
        <v/>
      </c>
      <c r="W152" s="58">
        <f>IF(AND($H152="threat",$S152=0.9,$R152=0.2),$D152 &amp; ";","")</f>
        <v/>
      </c>
      <c r="X152" s="58">
        <f>IF(AND($H152="threat",$S152=0.9,$R152=0.4),$D152 &amp; ";","")</f>
        <v/>
      </c>
      <c r="Y152" s="58">
        <f>IF(AND($H152="threat",$S152=0.9,$R152=0.8),$D152 &amp; ";","")</f>
        <v/>
      </c>
      <c r="Z152" s="58">
        <f>IF(AND($H152="threat",$S152=0.7,$R152=0.05),$D152 &amp; ";","")</f>
        <v/>
      </c>
      <c r="AA152" s="58">
        <f>IF(AND($H152="threat",$S152=0.7,$R152=0.1),$D152 &amp; ";","")</f>
        <v/>
      </c>
      <c r="AB152" s="58">
        <f>IF(AND($H152="threat",$S152=0.7,$R152=0.2),$D152 &amp; ";","")</f>
        <v/>
      </c>
      <c r="AC152" s="58">
        <f>IF(AND($H152="threat",$S152=0.7,$R152=0.4),$D152 &amp; ";","")</f>
        <v/>
      </c>
      <c r="AD152" s="58">
        <f>IF(AND($H152="threat",$S152=0.7,$R152=0.8),$D152 &amp; ";","")</f>
        <v/>
      </c>
      <c r="AE152" s="58">
        <f>IF(AND($H152="threat",$S152=0.5,$R152=0.05),$D152 &amp; ";","")</f>
        <v/>
      </c>
      <c r="AF152" s="58">
        <f>IF(AND($H152="threat",$S152=0.5,$R152=0.1),$D152 &amp; ";","")</f>
        <v/>
      </c>
      <c r="AG152" s="58">
        <f>IF(AND($H152="threat",$S152=0.5,$R152=0.2),$D152 &amp; ";","")</f>
        <v/>
      </c>
      <c r="AH152" s="58">
        <f>IF(AND($H152="threat",$S152=0.5,$R152=0.4),$D152 &amp; ";","")</f>
        <v/>
      </c>
      <c r="AI152" s="58">
        <f>IF(AND($H152="threat",$S152=0.5,$R152=0.8),$D152 &amp; ";","")</f>
        <v/>
      </c>
      <c r="AJ152" s="58">
        <f>IF(AND($H152="threat",$S152=0.3,$R152=0.05),$D152 &amp; ";","")</f>
        <v/>
      </c>
      <c r="AK152" s="58">
        <f>IF(AND($H152="threat",$S152=0.3,$R152=0.1),$D152 &amp; ";","")</f>
        <v/>
      </c>
      <c r="AL152" s="58">
        <f>IF(AND($H152="threat",$S152=0.3,$R152=0.2),$D152 &amp; ";","")</f>
        <v/>
      </c>
      <c r="AM152" s="58">
        <f>IF(AND($H152="threat",$S152=0.3,$R152=0.4),$D152 &amp; ";","")</f>
        <v/>
      </c>
      <c r="AN152" s="58">
        <f>IF(AND($H152="threat",$S152=0.3,$R152=0.8),$D152 &amp; ";","")</f>
        <v/>
      </c>
      <c r="AO152" s="58">
        <f>IF(AND($H152="threat",$S152=0.1,$R152=0.05),$D152 &amp; ";","")</f>
        <v/>
      </c>
      <c r="AP152" s="58">
        <f>IF(AND($H152="threat",$S152=0.1,$R152=0.1),$D152 &amp; ";","")</f>
        <v/>
      </c>
      <c r="AQ152" s="58">
        <f>IF(AND($H152="threat",$S152=0.1,$R152=0.2),$D152 &amp; ";","")</f>
        <v/>
      </c>
      <c r="AR152" s="58">
        <f>IF(AND($H152="threat",$S152=0.1,$R152=0.4),$D152 &amp; ";","")</f>
        <v/>
      </c>
      <c r="AS152" s="58">
        <f>IF(AND($H152="threat",$S152=0.1,$R152=0.8),$D152 &amp; ";","")</f>
        <v/>
      </c>
      <c r="AT152" s="39" t="n"/>
      <c r="AU152" s="58">
        <f>IF(AND($H152="opportunity",$S152=0.9,$R152=0.8),$D152 &amp; ";","")</f>
        <v/>
      </c>
      <c r="AV152" s="58">
        <f>IF(AND($H152="opportunity",$S152=0.9,$R152=0.4),$D152 &amp; ";","")</f>
        <v/>
      </c>
      <c r="AW152" s="58">
        <f>IF(AND($H152="opportunity",$S152=0.9,$R152=0.2),$D152 &amp; ";","")</f>
        <v/>
      </c>
      <c r="AX152" s="58">
        <f>IF(AND($H152="opportunity",$S152=0.9,$R152=0.1),$D152 &amp; ";","")</f>
        <v/>
      </c>
      <c r="AY152" s="58">
        <f>IF(AND($H152="opportunity",$S152=0.9,$R152=0.05),$D152 &amp; ";","")</f>
        <v/>
      </c>
      <c r="AZ152" s="58">
        <f>IF(AND($H152="opportunity",$S152=0.7,$R152=0.8),$D152 &amp; ";","")</f>
        <v/>
      </c>
      <c r="BA152" s="58">
        <f>IF(AND($H152="opportunity",$S152=0.7,$R152=0.4),$D152 &amp; ";","")</f>
        <v/>
      </c>
      <c r="BB152" s="58">
        <f>IF(AND($H152="opportunity",$S152=0.7,$R152=0.2),$D152 &amp; ";","")</f>
        <v/>
      </c>
      <c r="BC152" s="58">
        <f>IF(AND($H152="opportunity",$S152=0.7,$R152=0.1),$D152 &amp; ";","")</f>
        <v/>
      </c>
      <c r="BD152" s="58">
        <f>IF(AND($H152="opportunity",$S152=0.7,$R152=0.05),$D152 &amp; ";","")</f>
        <v/>
      </c>
      <c r="BE152" s="58">
        <f>IF(AND($H152="opportunity",$S152=0.5,$R152=0.8),$D152 &amp; ";","")</f>
        <v/>
      </c>
      <c r="BF152" s="58">
        <f>IF(AND($H152="opportunity",$S152=0.5,$R152=0.4),$D152 &amp; ";","")</f>
        <v/>
      </c>
      <c r="BG152" s="58">
        <f>IF(AND($H152="opportunity",$S152=0.5,$R152=0.2),$D152 &amp; ";","")</f>
        <v/>
      </c>
      <c r="BH152" s="58">
        <f>IF(AND($H152="opportunity",$S152=0.5,$R152=0.1),$D152 &amp; ";","")</f>
        <v/>
      </c>
      <c r="BI152" s="58">
        <f>IF(AND($H152="opportunity",$S152=0.5,$R152=0.05),$D152 &amp; ";","")</f>
        <v/>
      </c>
      <c r="BJ152" s="58">
        <f>IF(AND($H152="opportunity",$S152=0.3,$R152=0.8),$D152 &amp; ";","")</f>
        <v/>
      </c>
      <c r="BK152" s="58">
        <f>IF(AND($H152="opportunity",$S152=0.3,$R152=0.4),$D152 &amp; ";","")</f>
        <v/>
      </c>
      <c r="BL152" s="58">
        <f>IF(AND($H152="opportunity",$S152=0.3,$R152=0.2),$D152 &amp; ";","")</f>
        <v/>
      </c>
      <c r="BM152" s="58">
        <f>IF(AND($H152="opportunity",$S152=0.3,$R152=0.1),$D152 &amp; ";","")</f>
        <v/>
      </c>
      <c r="BN152" s="58">
        <f>IF(AND($H152="opportunity",$S152=0.3,$R152=0.05),$D152 &amp; ";","")</f>
        <v/>
      </c>
      <c r="BO152" s="58">
        <f>IF(AND($H152="opportunity",$S152=0.1,$R152=0.8),$D152 &amp; ";","")</f>
        <v/>
      </c>
      <c r="BP152" s="58">
        <f>IF(AND($H152="opportunity",$S152=0.1,$R152=0.4),$D152 &amp; ";","")</f>
        <v/>
      </c>
      <c r="BQ152" s="58">
        <f>IF(AND($H152="opportunity",$S152=0.1,$R152=0.2),$D152 &amp; ";","")</f>
        <v/>
      </c>
      <c r="BR152" s="58">
        <f>IF(AND($H152="opportunity",$S152=0.1,$R152=0.1),$D152 &amp; ";","")</f>
        <v/>
      </c>
      <c r="BS152" s="58">
        <f>IF(AND($H152="opportunity",$S152=0.1,$R152=0.05),$D152 &amp; ";","")</f>
        <v/>
      </c>
      <c r="BV152" s="57">
        <f>INDIRECT(ADDRESS(ROW()-22,COLUMN()-45,1,1,"Risk Register"))</f>
        <v/>
      </c>
      <c r="BW152" s="58">
        <f>INDIRECT(ADDRESS(ROW()-22,COLUMN()-44,1,1,"Risk Register"))</f>
        <v/>
      </c>
      <c r="BX152" s="59">
        <f>IF(AND($H152="threat",$P152&lt;=0.05),"gn",IF(AND($H152="threat",$P152&lt;=0.14),"y",IF(AND($H152="threat", $P152&gt;=0.15),"r",IF(AND($H152="opportunity",$P152&lt;=0.05),"gn",IF(AND($H152="opportunity",$P152&lt;=0.14),"lb",IF(AND($H152="opportunity",$P152&gt;=0.15),"db","z"))))))</f>
        <v/>
      </c>
      <c r="BY152" s="58">
        <f>IF(AND($H152="threat",$BW152=0.9,$BV152=0.05),$D152 &amp; ";","")</f>
        <v/>
      </c>
      <c r="BZ152" s="58">
        <f>IF(AND($H152="threat",$BW152=0.9,$BV152=0.1),$D152 &amp; ";","")</f>
        <v/>
      </c>
      <c r="CA152" s="58">
        <f>IF(AND($H152="threat",$BW152=0.9,$BV152=0.2),$D152 &amp; ";","")</f>
        <v/>
      </c>
      <c r="CB152" s="58">
        <f>IF(AND($H152="threat",$BW152=0.9,$BV152=0.4),$D152 &amp; ";","")</f>
        <v/>
      </c>
      <c r="CC152" s="58">
        <f>IF(AND($H152="threat",$BW152=0.9,$BV152=0.8),$D152 &amp; ";","")</f>
        <v/>
      </c>
      <c r="CD152" s="58">
        <f>IF(AND($H152="threat",$BW152=0.7,$BV152=0.05),$D152 &amp; ";","")</f>
        <v/>
      </c>
      <c r="CE152" s="58">
        <f>IF(AND($H152="threat",$BW152=0.7,$BV152=0.1),$D152 &amp; ";","")</f>
        <v/>
      </c>
      <c r="CF152" s="58">
        <f>IF(AND($H152="threat",$BW152=0.7,$BV152=0.2),$D152 &amp; ";","")</f>
        <v/>
      </c>
      <c r="CG152" s="58">
        <f>IF(AND($H152="threat",$BW152=0.7,$BV152=0.4),$D152 &amp; ";","")</f>
        <v/>
      </c>
      <c r="CH152" s="58">
        <f>IF(AND($H152="threat",$BW152=0.7,$BV152=0.8),$D152 &amp; ";","")</f>
        <v/>
      </c>
      <c r="CI152" s="58">
        <f>IF(AND($H152="threat",$BW152=0.5,$BV152=0.05),$D152 &amp; ";","")</f>
        <v/>
      </c>
      <c r="CJ152" s="58">
        <f>IF(AND($H152="threat",$BW152=0.5,$BV152=0.1),$D152 &amp; ";","")</f>
        <v/>
      </c>
      <c r="CK152" s="58">
        <f>IF(AND($H152="threat",$BW152=0.5,$BV152=0.2),$D152 &amp; ";","")</f>
        <v/>
      </c>
      <c r="CL152" s="58">
        <f>IF(AND($H152="threat",$BW152=0.5,$BV152=0.4),$D152 &amp; ";","")</f>
        <v/>
      </c>
      <c r="CM152" s="58">
        <f>IF(AND($H152="threat",$BW152=0.5,$BV152=0.8),$D152 &amp; ";","")</f>
        <v/>
      </c>
      <c r="CN152" s="58">
        <f>IF(AND($H152="threat",$BW152=0.3,$BV152=0.05),$D152 &amp; ";","")</f>
        <v/>
      </c>
      <c r="CO152" s="58">
        <f>IF(AND($H152="threat",$BW152=0.3,$BV152=0.1),$D152 &amp; ";","")</f>
        <v/>
      </c>
      <c r="CP152" s="58">
        <f>IF(AND($H152="threat",$BW152=0.3,$BV152=0.2),$D152 &amp; ";","")</f>
        <v/>
      </c>
      <c r="CQ152" s="58">
        <f>IF(AND($H152="threat",$BW152=0.3,$BV152=0.4),$D152 &amp; ";","")</f>
        <v/>
      </c>
      <c r="CR152" s="58">
        <f>IF(AND($H152="threat",$BW152=0.3,$BV152=0.8),$D152 &amp; ";","")</f>
        <v/>
      </c>
      <c r="CS152" s="58">
        <f>IF(AND($H152="threat",$BW152=0.1,$BV152=0.05),$D152 &amp; ";","")</f>
        <v/>
      </c>
      <c r="CT152" s="58">
        <f>IF(AND($H152="threat",$BW152=0.1,$BV152=0.1),$D152 &amp; ";","")</f>
        <v/>
      </c>
      <c r="CU152" s="58">
        <f>IF(AND($H152="threat",$BW152=0.1,$BV152=0.2),$D152 &amp; ";","")</f>
        <v/>
      </c>
      <c r="CV152" s="58">
        <f>IF(AND($H152="threat",$BW152=0.1,$BV152=0.4),$D152 &amp; ";","")</f>
        <v/>
      </c>
      <c r="CW152" s="58">
        <f>IF(AND($H152="threat",$BW152=0.1,$BV152=0.8),$D152 &amp; ";","")</f>
        <v/>
      </c>
      <c r="CX152" s="39" t="n"/>
      <c r="CY152" s="58">
        <f>IF(AND($H152="opportunity",$BW152=0.9,$BV152=0.8),$D152 &amp; ";","")</f>
        <v/>
      </c>
      <c r="CZ152" s="58">
        <f>IF(AND($H152="opportunity",$BW152=0.9,$BV152=0.4),$D152 &amp; ";","")</f>
        <v/>
      </c>
      <c r="DA152" s="58">
        <f>IF(AND($H152="opportunity",$BW152=0.9,$BV152=0.2),$D152 &amp; ";","")</f>
        <v/>
      </c>
      <c r="DB152" s="58">
        <f>IF(AND($H152="opportunity",$BW152=0.9,$BV152=0.1),$D152 &amp; ";","")</f>
        <v/>
      </c>
      <c r="DC152" s="58">
        <f>IF(AND($H152="opportunity",$BW152=0.9,$BV152=0.05),$D152 &amp; ";","")</f>
        <v/>
      </c>
      <c r="DD152" s="58">
        <f>IF(AND($H152="opportunity",$BW152=0.7,$BV152=0.8),$D152 &amp; ";","")</f>
        <v/>
      </c>
      <c r="DE152" s="58">
        <f>IF(AND($H152="opportunity",$BW152=0.7,$BV152=0.4),$D152 &amp; ";","")</f>
        <v/>
      </c>
      <c r="DF152" s="58">
        <f>IF(AND($H152="opportunity",$BW152=0.7,$BV152=0.2),$D152 &amp; ";","")</f>
        <v/>
      </c>
      <c r="DG152" s="58">
        <f>IF(AND($H152="opportunity",$BW152=0.7,$BV152=0.1),$D152 &amp; ";","")</f>
        <v/>
      </c>
      <c r="DH152" s="58">
        <f>IF(AND($H152="opportunity",$BW152=0.7,$BV152=0.05),$D152 &amp; ";","")</f>
        <v/>
      </c>
      <c r="DI152" s="58">
        <f>IF(AND($H152="opportunity",$BW152=0.5,$BV152=0.8),$D152 &amp; ";","")</f>
        <v/>
      </c>
      <c r="DJ152" s="58">
        <f>IF(AND($H152="opportunity",$BW152=0.5,$BV152=0.4),$D152 &amp; ";","")</f>
        <v/>
      </c>
      <c r="DK152" s="58">
        <f>IF(AND($H152="opportunity",$BW152=0.5,$BV152=0.2),$D152 &amp; ";","")</f>
        <v/>
      </c>
      <c r="DL152" s="58">
        <f>IF(AND($H152="opportunity",$BW152=0.5,$BV152=0.1),$D152 &amp; ";","")</f>
        <v/>
      </c>
      <c r="DM152" s="58">
        <f>IF(AND($H152="opportunity",$BW152=0.5,$BV152=0.05),$D152 &amp; ";","")</f>
        <v/>
      </c>
      <c r="DN152" s="58">
        <f>IF(AND($H152="opportunity",$BW152=0.3,$BV152=0.8),$D152 &amp; ";","")</f>
        <v/>
      </c>
      <c r="DO152" s="58">
        <f>IF(AND($H152="opportunity",$BW152=0.3,$BV152=0.4),$D152 &amp; ";","")</f>
        <v/>
      </c>
      <c r="DP152" s="58">
        <f>IF(AND($H152="opportunity",$BW152=0.3,$BV152=0.2),$D152 &amp; ";","")</f>
        <v/>
      </c>
      <c r="DQ152" s="58">
        <f>IF(AND($H152="opportunity",$BW152=0.3,$BV152=0.1),$D152 &amp; ";","")</f>
        <v/>
      </c>
      <c r="DR152" s="58">
        <f>IF(AND($H152="opportunity",$BW152=0.3,$BV152=0.05),$D152 &amp; ";","")</f>
        <v/>
      </c>
      <c r="DS152" s="58">
        <f>IF(AND($H152="opportunity",$BW152=0.1,$BV152=0.8),$D152 &amp; ";","")</f>
        <v/>
      </c>
      <c r="DT152" s="58">
        <f>IF(AND($H152="opportunity",$BW152=0.1,$BV152=0.4),$D152 &amp; ";","")</f>
        <v/>
      </c>
      <c r="DU152" s="58">
        <f>IF(AND($H152="opportunity",$BW152=0.1,$BV152=0.2),$D152 &amp; ";","")</f>
        <v/>
      </c>
      <c r="DV152" s="58">
        <f>IF(AND($H152="opportunity",$BW152=0.1,$BV152=0.1),$D152 &amp; ";","")</f>
        <v/>
      </c>
      <c r="DW152" s="58">
        <f>IF(AND($H152="opportunity",$BW152=0.1,$BV152=0.05),$D152 &amp; ";","")</f>
        <v/>
      </c>
    </row>
    <row r="153" ht="12.75" customHeight="1">
      <c r="D153" s="60">
        <f>INDIRECT(ADDRESS(ROW()-22,COLUMN()-2,1,1,"Risk Register"))</f>
        <v/>
      </c>
      <c r="E153" s="143">
        <f>INDIRECT(ADDRESS(ROW()-22,COLUMN()-1,1,1,"Risk Register"))</f>
        <v/>
      </c>
      <c r="G153" s="56">
        <f>INDIRECT(ADDRESS(ROW()-22,COLUMN()+10,1,1,"Risk Register"))</f>
        <v/>
      </c>
      <c r="H153" s="60">
        <f>INDIRECT(ADDRESS(ROW()-22,COLUMN()+8,1,1,"Risk Register"))</f>
        <v/>
      </c>
      <c r="I153" s="54">
        <f>INDIRECT(ADDRESS(ROW()-22,COLUMN()+3,1,1,"Risk Register"))</f>
        <v/>
      </c>
      <c r="J153" s="143">
        <f>INDIRECT(ADDRESS(ROW()-22,COLUMN()+12,1,1,"Risk Register"))</f>
        <v/>
      </c>
      <c r="K153" s="143">
        <f>INDIRECT(ADDRESS(ROW()-22,COLUMN()-2,1,1,"Risk Register"))</f>
        <v/>
      </c>
      <c r="L153" s="176">
        <f>INDIRECT(ADDRESS(ROW()-22,COLUMN()+15,1,1,"Risk Register"))</f>
        <v/>
      </c>
      <c r="M153" s="54">
        <f>INDIRECT(ADDRESS(ROW()-22,COLUMN()+13,1,1,"Risk Register"))</f>
        <v/>
      </c>
      <c r="N153" s="143">
        <f>INDIRECT(ADDRESS(ROW()-22,COLUMN()-9,1,1,"Risk Register"))</f>
        <v/>
      </c>
      <c r="O153" s="143">
        <f>INDIRECT(ADDRESS(ROW()-22,COLUMN()-8,1,1,"Risk Register"))</f>
        <v/>
      </c>
      <c r="P153" s="56">
        <f>INDIRECT(ADDRESS(ROW()-22,COLUMN()+18,1,1,"Risk Register"))</f>
        <v/>
      </c>
      <c r="R153" s="57">
        <f>INDIRECT(ADDRESS(ROW()-22,COLUMN()-5,1,1,"Risk Register"))</f>
        <v/>
      </c>
      <c r="S153" s="58">
        <f>INDIRECT(ADDRESS(ROW()-22,COLUMN()-4,1,1,"Risk Register"))</f>
        <v/>
      </c>
      <c r="T153" s="59">
        <f>IF(AND($H153="threat",$G153&lt;=0.05),"gn",IF(AND($H153="threat",$G153&lt;=0.14),"y",IF(AND($H153="threat", $G153&gt;=0.15),"r",IF(AND($H153="opportunity",$G153&lt;=0.05),"gn",IF(AND($H153="opportunity",$G153&lt;=0.14),"lb",IF(AND($H153="opportunity",$G153&gt;=0.15),"db","z"))))))</f>
        <v/>
      </c>
      <c r="U153" s="58">
        <f>IF(AND($H153="threat",$S153=0.9,$R153=0.05),$D153 &amp; ";","")</f>
        <v/>
      </c>
      <c r="V153" s="58">
        <f>IF(AND($H153="threat",$S153=0.9,$R153=0.1),$D153 &amp; ";","")</f>
        <v/>
      </c>
      <c r="W153" s="58">
        <f>IF(AND($H153="threat",$S153=0.9,$R153=0.2),$D153 &amp; ";","")</f>
        <v/>
      </c>
      <c r="X153" s="58">
        <f>IF(AND($H153="threat",$S153=0.9,$R153=0.4),$D153 &amp; ";","")</f>
        <v/>
      </c>
      <c r="Y153" s="58">
        <f>IF(AND($H153="threat",$S153=0.9,$R153=0.8),$D153 &amp; ";","")</f>
        <v/>
      </c>
      <c r="Z153" s="58">
        <f>IF(AND($H153="threat",$S153=0.7,$R153=0.05),$D153 &amp; ";","")</f>
        <v/>
      </c>
      <c r="AA153" s="58">
        <f>IF(AND($H153="threat",$S153=0.7,$R153=0.1),$D153 &amp; ";","")</f>
        <v/>
      </c>
      <c r="AB153" s="58">
        <f>IF(AND($H153="threat",$S153=0.7,$R153=0.2),$D153 &amp; ";","")</f>
        <v/>
      </c>
      <c r="AC153" s="58">
        <f>IF(AND($H153="threat",$S153=0.7,$R153=0.4),$D153 &amp; ";","")</f>
        <v/>
      </c>
      <c r="AD153" s="58">
        <f>IF(AND($H153="threat",$S153=0.7,$R153=0.8),$D153 &amp; ";","")</f>
        <v/>
      </c>
      <c r="AE153" s="58">
        <f>IF(AND($H153="threat",$S153=0.5,$R153=0.05),$D153 &amp; ";","")</f>
        <v/>
      </c>
      <c r="AF153" s="58">
        <f>IF(AND($H153="threat",$S153=0.5,$R153=0.1),$D153 &amp; ";","")</f>
        <v/>
      </c>
      <c r="AG153" s="58">
        <f>IF(AND($H153="threat",$S153=0.5,$R153=0.2),$D153 &amp; ";","")</f>
        <v/>
      </c>
      <c r="AH153" s="58">
        <f>IF(AND($H153="threat",$S153=0.5,$R153=0.4),$D153 &amp; ";","")</f>
        <v/>
      </c>
      <c r="AI153" s="58">
        <f>IF(AND($H153="threat",$S153=0.5,$R153=0.8),$D153 &amp; ";","")</f>
        <v/>
      </c>
      <c r="AJ153" s="58">
        <f>IF(AND($H153="threat",$S153=0.3,$R153=0.05),$D153 &amp; ";","")</f>
        <v/>
      </c>
      <c r="AK153" s="58">
        <f>IF(AND($H153="threat",$S153=0.3,$R153=0.1),$D153 &amp; ";","")</f>
        <v/>
      </c>
      <c r="AL153" s="58">
        <f>IF(AND($H153="threat",$S153=0.3,$R153=0.2),$D153 &amp; ";","")</f>
        <v/>
      </c>
      <c r="AM153" s="58">
        <f>IF(AND($H153="threat",$S153=0.3,$R153=0.4),$D153 &amp; ";","")</f>
        <v/>
      </c>
      <c r="AN153" s="58">
        <f>IF(AND($H153="threat",$S153=0.3,$R153=0.8),$D153 &amp; ";","")</f>
        <v/>
      </c>
      <c r="AO153" s="58">
        <f>IF(AND($H153="threat",$S153=0.1,$R153=0.05),$D153 &amp; ";","")</f>
        <v/>
      </c>
      <c r="AP153" s="58">
        <f>IF(AND($H153="threat",$S153=0.1,$R153=0.1),$D153 &amp; ";","")</f>
        <v/>
      </c>
      <c r="AQ153" s="58">
        <f>IF(AND($H153="threat",$S153=0.1,$R153=0.2),$D153 &amp; ";","")</f>
        <v/>
      </c>
      <c r="AR153" s="58">
        <f>IF(AND($H153="threat",$S153=0.1,$R153=0.4),$D153 &amp; ";","")</f>
        <v/>
      </c>
      <c r="AS153" s="58">
        <f>IF(AND($H153="threat",$S153=0.1,$R153=0.8),$D153 &amp; ";","")</f>
        <v/>
      </c>
      <c r="AT153" s="39" t="n"/>
      <c r="AU153" s="58">
        <f>IF(AND($H153="opportunity",$S153=0.9,$R153=0.8),$D153 &amp; ";","")</f>
        <v/>
      </c>
      <c r="AV153" s="58">
        <f>IF(AND($H153="opportunity",$S153=0.9,$R153=0.4),$D153 &amp; ";","")</f>
        <v/>
      </c>
      <c r="AW153" s="58">
        <f>IF(AND($H153="opportunity",$S153=0.9,$R153=0.2),$D153 &amp; ";","")</f>
        <v/>
      </c>
      <c r="AX153" s="58">
        <f>IF(AND($H153="opportunity",$S153=0.9,$R153=0.1),$D153 &amp; ";","")</f>
        <v/>
      </c>
      <c r="AY153" s="58">
        <f>IF(AND($H153="opportunity",$S153=0.9,$R153=0.05),$D153 &amp; ";","")</f>
        <v/>
      </c>
      <c r="AZ153" s="58">
        <f>IF(AND($H153="opportunity",$S153=0.7,$R153=0.8),$D153 &amp; ";","")</f>
        <v/>
      </c>
      <c r="BA153" s="58">
        <f>IF(AND($H153="opportunity",$S153=0.7,$R153=0.4),$D153 &amp; ";","")</f>
        <v/>
      </c>
      <c r="BB153" s="58">
        <f>IF(AND($H153="opportunity",$S153=0.7,$R153=0.2),$D153 &amp; ";","")</f>
        <v/>
      </c>
      <c r="BC153" s="58">
        <f>IF(AND($H153="opportunity",$S153=0.7,$R153=0.1),$D153 &amp; ";","")</f>
        <v/>
      </c>
      <c r="BD153" s="58">
        <f>IF(AND($H153="opportunity",$S153=0.7,$R153=0.05),$D153 &amp; ";","")</f>
        <v/>
      </c>
      <c r="BE153" s="58">
        <f>IF(AND($H153="opportunity",$S153=0.5,$R153=0.8),$D153 &amp; ";","")</f>
        <v/>
      </c>
      <c r="BF153" s="58">
        <f>IF(AND($H153="opportunity",$S153=0.5,$R153=0.4),$D153 &amp; ";","")</f>
        <v/>
      </c>
      <c r="BG153" s="58">
        <f>IF(AND($H153="opportunity",$S153=0.5,$R153=0.2),$D153 &amp; ";","")</f>
        <v/>
      </c>
      <c r="BH153" s="58">
        <f>IF(AND($H153="opportunity",$S153=0.5,$R153=0.1),$D153 &amp; ";","")</f>
        <v/>
      </c>
      <c r="BI153" s="58">
        <f>IF(AND($H153="opportunity",$S153=0.5,$R153=0.05),$D153 &amp; ";","")</f>
        <v/>
      </c>
      <c r="BJ153" s="58">
        <f>IF(AND($H153="opportunity",$S153=0.3,$R153=0.8),$D153 &amp; ";","")</f>
        <v/>
      </c>
      <c r="BK153" s="58">
        <f>IF(AND($H153="opportunity",$S153=0.3,$R153=0.4),$D153 &amp; ";","")</f>
        <v/>
      </c>
      <c r="BL153" s="58">
        <f>IF(AND($H153="opportunity",$S153=0.3,$R153=0.2),$D153 &amp; ";","")</f>
        <v/>
      </c>
      <c r="BM153" s="58">
        <f>IF(AND($H153="opportunity",$S153=0.3,$R153=0.1),$D153 &amp; ";","")</f>
        <v/>
      </c>
      <c r="BN153" s="58">
        <f>IF(AND($H153="opportunity",$S153=0.3,$R153=0.05),$D153 &amp; ";","")</f>
        <v/>
      </c>
      <c r="BO153" s="58">
        <f>IF(AND($H153="opportunity",$S153=0.1,$R153=0.8),$D153 &amp; ";","")</f>
        <v/>
      </c>
      <c r="BP153" s="58">
        <f>IF(AND($H153="opportunity",$S153=0.1,$R153=0.4),$D153 &amp; ";","")</f>
        <v/>
      </c>
      <c r="BQ153" s="58">
        <f>IF(AND($H153="opportunity",$S153=0.1,$R153=0.2),$D153 &amp; ";","")</f>
        <v/>
      </c>
      <c r="BR153" s="58">
        <f>IF(AND($H153="opportunity",$S153=0.1,$R153=0.1),$D153 &amp; ";","")</f>
        <v/>
      </c>
      <c r="BS153" s="58">
        <f>IF(AND($H153="opportunity",$S153=0.1,$R153=0.05),$D153 &amp; ";","")</f>
        <v/>
      </c>
      <c r="BV153" s="57">
        <f>INDIRECT(ADDRESS(ROW()-22,COLUMN()-45,1,1,"Risk Register"))</f>
        <v/>
      </c>
      <c r="BW153" s="58">
        <f>INDIRECT(ADDRESS(ROW()-22,COLUMN()-44,1,1,"Risk Register"))</f>
        <v/>
      </c>
      <c r="BX153" s="59">
        <f>IF(AND($H153="threat",$P153&lt;=0.05),"gn",IF(AND($H153="threat",$P153&lt;=0.14),"y",IF(AND($H153="threat", $P153&gt;=0.15),"r",IF(AND($H153="opportunity",$P153&lt;=0.05),"gn",IF(AND($H153="opportunity",$P153&lt;=0.14),"lb",IF(AND($H153="opportunity",$P153&gt;=0.15),"db","z"))))))</f>
        <v/>
      </c>
      <c r="BY153" s="58">
        <f>IF(AND($H153="threat",$BW153=0.9,$BV153=0.05),$D153 &amp; ";","")</f>
        <v/>
      </c>
      <c r="BZ153" s="58">
        <f>IF(AND($H153="threat",$BW153=0.9,$BV153=0.1),$D153 &amp; ";","")</f>
        <v/>
      </c>
      <c r="CA153" s="58">
        <f>IF(AND($H153="threat",$BW153=0.9,$BV153=0.2),$D153 &amp; ";","")</f>
        <v/>
      </c>
      <c r="CB153" s="58">
        <f>IF(AND($H153="threat",$BW153=0.9,$BV153=0.4),$D153 &amp; ";","")</f>
        <v/>
      </c>
      <c r="CC153" s="58">
        <f>IF(AND($H153="threat",$BW153=0.9,$BV153=0.8),$D153 &amp; ";","")</f>
        <v/>
      </c>
      <c r="CD153" s="58">
        <f>IF(AND($H153="threat",$BW153=0.7,$BV153=0.05),$D153 &amp; ";","")</f>
        <v/>
      </c>
      <c r="CE153" s="58">
        <f>IF(AND($H153="threat",$BW153=0.7,$BV153=0.1),$D153 &amp; ";","")</f>
        <v/>
      </c>
      <c r="CF153" s="58">
        <f>IF(AND($H153="threat",$BW153=0.7,$BV153=0.2),$D153 &amp; ";","")</f>
        <v/>
      </c>
      <c r="CG153" s="58">
        <f>IF(AND($H153="threat",$BW153=0.7,$BV153=0.4),$D153 &amp; ";","")</f>
        <v/>
      </c>
      <c r="CH153" s="58">
        <f>IF(AND($H153="threat",$BW153=0.7,$BV153=0.8),$D153 &amp; ";","")</f>
        <v/>
      </c>
      <c r="CI153" s="58">
        <f>IF(AND($H153="threat",$BW153=0.5,$BV153=0.05),$D153 &amp; ";","")</f>
        <v/>
      </c>
      <c r="CJ153" s="58">
        <f>IF(AND($H153="threat",$BW153=0.5,$BV153=0.1),$D153 &amp; ";","")</f>
        <v/>
      </c>
      <c r="CK153" s="58">
        <f>IF(AND($H153="threat",$BW153=0.5,$BV153=0.2),$D153 &amp; ";","")</f>
        <v/>
      </c>
      <c r="CL153" s="58">
        <f>IF(AND($H153="threat",$BW153=0.5,$BV153=0.4),$D153 &amp; ";","")</f>
        <v/>
      </c>
      <c r="CM153" s="58">
        <f>IF(AND($H153="threat",$BW153=0.5,$BV153=0.8),$D153 &amp; ";","")</f>
        <v/>
      </c>
      <c r="CN153" s="58">
        <f>IF(AND($H153="threat",$BW153=0.3,$BV153=0.05),$D153 &amp; ";","")</f>
        <v/>
      </c>
      <c r="CO153" s="58">
        <f>IF(AND($H153="threat",$BW153=0.3,$BV153=0.1),$D153 &amp; ";","")</f>
        <v/>
      </c>
      <c r="CP153" s="58">
        <f>IF(AND($H153="threat",$BW153=0.3,$BV153=0.2),$D153 &amp; ";","")</f>
        <v/>
      </c>
      <c r="CQ153" s="58">
        <f>IF(AND($H153="threat",$BW153=0.3,$BV153=0.4),$D153 &amp; ";","")</f>
        <v/>
      </c>
      <c r="CR153" s="58">
        <f>IF(AND($H153="threat",$BW153=0.3,$BV153=0.8),$D153 &amp; ";","")</f>
        <v/>
      </c>
      <c r="CS153" s="58">
        <f>IF(AND($H153="threat",$BW153=0.1,$BV153=0.05),$D153 &amp; ";","")</f>
        <v/>
      </c>
      <c r="CT153" s="58">
        <f>IF(AND($H153="threat",$BW153=0.1,$BV153=0.1),$D153 &amp; ";","")</f>
        <v/>
      </c>
      <c r="CU153" s="58">
        <f>IF(AND($H153="threat",$BW153=0.1,$BV153=0.2),$D153 &amp; ";","")</f>
        <v/>
      </c>
      <c r="CV153" s="58">
        <f>IF(AND($H153="threat",$BW153=0.1,$BV153=0.4),$D153 &amp; ";","")</f>
        <v/>
      </c>
      <c r="CW153" s="58">
        <f>IF(AND($H153="threat",$BW153=0.1,$BV153=0.8),$D153 &amp; ";","")</f>
        <v/>
      </c>
      <c r="CX153" s="39" t="n"/>
      <c r="CY153" s="58">
        <f>IF(AND($H153="opportunity",$BW153=0.9,$BV153=0.8),$D153 &amp; ";","")</f>
        <v/>
      </c>
      <c r="CZ153" s="58">
        <f>IF(AND($H153="opportunity",$BW153=0.9,$BV153=0.4),$D153 &amp; ";","")</f>
        <v/>
      </c>
      <c r="DA153" s="58">
        <f>IF(AND($H153="opportunity",$BW153=0.9,$BV153=0.2),$D153 &amp; ";","")</f>
        <v/>
      </c>
      <c r="DB153" s="58">
        <f>IF(AND($H153="opportunity",$BW153=0.9,$BV153=0.1),$D153 &amp; ";","")</f>
        <v/>
      </c>
      <c r="DC153" s="58">
        <f>IF(AND($H153="opportunity",$BW153=0.9,$BV153=0.05),$D153 &amp; ";","")</f>
        <v/>
      </c>
      <c r="DD153" s="58">
        <f>IF(AND($H153="opportunity",$BW153=0.7,$BV153=0.8),$D153 &amp; ";","")</f>
        <v/>
      </c>
      <c r="DE153" s="58">
        <f>IF(AND($H153="opportunity",$BW153=0.7,$BV153=0.4),$D153 &amp; ";","")</f>
        <v/>
      </c>
      <c r="DF153" s="58">
        <f>IF(AND($H153="opportunity",$BW153=0.7,$BV153=0.2),$D153 &amp; ";","")</f>
        <v/>
      </c>
      <c r="DG153" s="58">
        <f>IF(AND($H153="opportunity",$BW153=0.7,$BV153=0.1),$D153 &amp; ";","")</f>
        <v/>
      </c>
      <c r="DH153" s="58">
        <f>IF(AND($H153="opportunity",$BW153=0.7,$BV153=0.05),$D153 &amp; ";","")</f>
        <v/>
      </c>
      <c r="DI153" s="58">
        <f>IF(AND($H153="opportunity",$BW153=0.5,$BV153=0.8),$D153 &amp; ";","")</f>
        <v/>
      </c>
      <c r="DJ153" s="58">
        <f>IF(AND($H153="opportunity",$BW153=0.5,$BV153=0.4),$D153 &amp; ";","")</f>
        <v/>
      </c>
      <c r="DK153" s="58">
        <f>IF(AND($H153="opportunity",$BW153=0.5,$BV153=0.2),$D153 &amp; ";","")</f>
        <v/>
      </c>
      <c r="DL153" s="58">
        <f>IF(AND($H153="opportunity",$BW153=0.5,$BV153=0.1),$D153 &amp; ";","")</f>
        <v/>
      </c>
      <c r="DM153" s="58">
        <f>IF(AND($H153="opportunity",$BW153=0.5,$BV153=0.05),$D153 &amp; ";","")</f>
        <v/>
      </c>
      <c r="DN153" s="58">
        <f>IF(AND($H153="opportunity",$BW153=0.3,$BV153=0.8),$D153 &amp; ";","")</f>
        <v/>
      </c>
      <c r="DO153" s="58">
        <f>IF(AND($H153="opportunity",$BW153=0.3,$BV153=0.4),$D153 &amp; ";","")</f>
        <v/>
      </c>
      <c r="DP153" s="58">
        <f>IF(AND($H153="opportunity",$BW153=0.3,$BV153=0.2),$D153 &amp; ";","")</f>
        <v/>
      </c>
      <c r="DQ153" s="58">
        <f>IF(AND($H153="opportunity",$BW153=0.3,$BV153=0.1),$D153 &amp; ";","")</f>
        <v/>
      </c>
      <c r="DR153" s="58">
        <f>IF(AND($H153="opportunity",$BW153=0.3,$BV153=0.05),$D153 &amp; ";","")</f>
        <v/>
      </c>
      <c r="DS153" s="58">
        <f>IF(AND($H153="opportunity",$BW153=0.1,$BV153=0.8),$D153 &amp; ";","")</f>
        <v/>
      </c>
      <c r="DT153" s="58">
        <f>IF(AND($H153="opportunity",$BW153=0.1,$BV153=0.4),$D153 &amp; ";","")</f>
        <v/>
      </c>
      <c r="DU153" s="58">
        <f>IF(AND($H153="opportunity",$BW153=0.1,$BV153=0.2),$D153 &amp; ";","")</f>
        <v/>
      </c>
      <c r="DV153" s="58">
        <f>IF(AND($H153="opportunity",$BW153=0.1,$BV153=0.1),$D153 &amp; ";","")</f>
        <v/>
      </c>
      <c r="DW153" s="58">
        <f>IF(AND($H153="opportunity",$BW153=0.1,$BV153=0.05),$D153 &amp; ";","")</f>
        <v/>
      </c>
    </row>
    <row r="154">
      <c r="D154" s="60">
        <f>INDIRECT(ADDRESS(ROW()-22,COLUMN()-2,1,1,"Risk Register"))</f>
        <v/>
      </c>
      <c r="E154" s="143">
        <f>INDIRECT(ADDRESS(ROW()-22,COLUMN()-1,1,1,"Risk Register"))</f>
        <v/>
      </c>
      <c r="G154" s="56">
        <f>INDIRECT(ADDRESS(ROW()-22,COLUMN()+10,1,1,"Risk Register"))</f>
        <v/>
      </c>
      <c r="H154" s="60">
        <f>INDIRECT(ADDRESS(ROW()-22,COLUMN()+8,1,1,"Risk Register"))</f>
        <v/>
      </c>
      <c r="I154" s="54">
        <f>INDIRECT(ADDRESS(ROW()-22,COLUMN()+3,1,1,"Risk Register"))</f>
        <v/>
      </c>
      <c r="J154" s="143">
        <f>INDIRECT(ADDRESS(ROW()-22,COLUMN()+12,1,1,"Risk Register"))</f>
        <v/>
      </c>
      <c r="K154" s="143">
        <f>INDIRECT(ADDRESS(ROW()-22,COLUMN()-2,1,1,"Risk Register"))</f>
        <v/>
      </c>
      <c r="L154" s="176">
        <f>INDIRECT(ADDRESS(ROW()-22,COLUMN()+15,1,1,"Risk Register"))</f>
        <v/>
      </c>
      <c r="M154" s="54">
        <f>INDIRECT(ADDRESS(ROW()-22,COLUMN()+13,1,1,"Risk Register"))</f>
        <v/>
      </c>
      <c r="N154" s="143">
        <f>INDIRECT(ADDRESS(ROW()-22,COLUMN()-9,1,1,"Risk Register"))</f>
        <v/>
      </c>
      <c r="O154" s="143">
        <f>INDIRECT(ADDRESS(ROW()-22,COLUMN()-8,1,1,"Risk Register"))</f>
        <v/>
      </c>
      <c r="P154" s="56">
        <f>INDIRECT(ADDRESS(ROW()-22,COLUMN()+18,1,1,"Risk Register"))</f>
        <v/>
      </c>
      <c r="R154" s="57">
        <f>INDIRECT(ADDRESS(ROW()-22,COLUMN()-5,1,1,"Risk Register"))</f>
        <v/>
      </c>
      <c r="S154" s="58">
        <f>INDIRECT(ADDRESS(ROW()-22,COLUMN()-4,1,1,"Risk Register"))</f>
        <v/>
      </c>
      <c r="T154" s="59">
        <f>IF(AND($H154="threat",$G154&lt;=0.05),"gn",IF(AND($H154="threat",$G154&lt;=0.14),"y",IF(AND($H154="threat", $G154&gt;=0.15),"r",IF(AND($H154="opportunity",$G154&lt;=0.05),"gn",IF(AND($H154="opportunity",$G154&lt;=0.14),"lb",IF(AND($H154="opportunity",$G154&gt;=0.15),"db","z"))))))</f>
        <v/>
      </c>
      <c r="U154" s="58">
        <f>IF(AND($H154="threat",$S154=0.9,$R154=0.05),$D154 &amp; ";","")</f>
        <v/>
      </c>
      <c r="V154" s="58">
        <f>IF(AND($H154="threat",$S154=0.9,$R154=0.1),$D154 &amp; ";","")</f>
        <v/>
      </c>
      <c r="W154" s="58">
        <f>IF(AND($H154="threat",$S154=0.9,$R154=0.2),$D154 &amp; ";","")</f>
        <v/>
      </c>
      <c r="X154" s="58">
        <f>IF(AND($H154="threat",$S154=0.9,$R154=0.4),$D154 &amp; ";","")</f>
        <v/>
      </c>
      <c r="Y154" s="58">
        <f>IF(AND($H154="threat",$S154=0.9,$R154=0.8),$D154 &amp; ";","")</f>
        <v/>
      </c>
      <c r="Z154" s="58">
        <f>IF(AND($H154="threat",$S154=0.7,$R154=0.05),$D154 &amp; ";","")</f>
        <v/>
      </c>
      <c r="AA154" s="58">
        <f>IF(AND($H154="threat",$S154=0.7,$R154=0.1),$D154 &amp; ";","")</f>
        <v/>
      </c>
      <c r="AB154" s="58">
        <f>IF(AND($H154="threat",$S154=0.7,$R154=0.2),$D154 &amp; ";","")</f>
        <v/>
      </c>
      <c r="AC154" s="58">
        <f>IF(AND($H154="threat",$S154=0.7,$R154=0.4),$D154 &amp; ";","")</f>
        <v/>
      </c>
      <c r="AD154" s="58">
        <f>IF(AND($H154="threat",$S154=0.7,$R154=0.8),$D154 &amp; ";","")</f>
        <v/>
      </c>
      <c r="AE154" s="58">
        <f>IF(AND($H154="threat",$S154=0.5,$R154=0.05),$D154 &amp; ";","")</f>
        <v/>
      </c>
      <c r="AF154" s="58">
        <f>IF(AND($H154="threat",$S154=0.5,$R154=0.1),$D154 &amp; ";","")</f>
        <v/>
      </c>
      <c r="AG154" s="58">
        <f>IF(AND($H154="threat",$S154=0.5,$R154=0.2),$D154 &amp; ";","")</f>
        <v/>
      </c>
      <c r="AH154" s="58">
        <f>IF(AND($H154="threat",$S154=0.5,$R154=0.4),$D154 &amp; ";","")</f>
        <v/>
      </c>
      <c r="AI154" s="58">
        <f>IF(AND($H154="threat",$S154=0.5,$R154=0.8),$D154 &amp; ";","")</f>
        <v/>
      </c>
      <c r="AJ154" s="58">
        <f>IF(AND($H154="threat",$S154=0.3,$R154=0.05),$D154 &amp; ";","")</f>
        <v/>
      </c>
      <c r="AK154" s="58">
        <f>IF(AND($H154="threat",$S154=0.3,$R154=0.1),$D154 &amp; ";","")</f>
        <v/>
      </c>
      <c r="AL154" s="58">
        <f>IF(AND($H154="threat",$S154=0.3,$R154=0.2),$D154 &amp; ";","")</f>
        <v/>
      </c>
      <c r="AM154" s="58">
        <f>IF(AND($H154="threat",$S154=0.3,$R154=0.4),$D154 &amp; ";","")</f>
        <v/>
      </c>
      <c r="AN154" s="58">
        <f>IF(AND($H154="threat",$S154=0.3,$R154=0.8),$D154 &amp; ";","")</f>
        <v/>
      </c>
      <c r="AO154" s="58">
        <f>IF(AND($H154="threat",$S154=0.1,$R154=0.05),$D154 &amp; ";","")</f>
        <v/>
      </c>
      <c r="AP154" s="58">
        <f>IF(AND($H154="threat",$S154=0.1,$R154=0.1),$D154 &amp; ";","")</f>
        <v/>
      </c>
      <c r="AQ154" s="58">
        <f>IF(AND($H154="threat",$S154=0.1,$R154=0.2),$D154 &amp; ";","")</f>
        <v/>
      </c>
      <c r="AR154" s="58">
        <f>IF(AND($H154="threat",$S154=0.1,$R154=0.4),$D154 &amp; ";","")</f>
        <v/>
      </c>
      <c r="AS154" s="58">
        <f>IF(AND($H154="threat",$S154=0.1,$R154=0.8),$D154 &amp; ";","")</f>
        <v/>
      </c>
      <c r="AT154" s="39" t="n"/>
      <c r="AU154" s="58">
        <f>IF(AND($H154="opportunity",$S154=0.9,$R154=0.8),$D154 &amp; ";","")</f>
        <v/>
      </c>
      <c r="AV154" s="58">
        <f>IF(AND($H154="opportunity",$S154=0.9,$R154=0.4),$D154 &amp; ";","")</f>
        <v/>
      </c>
      <c r="AW154" s="58">
        <f>IF(AND($H154="opportunity",$S154=0.9,$R154=0.2),$D154 &amp; ";","")</f>
        <v/>
      </c>
      <c r="AX154" s="58">
        <f>IF(AND($H154="opportunity",$S154=0.9,$R154=0.1),$D154 &amp; ";","")</f>
        <v/>
      </c>
      <c r="AY154" s="58">
        <f>IF(AND($H154="opportunity",$S154=0.9,$R154=0.05),$D154 &amp; ";","")</f>
        <v/>
      </c>
      <c r="AZ154" s="58">
        <f>IF(AND($H154="opportunity",$S154=0.7,$R154=0.8),$D154 &amp; ";","")</f>
        <v/>
      </c>
      <c r="BA154" s="58">
        <f>IF(AND($H154="opportunity",$S154=0.7,$R154=0.4),$D154 &amp; ";","")</f>
        <v/>
      </c>
      <c r="BB154" s="58">
        <f>IF(AND($H154="opportunity",$S154=0.7,$R154=0.2),$D154 &amp; ";","")</f>
        <v/>
      </c>
      <c r="BC154" s="58">
        <f>IF(AND($H154="opportunity",$S154=0.7,$R154=0.1),$D154 &amp; ";","")</f>
        <v/>
      </c>
      <c r="BD154" s="58">
        <f>IF(AND($H154="opportunity",$S154=0.7,$R154=0.05),$D154 &amp; ";","")</f>
        <v/>
      </c>
      <c r="BE154" s="58">
        <f>IF(AND($H154="opportunity",$S154=0.5,$R154=0.8),$D154 &amp; ";","")</f>
        <v/>
      </c>
      <c r="BF154" s="58">
        <f>IF(AND($H154="opportunity",$S154=0.5,$R154=0.4),$D154 &amp; ";","")</f>
        <v/>
      </c>
      <c r="BG154" s="58">
        <f>IF(AND($H154="opportunity",$S154=0.5,$R154=0.2),$D154 &amp; ";","")</f>
        <v/>
      </c>
      <c r="BH154" s="58">
        <f>IF(AND($H154="opportunity",$S154=0.5,$R154=0.1),$D154 &amp; ";","")</f>
        <v/>
      </c>
      <c r="BI154" s="58">
        <f>IF(AND($H154="opportunity",$S154=0.5,$R154=0.05),$D154 &amp; ";","")</f>
        <v/>
      </c>
      <c r="BJ154" s="58">
        <f>IF(AND($H154="opportunity",$S154=0.3,$R154=0.8),$D154 &amp; ";","")</f>
        <v/>
      </c>
      <c r="BK154" s="58">
        <f>IF(AND($H154="opportunity",$S154=0.3,$R154=0.4),$D154 &amp; ";","")</f>
        <v/>
      </c>
      <c r="BL154" s="58">
        <f>IF(AND($H154="opportunity",$S154=0.3,$R154=0.2),$D154 &amp; ";","")</f>
        <v/>
      </c>
      <c r="BM154" s="58">
        <f>IF(AND($H154="opportunity",$S154=0.3,$R154=0.1),$D154 &amp; ";","")</f>
        <v/>
      </c>
      <c r="BN154" s="58">
        <f>IF(AND($H154="opportunity",$S154=0.3,$R154=0.05),$D154 &amp; ";","")</f>
        <v/>
      </c>
      <c r="BO154" s="58">
        <f>IF(AND($H154="opportunity",$S154=0.1,$R154=0.8),$D154 &amp; ";","")</f>
        <v/>
      </c>
      <c r="BP154" s="58">
        <f>IF(AND($H154="opportunity",$S154=0.1,$R154=0.4),$D154 &amp; ";","")</f>
        <v/>
      </c>
      <c r="BQ154" s="58">
        <f>IF(AND($H154="opportunity",$S154=0.1,$R154=0.2),$D154 &amp; ";","")</f>
        <v/>
      </c>
      <c r="BR154" s="58">
        <f>IF(AND($H154="opportunity",$S154=0.1,$R154=0.1),$D154 &amp; ";","")</f>
        <v/>
      </c>
      <c r="BS154" s="58">
        <f>IF(AND($H154="opportunity",$S154=0.1,$R154=0.05),$D154 &amp; ";","")</f>
        <v/>
      </c>
      <c r="BV154" s="57">
        <f>INDIRECT(ADDRESS(ROW()-22,COLUMN()-45,1,1,"Risk Register"))</f>
        <v/>
      </c>
      <c r="BW154" s="58">
        <f>INDIRECT(ADDRESS(ROW()-22,COLUMN()-44,1,1,"Risk Register"))</f>
        <v/>
      </c>
      <c r="BX154" s="59">
        <f>IF(AND($H154="threat",$P154&lt;=0.05),"gn",IF(AND($H154="threat",$P154&lt;=0.14),"y",IF(AND($H154="threat", $P154&gt;=0.15),"r",IF(AND($H154="opportunity",$P154&lt;=0.05),"gn",IF(AND($H154="opportunity",$P154&lt;=0.14),"lb",IF(AND($H154="opportunity",$P154&gt;=0.15),"db","z"))))))</f>
        <v/>
      </c>
      <c r="BY154" s="58">
        <f>IF(AND($H154="threat",$BW154=0.9,$BV154=0.05),$D154 &amp; ";","")</f>
        <v/>
      </c>
      <c r="BZ154" s="58">
        <f>IF(AND($H154="threat",$BW154=0.9,$BV154=0.1),$D154 &amp; ";","")</f>
        <v/>
      </c>
      <c r="CA154" s="58">
        <f>IF(AND($H154="threat",$BW154=0.9,$BV154=0.2),$D154 &amp; ";","")</f>
        <v/>
      </c>
      <c r="CB154" s="58">
        <f>IF(AND($H154="threat",$BW154=0.9,$BV154=0.4),$D154 &amp; ";","")</f>
        <v/>
      </c>
      <c r="CC154" s="58">
        <f>IF(AND($H154="threat",$BW154=0.9,$BV154=0.8),$D154 &amp; ";","")</f>
        <v/>
      </c>
      <c r="CD154" s="58">
        <f>IF(AND($H154="threat",$BW154=0.7,$BV154=0.05),$D154 &amp; ";","")</f>
        <v/>
      </c>
      <c r="CE154" s="58">
        <f>IF(AND($H154="threat",$BW154=0.7,$BV154=0.1),$D154 &amp; ";","")</f>
        <v/>
      </c>
      <c r="CF154" s="58">
        <f>IF(AND($H154="threat",$BW154=0.7,$BV154=0.2),$D154 &amp; ";","")</f>
        <v/>
      </c>
      <c r="CG154" s="58">
        <f>IF(AND($H154="threat",$BW154=0.7,$BV154=0.4),$D154 &amp; ";","")</f>
        <v/>
      </c>
      <c r="CH154" s="58">
        <f>IF(AND($H154="threat",$BW154=0.7,$BV154=0.8),$D154 &amp; ";","")</f>
        <v/>
      </c>
      <c r="CI154" s="58">
        <f>IF(AND($H154="threat",$BW154=0.5,$BV154=0.05),$D154 &amp; ";","")</f>
        <v/>
      </c>
      <c r="CJ154" s="58">
        <f>IF(AND($H154="threat",$BW154=0.5,$BV154=0.1),$D154 &amp; ";","")</f>
        <v/>
      </c>
      <c r="CK154" s="58">
        <f>IF(AND($H154="threat",$BW154=0.5,$BV154=0.2),$D154 &amp; ";","")</f>
        <v/>
      </c>
      <c r="CL154" s="58">
        <f>IF(AND($H154="threat",$BW154=0.5,$BV154=0.4),$D154 &amp; ";","")</f>
        <v/>
      </c>
      <c r="CM154" s="58">
        <f>IF(AND($H154="threat",$BW154=0.5,$BV154=0.8),$D154 &amp; ";","")</f>
        <v/>
      </c>
      <c r="CN154" s="58">
        <f>IF(AND($H154="threat",$BW154=0.3,$BV154=0.05),$D154 &amp; ";","")</f>
        <v/>
      </c>
      <c r="CO154" s="58">
        <f>IF(AND($H154="threat",$BW154=0.3,$BV154=0.1),$D154 &amp; ";","")</f>
        <v/>
      </c>
      <c r="CP154" s="58">
        <f>IF(AND($H154="threat",$BW154=0.3,$BV154=0.2),$D154 &amp; ";","")</f>
        <v/>
      </c>
      <c r="CQ154" s="58">
        <f>IF(AND($H154="threat",$BW154=0.3,$BV154=0.4),$D154 &amp; ";","")</f>
        <v/>
      </c>
      <c r="CR154" s="58">
        <f>IF(AND($H154="threat",$BW154=0.3,$BV154=0.8),$D154 &amp; ";","")</f>
        <v/>
      </c>
      <c r="CS154" s="58">
        <f>IF(AND($H154="threat",$BW154=0.1,$BV154=0.05),$D154 &amp; ";","")</f>
        <v/>
      </c>
      <c r="CT154" s="58">
        <f>IF(AND($H154="threat",$BW154=0.1,$BV154=0.1),$D154 &amp; ";","")</f>
        <v/>
      </c>
      <c r="CU154" s="58">
        <f>IF(AND($H154="threat",$BW154=0.1,$BV154=0.2),$D154 &amp; ";","")</f>
        <v/>
      </c>
      <c r="CV154" s="58">
        <f>IF(AND($H154="threat",$BW154=0.1,$BV154=0.4),$D154 &amp; ";","")</f>
        <v/>
      </c>
      <c r="CW154" s="58">
        <f>IF(AND($H154="threat",$BW154=0.1,$BV154=0.8),$D154 &amp; ";","")</f>
        <v/>
      </c>
      <c r="CX154" s="39" t="n"/>
      <c r="CY154" s="58">
        <f>IF(AND($H154="opportunity",$BW154=0.9,$BV154=0.8),$D154 &amp; ";","")</f>
        <v/>
      </c>
      <c r="CZ154" s="58">
        <f>IF(AND($H154="opportunity",$BW154=0.9,$BV154=0.4),$D154 &amp; ";","")</f>
        <v/>
      </c>
      <c r="DA154" s="58">
        <f>IF(AND($H154="opportunity",$BW154=0.9,$BV154=0.2),$D154 &amp; ";","")</f>
        <v/>
      </c>
      <c r="DB154" s="58">
        <f>IF(AND($H154="opportunity",$BW154=0.9,$BV154=0.1),$D154 &amp; ";","")</f>
        <v/>
      </c>
      <c r="DC154" s="58">
        <f>IF(AND($H154="opportunity",$BW154=0.9,$BV154=0.05),$D154 &amp; ";","")</f>
        <v/>
      </c>
      <c r="DD154" s="58">
        <f>IF(AND($H154="opportunity",$BW154=0.7,$BV154=0.8),$D154 &amp; ";","")</f>
        <v/>
      </c>
      <c r="DE154" s="58">
        <f>IF(AND($H154="opportunity",$BW154=0.7,$BV154=0.4),$D154 &amp; ";","")</f>
        <v/>
      </c>
      <c r="DF154" s="58">
        <f>IF(AND($H154="opportunity",$BW154=0.7,$BV154=0.2),$D154 &amp; ";","")</f>
        <v/>
      </c>
      <c r="DG154" s="58">
        <f>IF(AND($H154="opportunity",$BW154=0.7,$BV154=0.1),$D154 &amp; ";","")</f>
        <v/>
      </c>
      <c r="DH154" s="58">
        <f>IF(AND($H154="opportunity",$BW154=0.7,$BV154=0.05),$D154 &amp; ";","")</f>
        <v/>
      </c>
      <c r="DI154" s="58">
        <f>IF(AND($H154="opportunity",$BW154=0.5,$BV154=0.8),$D154 &amp; ";","")</f>
        <v/>
      </c>
      <c r="DJ154" s="58">
        <f>IF(AND($H154="opportunity",$BW154=0.5,$BV154=0.4),$D154 &amp; ";","")</f>
        <v/>
      </c>
      <c r="DK154" s="58">
        <f>IF(AND($H154="opportunity",$BW154=0.5,$BV154=0.2),$D154 &amp; ";","")</f>
        <v/>
      </c>
      <c r="DL154" s="58">
        <f>IF(AND($H154="opportunity",$BW154=0.5,$BV154=0.1),$D154 &amp; ";","")</f>
        <v/>
      </c>
      <c r="DM154" s="58">
        <f>IF(AND($H154="opportunity",$BW154=0.5,$BV154=0.05),$D154 &amp; ";","")</f>
        <v/>
      </c>
      <c r="DN154" s="58">
        <f>IF(AND($H154="opportunity",$BW154=0.3,$BV154=0.8),$D154 &amp; ";","")</f>
        <v/>
      </c>
      <c r="DO154" s="58">
        <f>IF(AND($H154="opportunity",$BW154=0.3,$BV154=0.4),$D154 &amp; ";","")</f>
        <v/>
      </c>
      <c r="DP154" s="58">
        <f>IF(AND($H154="opportunity",$BW154=0.3,$BV154=0.2),$D154 &amp; ";","")</f>
        <v/>
      </c>
      <c r="DQ154" s="58">
        <f>IF(AND($H154="opportunity",$BW154=0.3,$BV154=0.1),$D154 &amp; ";","")</f>
        <v/>
      </c>
      <c r="DR154" s="58">
        <f>IF(AND($H154="opportunity",$BW154=0.3,$BV154=0.05),$D154 &amp; ";","")</f>
        <v/>
      </c>
      <c r="DS154" s="58">
        <f>IF(AND($H154="opportunity",$BW154=0.1,$BV154=0.8),$D154 &amp; ";","")</f>
        <v/>
      </c>
      <c r="DT154" s="58">
        <f>IF(AND($H154="opportunity",$BW154=0.1,$BV154=0.4),$D154 &amp; ";","")</f>
        <v/>
      </c>
      <c r="DU154" s="58">
        <f>IF(AND($H154="opportunity",$BW154=0.1,$BV154=0.2),$D154 &amp; ";","")</f>
        <v/>
      </c>
      <c r="DV154" s="58">
        <f>IF(AND($H154="opportunity",$BW154=0.1,$BV154=0.1),$D154 &amp; ";","")</f>
        <v/>
      </c>
      <c r="DW154" s="58">
        <f>IF(AND($H154="opportunity",$BW154=0.1,$BV154=0.05),$D154 &amp; ";","")</f>
        <v/>
      </c>
    </row>
    <row r="155" ht="12.75" customHeight="1">
      <c r="D155" s="60">
        <f>INDIRECT(ADDRESS(ROW()-22,COLUMN()-2,1,1,"Risk Register"))</f>
        <v/>
      </c>
      <c r="E155" s="143">
        <f>INDIRECT(ADDRESS(ROW()-22,COLUMN()-1,1,1,"Risk Register"))</f>
        <v/>
      </c>
      <c r="G155" s="56">
        <f>INDIRECT(ADDRESS(ROW()-22,COLUMN()+10,1,1,"Risk Register"))</f>
        <v/>
      </c>
      <c r="H155" s="60">
        <f>INDIRECT(ADDRESS(ROW()-22,COLUMN()+8,1,1,"Risk Register"))</f>
        <v/>
      </c>
      <c r="I155" s="54">
        <f>INDIRECT(ADDRESS(ROW()-22,COLUMN()+3,1,1,"Risk Register"))</f>
        <v/>
      </c>
      <c r="J155" s="143">
        <f>INDIRECT(ADDRESS(ROW()-22,COLUMN()+12,1,1,"Risk Register"))</f>
        <v/>
      </c>
      <c r="K155" s="143">
        <f>INDIRECT(ADDRESS(ROW()-22,COLUMN()-2,1,1,"Risk Register"))</f>
        <v/>
      </c>
      <c r="L155" s="176">
        <f>INDIRECT(ADDRESS(ROW()-22,COLUMN()+15,1,1,"Risk Register"))</f>
        <v/>
      </c>
      <c r="M155" s="54">
        <f>INDIRECT(ADDRESS(ROW()-22,COLUMN()+13,1,1,"Risk Register"))</f>
        <v/>
      </c>
      <c r="N155" s="143">
        <f>INDIRECT(ADDRESS(ROW()-22,COLUMN()-9,1,1,"Risk Register"))</f>
        <v/>
      </c>
      <c r="O155" s="143">
        <f>INDIRECT(ADDRESS(ROW()-22,COLUMN()-8,1,1,"Risk Register"))</f>
        <v/>
      </c>
      <c r="P155" s="56">
        <f>INDIRECT(ADDRESS(ROW()-22,COLUMN()+18,1,1,"Risk Register"))</f>
        <v/>
      </c>
      <c r="R155" s="57">
        <f>INDIRECT(ADDRESS(ROW()-22,COLUMN()-5,1,1,"Risk Register"))</f>
        <v/>
      </c>
      <c r="S155" s="58">
        <f>INDIRECT(ADDRESS(ROW()-22,COLUMN()-4,1,1,"Risk Register"))</f>
        <v/>
      </c>
      <c r="T155" s="59">
        <f>IF(AND($H155="threat",$G155&lt;=0.05),"gn",IF(AND($H155="threat",$G155&lt;=0.14),"y",IF(AND($H155="threat", $G155&gt;=0.15),"r",IF(AND($H155="opportunity",$G155&lt;=0.05),"gn",IF(AND($H155="opportunity",$G155&lt;=0.14),"lb",IF(AND($H155="opportunity",$G155&gt;=0.15),"db","z"))))))</f>
        <v/>
      </c>
      <c r="U155" s="58">
        <f>IF(AND($H155="threat",$S155=0.9,$R155=0.05),$D155 &amp; ";","")</f>
        <v/>
      </c>
      <c r="V155" s="58">
        <f>IF(AND($H155="threat",$S155=0.9,$R155=0.1),$D155 &amp; ";","")</f>
        <v/>
      </c>
      <c r="W155" s="58">
        <f>IF(AND($H155="threat",$S155=0.9,$R155=0.2),$D155 &amp; ";","")</f>
        <v/>
      </c>
      <c r="X155" s="58">
        <f>IF(AND($H155="threat",$S155=0.9,$R155=0.4),$D155 &amp; ";","")</f>
        <v/>
      </c>
      <c r="Y155" s="58">
        <f>IF(AND($H155="threat",$S155=0.9,$R155=0.8),$D155 &amp; ";","")</f>
        <v/>
      </c>
      <c r="Z155" s="58">
        <f>IF(AND($H155="threat",$S155=0.7,$R155=0.05),$D155 &amp; ";","")</f>
        <v/>
      </c>
      <c r="AA155" s="58">
        <f>IF(AND($H155="threat",$S155=0.7,$R155=0.1),$D155 &amp; ";","")</f>
        <v/>
      </c>
      <c r="AB155" s="58">
        <f>IF(AND($H155="threat",$S155=0.7,$R155=0.2),$D155 &amp; ";","")</f>
        <v/>
      </c>
      <c r="AC155" s="58">
        <f>IF(AND($H155="threat",$S155=0.7,$R155=0.4),$D155 &amp; ";","")</f>
        <v/>
      </c>
      <c r="AD155" s="58">
        <f>IF(AND($H155="threat",$S155=0.7,$R155=0.8),$D155 &amp; ";","")</f>
        <v/>
      </c>
      <c r="AE155" s="58">
        <f>IF(AND($H155="threat",$S155=0.5,$R155=0.05),$D155 &amp; ";","")</f>
        <v/>
      </c>
      <c r="AF155" s="58">
        <f>IF(AND($H155="threat",$S155=0.5,$R155=0.1),$D155 &amp; ";","")</f>
        <v/>
      </c>
      <c r="AG155" s="58">
        <f>IF(AND($H155="threat",$S155=0.5,$R155=0.2),$D155 &amp; ";","")</f>
        <v/>
      </c>
      <c r="AH155" s="58">
        <f>IF(AND($H155="threat",$S155=0.5,$R155=0.4),$D155 &amp; ";","")</f>
        <v/>
      </c>
      <c r="AI155" s="58">
        <f>IF(AND($H155="threat",$S155=0.5,$R155=0.8),$D155 &amp; ";","")</f>
        <v/>
      </c>
      <c r="AJ155" s="58">
        <f>IF(AND($H155="threat",$S155=0.3,$R155=0.05),$D155 &amp; ";","")</f>
        <v/>
      </c>
      <c r="AK155" s="58">
        <f>IF(AND($H155="threat",$S155=0.3,$R155=0.1),$D155 &amp; ";","")</f>
        <v/>
      </c>
      <c r="AL155" s="58">
        <f>IF(AND($H155="threat",$S155=0.3,$R155=0.2),$D155 &amp; ";","")</f>
        <v/>
      </c>
      <c r="AM155" s="58">
        <f>IF(AND($H155="threat",$S155=0.3,$R155=0.4),$D155 &amp; ";","")</f>
        <v/>
      </c>
      <c r="AN155" s="58">
        <f>IF(AND($H155="threat",$S155=0.3,$R155=0.8),$D155 &amp; ";","")</f>
        <v/>
      </c>
      <c r="AO155" s="58">
        <f>IF(AND($H155="threat",$S155=0.1,$R155=0.05),$D155 &amp; ";","")</f>
        <v/>
      </c>
      <c r="AP155" s="58">
        <f>IF(AND($H155="threat",$S155=0.1,$R155=0.1),$D155 &amp; ";","")</f>
        <v/>
      </c>
      <c r="AQ155" s="58">
        <f>IF(AND($H155="threat",$S155=0.1,$R155=0.2),$D155 &amp; ";","")</f>
        <v/>
      </c>
      <c r="AR155" s="58">
        <f>IF(AND($H155="threat",$S155=0.1,$R155=0.4),$D155 &amp; ";","")</f>
        <v/>
      </c>
      <c r="AS155" s="58">
        <f>IF(AND($H155="threat",$S155=0.1,$R155=0.8),$D155 &amp; ";","")</f>
        <v/>
      </c>
      <c r="AT155" s="39" t="n"/>
      <c r="AU155" s="58">
        <f>IF(AND($H155="opportunity",$S155=0.9,$R155=0.8),$D155 &amp; ";","")</f>
        <v/>
      </c>
      <c r="AV155" s="58">
        <f>IF(AND($H155="opportunity",$S155=0.9,$R155=0.4),$D155 &amp; ";","")</f>
        <v/>
      </c>
      <c r="AW155" s="58">
        <f>IF(AND($H155="opportunity",$S155=0.9,$R155=0.2),$D155 &amp; ";","")</f>
        <v/>
      </c>
      <c r="AX155" s="58">
        <f>IF(AND($H155="opportunity",$S155=0.9,$R155=0.1),$D155 &amp; ";","")</f>
        <v/>
      </c>
      <c r="AY155" s="58">
        <f>IF(AND($H155="opportunity",$S155=0.9,$R155=0.05),$D155 &amp; ";","")</f>
        <v/>
      </c>
      <c r="AZ155" s="58">
        <f>IF(AND($H155="opportunity",$S155=0.7,$R155=0.8),$D155 &amp; ";","")</f>
        <v/>
      </c>
      <c r="BA155" s="58">
        <f>IF(AND($H155="opportunity",$S155=0.7,$R155=0.4),$D155 &amp; ";","")</f>
        <v/>
      </c>
      <c r="BB155" s="58">
        <f>IF(AND($H155="opportunity",$S155=0.7,$R155=0.2),$D155 &amp; ";","")</f>
        <v/>
      </c>
      <c r="BC155" s="58">
        <f>IF(AND($H155="opportunity",$S155=0.7,$R155=0.1),$D155 &amp; ";","")</f>
        <v/>
      </c>
      <c r="BD155" s="58">
        <f>IF(AND($H155="opportunity",$S155=0.7,$R155=0.05),$D155 &amp; ";","")</f>
        <v/>
      </c>
      <c r="BE155" s="58">
        <f>IF(AND($H155="opportunity",$S155=0.5,$R155=0.8),$D155 &amp; ";","")</f>
        <v/>
      </c>
      <c r="BF155" s="58">
        <f>IF(AND($H155="opportunity",$S155=0.5,$R155=0.4),$D155 &amp; ";","")</f>
        <v/>
      </c>
      <c r="BG155" s="58">
        <f>IF(AND($H155="opportunity",$S155=0.5,$R155=0.2),$D155 &amp; ";","")</f>
        <v/>
      </c>
      <c r="BH155" s="58">
        <f>IF(AND($H155="opportunity",$S155=0.5,$R155=0.1),$D155 &amp; ";","")</f>
        <v/>
      </c>
      <c r="BI155" s="58">
        <f>IF(AND($H155="opportunity",$S155=0.5,$R155=0.05),$D155 &amp; ";","")</f>
        <v/>
      </c>
      <c r="BJ155" s="58">
        <f>IF(AND($H155="opportunity",$S155=0.3,$R155=0.8),$D155 &amp; ";","")</f>
        <v/>
      </c>
      <c r="BK155" s="58">
        <f>IF(AND($H155="opportunity",$S155=0.3,$R155=0.4),$D155 &amp; ";","")</f>
        <v/>
      </c>
      <c r="BL155" s="58">
        <f>IF(AND($H155="opportunity",$S155=0.3,$R155=0.2),$D155 &amp; ";","")</f>
        <v/>
      </c>
      <c r="BM155" s="58">
        <f>IF(AND($H155="opportunity",$S155=0.3,$R155=0.1),$D155 &amp; ";","")</f>
        <v/>
      </c>
      <c r="BN155" s="58">
        <f>IF(AND($H155="opportunity",$S155=0.3,$R155=0.05),$D155 &amp; ";","")</f>
        <v/>
      </c>
      <c r="BO155" s="58">
        <f>IF(AND($H155="opportunity",$S155=0.1,$R155=0.8),$D155 &amp; ";","")</f>
        <v/>
      </c>
      <c r="BP155" s="58">
        <f>IF(AND($H155="opportunity",$S155=0.1,$R155=0.4),$D155 &amp; ";","")</f>
        <v/>
      </c>
      <c r="BQ155" s="58">
        <f>IF(AND($H155="opportunity",$S155=0.1,$R155=0.2),$D155 &amp; ";","")</f>
        <v/>
      </c>
      <c r="BR155" s="58">
        <f>IF(AND($H155="opportunity",$S155=0.1,$R155=0.1),$D155 &amp; ";","")</f>
        <v/>
      </c>
      <c r="BS155" s="58">
        <f>IF(AND($H155="opportunity",$S155=0.1,$R155=0.05),$D155 &amp; ";","")</f>
        <v/>
      </c>
      <c r="BV155" s="57">
        <f>INDIRECT(ADDRESS(ROW()-22,COLUMN()-45,1,1,"Risk Register"))</f>
        <v/>
      </c>
      <c r="BW155" s="58">
        <f>INDIRECT(ADDRESS(ROW()-22,COLUMN()-44,1,1,"Risk Register"))</f>
        <v/>
      </c>
      <c r="BX155" s="59">
        <f>IF(AND($H155="threat",$P155&lt;=0.05),"gn",IF(AND($H155="threat",$P155&lt;=0.14),"y",IF(AND($H155="threat", $P155&gt;=0.15),"r",IF(AND($H155="opportunity",$P155&lt;=0.05),"gn",IF(AND($H155="opportunity",$P155&lt;=0.14),"lb",IF(AND($H155="opportunity",$P155&gt;=0.15),"db","z"))))))</f>
        <v/>
      </c>
      <c r="BY155" s="58">
        <f>IF(AND($H155="threat",$BW155=0.9,$BV155=0.05),$D155 &amp; ";","")</f>
        <v/>
      </c>
      <c r="BZ155" s="58">
        <f>IF(AND($H155="threat",$BW155=0.9,$BV155=0.1),$D155 &amp; ";","")</f>
        <v/>
      </c>
      <c r="CA155" s="58">
        <f>IF(AND($H155="threat",$BW155=0.9,$BV155=0.2),$D155 &amp; ";","")</f>
        <v/>
      </c>
      <c r="CB155" s="58">
        <f>IF(AND($H155="threat",$BW155=0.9,$BV155=0.4),$D155 &amp; ";","")</f>
        <v/>
      </c>
      <c r="CC155" s="58">
        <f>IF(AND($H155="threat",$BW155=0.9,$BV155=0.8),$D155 &amp; ";","")</f>
        <v/>
      </c>
      <c r="CD155" s="58">
        <f>IF(AND($H155="threat",$BW155=0.7,$BV155=0.05),$D155 &amp; ";","")</f>
        <v/>
      </c>
      <c r="CE155" s="58">
        <f>IF(AND($H155="threat",$BW155=0.7,$BV155=0.1),$D155 &amp; ";","")</f>
        <v/>
      </c>
      <c r="CF155" s="58">
        <f>IF(AND($H155="threat",$BW155=0.7,$BV155=0.2),$D155 &amp; ";","")</f>
        <v/>
      </c>
      <c r="CG155" s="58">
        <f>IF(AND($H155="threat",$BW155=0.7,$BV155=0.4),$D155 &amp; ";","")</f>
        <v/>
      </c>
      <c r="CH155" s="58">
        <f>IF(AND($H155="threat",$BW155=0.7,$BV155=0.8),$D155 &amp; ";","")</f>
        <v/>
      </c>
      <c r="CI155" s="58">
        <f>IF(AND($H155="threat",$BW155=0.5,$BV155=0.05),$D155 &amp; ";","")</f>
        <v/>
      </c>
      <c r="CJ155" s="58">
        <f>IF(AND($H155="threat",$BW155=0.5,$BV155=0.1),$D155 &amp; ";","")</f>
        <v/>
      </c>
      <c r="CK155" s="58">
        <f>IF(AND($H155="threat",$BW155=0.5,$BV155=0.2),$D155 &amp; ";","")</f>
        <v/>
      </c>
      <c r="CL155" s="58">
        <f>IF(AND($H155="threat",$BW155=0.5,$BV155=0.4),$D155 &amp; ";","")</f>
        <v/>
      </c>
      <c r="CM155" s="58">
        <f>IF(AND($H155="threat",$BW155=0.5,$BV155=0.8),$D155 &amp; ";","")</f>
        <v/>
      </c>
      <c r="CN155" s="58">
        <f>IF(AND($H155="threat",$BW155=0.3,$BV155=0.05),$D155 &amp; ";","")</f>
        <v/>
      </c>
      <c r="CO155" s="58">
        <f>IF(AND($H155="threat",$BW155=0.3,$BV155=0.1),$D155 &amp; ";","")</f>
        <v/>
      </c>
      <c r="CP155" s="58">
        <f>IF(AND($H155="threat",$BW155=0.3,$BV155=0.2),$D155 &amp; ";","")</f>
        <v/>
      </c>
      <c r="CQ155" s="58">
        <f>IF(AND($H155="threat",$BW155=0.3,$BV155=0.4),$D155 &amp; ";","")</f>
        <v/>
      </c>
      <c r="CR155" s="58">
        <f>IF(AND($H155="threat",$BW155=0.3,$BV155=0.8),$D155 &amp; ";","")</f>
        <v/>
      </c>
      <c r="CS155" s="58">
        <f>IF(AND($H155="threat",$BW155=0.1,$BV155=0.05),$D155 &amp; ";","")</f>
        <v/>
      </c>
      <c r="CT155" s="58">
        <f>IF(AND($H155="threat",$BW155=0.1,$BV155=0.1),$D155 &amp; ";","")</f>
        <v/>
      </c>
      <c r="CU155" s="58">
        <f>IF(AND($H155="threat",$BW155=0.1,$BV155=0.2),$D155 &amp; ";","")</f>
        <v/>
      </c>
      <c r="CV155" s="58">
        <f>IF(AND($H155="threat",$BW155=0.1,$BV155=0.4),$D155 &amp; ";","")</f>
        <v/>
      </c>
      <c r="CW155" s="58">
        <f>IF(AND($H155="threat",$BW155=0.1,$BV155=0.8),$D155 &amp; ";","")</f>
        <v/>
      </c>
      <c r="CX155" s="39" t="n"/>
      <c r="CY155" s="58">
        <f>IF(AND($H155="opportunity",$BW155=0.9,$BV155=0.8),$D155 &amp; ";","")</f>
        <v/>
      </c>
      <c r="CZ155" s="58">
        <f>IF(AND($H155="opportunity",$BW155=0.9,$BV155=0.4),$D155 &amp; ";","")</f>
        <v/>
      </c>
      <c r="DA155" s="58">
        <f>IF(AND($H155="opportunity",$BW155=0.9,$BV155=0.2),$D155 &amp; ";","")</f>
        <v/>
      </c>
      <c r="DB155" s="58">
        <f>IF(AND($H155="opportunity",$BW155=0.9,$BV155=0.1),$D155 &amp; ";","")</f>
        <v/>
      </c>
      <c r="DC155" s="58">
        <f>IF(AND($H155="opportunity",$BW155=0.9,$BV155=0.05),$D155 &amp; ";","")</f>
        <v/>
      </c>
      <c r="DD155" s="58">
        <f>IF(AND($H155="opportunity",$BW155=0.7,$BV155=0.8),$D155 &amp; ";","")</f>
        <v/>
      </c>
      <c r="DE155" s="58">
        <f>IF(AND($H155="opportunity",$BW155=0.7,$BV155=0.4),$D155 &amp; ";","")</f>
        <v/>
      </c>
      <c r="DF155" s="58">
        <f>IF(AND($H155="opportunity",$BW155=0.7,$BV155=0.2),$D155 &amp; ";","")</f>
        <v/>
      </c>
      <c r="DG155" s="58">
        <f>IF(AND($H155="opportunity",$BW155=0.7,$BV155=0.1),$D155 &amp; ";","")</f>
        <v/>
      </c>
      <c r="DH155" s="58">
        <f>IF(AND($H155="opportunity",$BW155=0.7,$BV155=0.05),$D155 &amp; ";","")</f>
        <v/>
      </c>
      <c r="DI155" s="58">
        <f>IF(AND($H155="opportunity",$BW155=0.5,$BV155=0.8),$D155 &amp; ";","")</f>
        <v/>
      </c>
      <c r="DJ155" s="58">
        <f>IF(AND($H155="opportunity",$BW155=0.5,$BV155=0.4),$D155 &amp; ";","")</f>
        <v/>
      </c>
      <c r="DK155" s="58">
        <f>IF(AND($H155="opportunity",$BW155=0.5,$BV155=0.2),$D155 &amp; ";","")</f>
        <v/>
      </c>
      <c r="DL155" s="58">
        <f>IF(AND($H155="opportunity",$BW155=0.5,$BV155=0.1),$D155 &amp; ";","")</f>
        <v/>
      </c>
      <c r="DM155" s="58">
        <f>IF(AND($H155="opportunity",$BW155=0.5,$BV155=0.05),$D155 &amp; ";","")</f>
        <v/>
      </c>
      <c r="DN155" s="58">
        <f>IF(AND($H155="opportunity",$BW155=0.3,$BV155=0.8),$D155 &amp; ";","")</f>
        <v/>
      </c>
      <c r="DO155" s="58">
        <f>IF(AND($H155="opportunity",$BW155=0.3,$BV155=0.4),$D155 &amp; ";","")</f>
        <v/>
      </c>
      <c r="DP155" s="58">
        <f>IF(AND($H155="opportunity",$BW155=0.3,$BV155=0.2),$D155 &amp; ";","")</f>
        <v/>
      </c>
      <c r="DQ155" s="58">
        <f>IF(AND($H155="opportunity",$BW155=0.3,$BV155=0.1),$D155 &amp; ";","")</f>
        <v/>
      </c>
      <c r="DR155" s="58">
        <f>IF(AND($H155="opportunity",$BW155=0.3,$BV155=0.05),$D155 &amp; ";","")</f>
        <v/>
      </c>
      <c r="DS155" s="58">
        <f>IF(AND($H155="opportunity",$BW155=0.1,$BV155=0.8),$D155 &amp; ";","")</f>
        <v/>
      </c>
      <c r="DT155" s="58">
        <f>IF(AND($H155="opportunity",$BW155=0.1,$BV155=0.4),$D155 &amp; ";","")</f>
        <v/>
      </c>
      <c r="DU155" s="58">
        <f>IF(AND($H155="opportunity",$BW155=0.1,$BV155=0.2),$D155 &amp; ";","")</f>
        <v/>
      </c>
      <c r="DV155" s="58">
        <f>IF(AND($H155="opportunity",$BW155=0.1,$BV155=0.1),$D155 &amp; ";","")</f>
        <v/>
      </c>
      <c r="DW155" s="58">
        <f>IF(AND($H155="opportunity",$BW155=0.1,$BV155=0.05),$D155 &amp; ";","")</f>
        <v/>
      </c>
    </row>
    <row r="156" ht="12.75" customHeight="1">
      <c r="D156" s="60">
        <f>INDIRECT(ADDRESS(ROW()-22,COLUMN()-2,1,1,"Risk Register"))</f>
        <v/>
      </c>
      <c r="E156" s="143">
        <f>INDIRECT(ADDRESS(ROW()-22,COLUMN()-1,1,1,"Risk Register"))</f>
        <v/>
      </c>
      <c r="G156" s="56">
        <f>INDIRECT(ADDRESS(ROW()-22,COLUMN()+10,1,1,"Risk Register"))</f>
        <v/>
      </c>
      <c r="H156" s="60">
        <f>INDIRECT(ADDRESS(ROW()-22,COLUMN()+8,1,1,"Risk Register"))</f>
        <v/>
      </c>
      <c r="I156" s="54">
        <f>INDIRECT(ADDRESS(ROW()-22,COLUMN()+3,1,1,"Risk Register"))</f>
        <v/>
      </c>
      <c r="J156" s="143">
        <f>INDIRECT(ADDRESS(ROW()-22,COLUMN()+12,1,1,"Risk Register"))</f>
        <v/>
      </c>
      <c r="K156" s="143">
        <f>INDIRECT(ADDRESS(ROW()-22,COLUMN()-2,1,1,"Risk Register"))</f>
        <v/>
      </c>
      <c r="L156" s="176">
        <f>INDIRECT(ADDRESS(ROW()-22,COLUMN()+15,1,1,"Risk Register"))</f>
        <v/>
      </c>
      <c r="M156" s="54">
        <f>INDIRECT(ADDRESS(ROW()-22,COLUMN()+13,1,1,"Risk Register"))</f>
        <v/>
      </c>
      <c r="N156" s="143">
        <f>INDIRECT(ADDRESS(ROW()-22,COLUMN()-9,1,1,"Risk Register"))</f>
        <v/>
      </c>
      <c r="O156" s="143">
        <f>INDIRECT(ADDRESS(ROW()-22,COLUMN()-8,1,1,"Risk Register"))</f>
        <v/>
      </c>
      <c r="P156" s="56">
        <f>INDIRECT(ADDRESS(ROW()-22,COLUMN()+18,1,1,"Risk Register"))</f>
        <v/>
      </c>
      <c r="R156" s="57">
        <f>INDIRECT(ADDRESS(ROW()-22,COLUMN()-5,1,1,"Risk Register"))</f>
        <v/>
      </c>
      <c r="S156" s="58">
        <f>INDIRECT(ADDRESS(ROW()-22,COLUMN()-4,1,1,"Risk Register"))</f>
        <v/>
      </c>
      <c r="T156" s="59">
        <f>IF(AND($H156="threat",$G156&lt;=0.05),"gn",IF(AND($H156="threat",$G156&lt;=0.14),"y",IF(AND($H156="threat", $G156&gt;=0.15),"r",IF(AND($H156="opportunity",$G156&lt;=0.05),"gn",IF(AND($H156="opportunity",$G156&lt;=0.14),"lb",IF(AND($H156="opportunity",$G156&gt;=0.15),"db","z"))))))</f>
        <v/>
      </c>
      <c r="U156" s="58">
        <f>IF(AND($H156="threat",$S156=0.9,$R156=0.05),$D156 &amp; ";","")</f>
        <v/>
      </c>
      <c r="V156" s="58">
        <f>IF(AND($H156="threat",$S156=0.9,$R156=0.1),$D156 &amp; ";","")</f>
        <v/>
      </c>
      <c r="W156" s="58">
        <f>IF(AND($H156="threat",$S156=0.9,$R156=0.2),$D156 &amp; ";","")</f>
        <v/>
      </c>
      <c r="X156" s="58">
        <f>IF(AND($H156="threat",$S156=0.9,$R156=0.4),$D156 &amp; ";","")</f>
        <v/>
      </c>
      <c r="Y156" s="58">
        <f>IF(AND($H156="threat",$S156=0.9,$R156=0.8),$D156 &amp; ";","")</f>
        <v/>
      </c>
      <c r="Z156" s="58">
        <f>IF(AND($H156="threat",$S156=0.7,$R156=0.05),$D156 &amp; ";","")</f>
        <v/>
      </c>
      <c r="AA156" s="58">
        <f>IF(AND($H156="threat",$S156=0.7,$R156=0.1),$D156 &amp; ";","")</f>
        <v/>
      </c>
      <c r="AB156" s="58">
        <f>IF(AND($H156="threat",$S156=0.7,$R156=0.2),$D156 &amp; ";","")</f>
        <v/>
      </c>
      <c r="AC156" s="58">
        <f>IF(AND($H156="threat",$S156=0.7,$R156=0.4),$D156 &amp; ";","")</f>
        <v/>
      </c>
      <c r="AD156" s="58">
        <f>IF(AND($H156="threat",$S156=0.7,$R156=0.8),$D156 &amp; ";","")</f>
        <v/>
      </c>
      <c r="AE156" s="58">
        <f>IF(AND($H156="threat",$S156=0.5,$R156=0.05),$D156 &amp; ";","")</f>
        <v/>
      </c>
      <c r="AF156" s="58">
        <f>IF(AND($H156="threat",$S156=0.5,$R156=0.1),$D156 &amp; ";","")</f>
        <v/>
      </c>
      <c r="AG156" s="58">
        <f>IF(AND($H156="threat",$S156=0.5,$R156=0.2),$D156 &amp; ";","")</f>
        <v/>
      </c>
      <c r="AH156" s="58">
        <f>IF(AND($H156="threat",$S156=0.5,$R156=0.4),$D156 &amp; ";","")</f>
        <v/>
      </c>
      <c r="AI156" s="58">
        <f>IF(AND($H156="threat",$S156=0.5,$R156=0.8),$D156 &amp; ";","")</f>
        <v/>
      </c>
      <c r="AJ156" s="58">
        <f>IF(AND($H156="threat",$S156=0.3,$R156=0.05),$D156 &amp; ";","")</f>
        <v/>
      </c>
      <c r="AK156" s="58">
        <f>IF(AND($H156="threat",$S156=0.3,$R156=0.1),$D156 &amp; ";","")</f>
        <v/>
      </c>
      <c r="AL156" s="58">
        <f>IF(AND($H156="threat",$S156=0.3,$R156=0.2),$D156 &amp; ";","")</f>
        <v/>
      </c>
      <c r="AM156" s="58">
        <f>IF(AND($H156="threat",$S156=0.3,$R156=0.4),$D156 &amp; ";","")</f>
        <v/>
      </c>
      <c r="AN156" s="58">
        <f>IF(AND($H156="threat",$S156=0.3,$R156=0.8),$D156 &amp; ";","")</f>
        <v/>
      </c>
      <c r="AO156" s="58">
        <f>IF(AND($H156="threat",$S156=0.1,$R156=0.05),$D156 &amp; ";","")</f>
        <v/>
      </c>
      <c r="AP156" s="58">
        <f>IF(AND($H156="threat",$S156=0.1,$R156=0.1),$D156 &amp; ";","")</f>
        <v/>
      </c>
      <c r="AQ156" s="58">
        <f>IF(AND($H156="threat",$S156=0.1,$R156=0.2),$D156 &amp; ";","")</f>
        <v/>
      </c>
      <c r="AR156" s="58">
        <f>IF(AND($H156="threat",$S156=0.1,$R156=0.4),$D156 &amp; ";","")</f>
        <v/>
      </c>
      <c r="AS156" s="58">
        <f>IF(AND($H156="threat",$S156=0.1,$R156=0.8),$D156 &amp; ";","")</f>
        <v/>
      </c>
      <c r="AT156" s="39" t="n"/>
      <c r="AU156" s="58">
        <f>IF(AND($H156="opportunity",$S156=0.9,$R156=0.8),$D156 &amp; ";","")</f>
        <v/>
      </c>
      <c r="AV156" s="58">
        <f>IF(AND($H156="opportunity",$S156=0.9,$R156=0.4),$D156 &amp; ";","")</f>
        <v/>
      </c>
      <c r="AW156" s="58">
        <f>IF(AND($H156="opportunity",$S156=0.9,$R156=0.2),$D156 &amp; ";","")</f>
        <v/>
      </c>
      <c r="AX156" s="58">
        <f>IF(AND($H156="opportunity",$S156=0.9,$R156=0.1),$D156 &amp; ";","")</f>
        <v/>
      </c>
      <c r="AY156" s="58">
        <f>IF(AND($H156="opportunity",$S156=0.9,$R156=0.05),$D156 &amp; ";","")</f>
        <v/>
      </c>
      <c r="AZ156" s="58">
        <f>IF(AND($H156="opportunity",$S156=0.7,$R156=0.8),$D156 &amp; ";","")</f>
        <v/>
      </c>
      <c r="BA156" s="58">
        <f>IF(AND($H156="opportunity",$S156=0.7,$R156=0.4),$D156 &amp; ";","")</f>
        <v/>
      </c>
      <c r="BB156" s="58">
        <f>IF(AND($H156="opportunity",$S156=0.7,$R156=0.2),$D156 &amp; ";","")</f>
        <v/>
      </c>
      <c r="BC156" s="58">
        <f>IF(AND($H156="opportunity",$S156=0.7,$R156=0.1),$D156 &amp; ";","")</f>
        <v/>
      </c>
      <c r="BD156" s="58">
        <f>IF(AND($H156="opportunity",$S156=0.7,$R156=0.05),$D156 &amp; ";","")</f>
        <v/>
      </c>
      <c r="BE156" s="58">
        <f>IF(AND($H156="opportunity",$S156=0.5,$R156=0.8),$D156 &amp; ";","")</f>
        <v/>
      </c>
      <c r="BF156" s="58">
        <f>IF(AND($H156="opportunity",$S156=0.5,$R156=0.4),$D156 &amp; ";","")</f>
        <v/>
      </c>
      <c r="BG156" s="58">
        <f>IF(AND($H156="opportunity",$S156=0.5,$R156=0.2),$D156 &amp; ";","")</f>
        <v/>
      </c>
      <c r="BH156" s="58">
        <f>IF(AND($H156="opportunity",$S156=0.5,$R156=0.1),$D156 &amp; ";","")</f>
        <v/>
      </c>
      <c r="BI156" s="58">
        <f>IF(AND($H156="opportunity",$S156=0.5,$R156=0.05),$D156 &amp; ";","")</f>
        <v/>
      </c>
      <c r="BJ156" s="58">
        <f>IF(AND($H156="opportunity",$S156=0.3,$R156=0.8),$D156 &amp; ";","")</f>
        <v/>
      </c>
      <c r="BK156" s="58">
        <f>IF(AND($H156="opportunity",$S156=0.3,$R156=0.4),$D156 &amp; ";","")</f>
        <v/>
      </c>
      <c r="BL156" s="58">
        <f>IF(AND($H156="opportunity",$S156=0.3,$R156=0.2),$D156 &amp; ";","")</f>
        <v/>
      </c>
      <c r="BM156" s="58">
        <f>IF(AND($H156="opportunity",$S156=0.3,$R156=0.1),$D156 &amp; ";","")</f>
        <v/>
      </c>
      <c r="BN156" s="58">
        <f>IF(AND($H156="opportunity",$S156=0.3,$R156=0.05),$D156 &amp; ";","")</f>
        <v/>
      </c>
      <c r="BO156" s="58">
        <f>IF(AND($H156="opportunity",$S156=0.1,$R156=0.8),$D156 &amp; ";","")</f>
        <v/>
      </c>
      <c r="BP156" s="58">
        <f>IF(AND($H156="opportunity",$S156=0.1,$R156=0.4),$D156 &amp; ";","")</f>
        <v/>
      </c>
      <c r="BQ156" s="58">
        <f>IF(AND($H156="opportunity",$S156=0.1,$R156=0.2),$D156 &amp; ";","")</f>
        <v/>
      </c>
      <c r="BR156" s="58">
        <f>IF(AND($H156="opportunity",$S156=0.1,$R156=0.1),$D156 &amp; ";","")</f>
        <v/>
      </c>
      <c r="BS156" s="58">
        <f>IF(AND($H156="opportunity",$S156=0.1,$R156=0.05),$D156 &amp; ";","")</f>
        <v/>
      </c>
      <c r="BV156" s="57">
        <f>INDIRECT(ADDRESS(ROW()-22,COLUMN()-45,1,1,"Risk Register"))</f>
        <v/>
      </c>
      <c r="BW156" s="58">
        <f>INDIRECT(ADDRESS(ROW()-22,COLUMN()-44,1,1,"Risk Register"))</f>
        <v/>
      </c>
      <c r="BX156" s="59">
        <f>IF(AND($H156="threat",$P156&lt;=0.05),"gn",IF(AND($H156="threat",$P156&lt;=0.14),"y",IF(AND($H156="threat", $P156&gt;=0.15),"r",IF(AND($H156="opportunity",$P156&lt;=0.05),"gn",IF(AND($H156="opportunity",$P156&lt;=0.14),"lb",IF(AND($H156="opportunity",$P156&gt;=0.15),"db","z"))))))</f>
        <v/>
      </c>
      <c r="BY156" s="58">
        <f>IF(AND($H156="threat",$BW156=0.9,$BV156=0.05),$D156 &amp; ";","")</f>
        <v/>
      </c>
      <c r="BZ156" s="58">
        <f>IF(AND($H156="threat",$BW156=0.9,$BV156=0.1),$D156 &amp; ";","")</f>
        <v/>
      </c>
      <c r="CA156" s="58">
        <f>IF(AND($H156="threat",$BW156=0.9,$BV156=0.2),$D156 &amp; ";","")</f>
        <v/>
      </c>
      <c r="CB156" s="58">
        <f>IF(AND($H156="threat",$BW156=0.9,$BV156=0.4),$D156 &amp; ";","")</f>
        <v/>
      </c>
      <c r="CC156" s="58">
        <f>IF(AND($H156="threat",$BW156=0.9,$BV156=0.8),$D156 &amp; ";","")</f>
        <v/>
      </c>
      <c r="CD156" s="58">
        <f>IF(AND($H156="threat",$BW156=0.7,$BV156=0.05),$D156 &amp; ";","")</f>
        <v/>
      </c>
      <c r="CE156" s="58">
        <f>IF(AND($H156="threat",$BW156=0.7,$BV156=0.1),$D156 &amp; ";","")</f>
        <v/>
      </c>
      <c r="CF156" s="58">
        <f>IF(AND($H156="threat",$BW156=0.7,$BV156=0.2),$D156 &amp; ";","")</f>
        <v/>
      </c>
      <c r="CG156" s="58">
        <f>IF(AND($H156="threat",$BW156=0.7,$BV156=0.4),$D156 &amp; ";","")</f>
        <v/>
      </c>
      <c r="CH156" s="58">
        <f>IF(AND($H156="threat",$BW156=0.7,$BV156=0.8),$D156 &amp; ";","")</f>
        <v/>
      </c>
      <c r="CI156" s="58">
        <f>IF(AND($H156="threat",$BW156=0.5,$BV156=0.05),$D156 &amp; ";","")</f>
        <v/>
      </c>
      <c r="CJ156" s="58">
        <f>IF(AND($H156="threat",$BW156=0.5,$BV156=0.1),$D156 &amp; ";","")</f>
        <v/>
      </c>
      <c r="CK156" s="58">
        <f>IF(AND($H156="threat",$BW156=0.5,$BV156=0.2),$D156 &amp; ";","")</f>
        <v/>
      </c>
      <c r="CL156" s="58">
        <f>IF(AND($H156="threat",$BW156=0.5,$BV156=0.4),$D156 &amp; ";","")</f>
        <v/>
      </c>
      <c r="CM156" s="58">
        <f>IF(AND($H156="threat",$BW156=0.5,$BV156=0.8),$D156 &amp; ";","")</f>
        <v/>
      </c>
      <c r="CN156" s="58">
        <f>IF(AND($H156="threat",$BW156=0.3,$BV156=0.05),$D156 &amp; ";","")</f>
        <v/>
      </c>
      <c r="CO156" s="58">
        <f>IF(AND($H156="threat",$BW156=0.3,$BV156=0.1),$D156 &amp; ";","")</f>
        <v/>
      </c>
      <c r="CP156" s="58">
        <f>IF(AND($H156="threat",$BW156=0.3,$BV156=0.2),$D156 &amp; ";","")</f>
        <v/>
      </c>
      <c r="CQ156" s="58">
        <f>IF(AND($H156="threat",$BW156=0.3,$BV156=0.4),$D156 &amp; ";","")</f>
        <v/>
      </c>
      <c r="CR156" s="58">
        <f>IF(AND($H156="threat",$BW156=0.3,$BV156=0.8),$D156 &amp; ";","")</f>
        <v/>
      </c>
      <c r="CS156" s="58">
        <f>IF(AND($H156="threat",$BW156=0.1,$BV156=0.05),$D156 &amp; ";","")</f>
        <v/>
      </c>
      <c r="CT156" s="58">
        <f>IF(AND($H156="threat",$BW156=0.1,$BV156=0.1),$D156 &amp; ";","")</f>
        <v/>
      </c>
      <c r="CU156" s="58">
        <f>IF(AND($H156="threat",$BW156=0.1,$BV156=0.2),$D156 &amp; ";","")</f>
        <v/>
      </c>
      <c r="CV156" s="58">
        <f>IF(AND($H156="threat",$BW156=0.1,$BV156=0.4),$D156 &amp; ";","")</f>
        <v/>
      </c>
      <c r="CW156" s="58">
        <f>IF(AND($H156="threat",$BW156=0.1,$BV156=0.8),$D156 &amp; ";","")</f>
        <v/>
      </c>
      <c r="CX156" s="39" t="n"/>
      <c r="CY156" s="58">
        <f>IF(AND($H156="opportunity",$BW156=0.9,$BV156=0.8),$D156 &amp; ";","")</f>
        <v/>
      </c>
      <c r="CZ156" s="58">
        <f>IF(AND($H156="opportunity",$BW156=0.9,$BV156=0.4),$D156 &amp; ";","")</f>
        <v/>
      </c>
      <c r="DA156" s="58">
        <f>IF(AND($H156="opportunity",$BW156=0.9,$BV156=0.2),$D156 &amp; ";","")</f>
        <v/>
      </c>
      <c r="DB156" s="58">
        <f>IF(AND($H156="opportunity",$BW156=0.9,$BV156=0.1),$D156 &amp; ";","")</f>
        <v/>
      </c>
      <c r="DC156" s="58">
        <f>IF(AND($H156="opportunity",$BW156=0.9,$BV156=0.05),$D156 &amp; ";","")</f>
        <v/>
      </c>
      <c r="DD156" s="58">
        <f>IF(AND($H156="opportunity",$BW156=0.7,$BV156=0.8),$D156 &amp; ";","")</f>
        <v/>
      </c>
      <c r="DE156" s="58">
        <f>IF(AND($H156="opportunity",$BW156=0.7,$BV156=0.4),$D156 &amp; ";","")</f>
        <v/>
      </c>
      <c r="DF156" s="58">
        <f>IF(AND($H156="opportunity",$BW156=0.7,$BV156=0.2),$D156 &amp; ";","")</f>
        <v/>
      </c>
      <c r="DG156" s="58">
        <f>IF(AND($H156="opportunity",$BW156=0.7,$BV156=0.1),$D156 &amp; ";","")</f>
        <v/>
      </c>
      <c r="DH156" s="58">
        <f>IF(AND($H156="opportunity",$BW156=0.7,$BV156=0.05),$D156 &amp; ";","")</f>
        <v/>
      </c>
      <c r="DI156" s="58">
        <f>IF(AND($H156="opportunity",$BW156=0.5,$BV156=0.8),$D156 &amp; ";","")</f>
        <v/>
      </c>
      <c r="DJ156" s="58">
        <f>IF(AND($H156="opportunity",$BW156=0.5,$BV156=0.4),$D156 &amp; ";","")</f>
        <v/>
      </c>
      <c r="DK156" s="58">
        <f>IF(AND($H156="opportunity",$BW156=0.5,$BV156=0.2),$D156 &amp; ";","")</f>
        <v/>
      </c>
      <c r="DL156" s="58">
        <f>IF(AND($H156="opportunity",$BW156=0.5,$BV156=0.1),$D156 &amp; ";","")</f>
        <v/>
      </c>
      <c r="DM156" s="58">
        <f>IF(AND($H156="opportunity",$BW156=0.5,$BV156=0.05),$D156 &amp; ";","")</f>
        <v/>
      </c>
      <c r="DN156" s="58">
        <f>IF(AND($H156="opportunity",$BW156=0.3,$BV156=0.8),$D156 &amp; ";","")</f>
        <v/>
      </c>
      <c r="DO156" s="58">
        <f>IF(AND($H156="opportunity",$BW156=0.3,$BV156=0.4),$D156 &amp; ";","")</f>
        <v/>
      </c>
      <c r="DP156" s="58">
        <f>IF(AND($H156="opportunity",$BW156=0.3,$BV156=0.2),$D156 &amp; ";","")</f>
        <v/>
      </c>
      <c r="DQ156" s="58">
        <f>IF(AND($H156="opportunity",$BW156=0.3,$BV156=0.1),$D156 &amp; ";","")</f>
        <v/>
      </c>
      <c r="DR156" s="58">
        <f>IF(AND($H156="opportunity",$BW156=0.3,$BV156=0.05),$D156 &amp; ";","")</f>
        <v/>
      </c>
      <c r="DS156" s="58">
        <f>IF(AND($H156="opportunity",$BW156=0.1,$BV156=0.8),$D156 &amp; ";","")</f>
        <v/>
      </c>
      <c r="DT156" s="58">
        <f>IF(AND($H156="opportunity",$BW156=0.1,$BV156=0.4),$D156 &amp; ";","")</f>
        <v/>
      </c>
      <c r="DU156" s="58">
        <f>IF(AND($H156="opportunity",$BW156=0.1,$BV156=0.2),$D156 &amp; ";","")</f>
        <v/>
      </c>
      <c r="DV156" s="58">
        <f>IF(AND($H156="opportunity",$BW156=0.1,$BV156=0.1),$D156 &amp; ";","")</f>
        <v/>
      </c>
      <c r="DW156" s="58">
        <f>IF(AND($H156="opportunity",$BW156=0.1,$BV156=0.05),$D156 &amp; ";","")</f>
        <v/>
      </c>
    </row>
    <row r="157" ht="16.2" customHeight="1" thickBot="1">
      <c r="A157" s="61" t="n"/>
      <c r="B157" s="61" t="n"/>
      <c r="C157" s="61" t="n"/>
      <c r="D157" s="62" t="n"/>
      <c r="E157" s="62" t="n"/>
      <c r="F157" s="91" t="n"/>
      <c r="G157" s="56">
        <f>INDIRECT(ADDRESS(ROW()-22,COLUMN()+9,1,1,"Risk Register"))</f>
        <v/>
      </c>
      <c r="H157" s="60">
        <f>INDIRECT(ADDRESS(ROW()-22,COLUMN()+8,1,1,"Risk Register"))</f>
        <v/>
      </c>
      <c r="I157" s="92">
        <f>INDIRECT(ADDRESS(ROW()-22,COLUMN()+9,1,1,"Risk Register"))</f>
        <v/>
      </c>
      <c r="J157" s="64">
        <f>INDIRECT(ADDRESS(ROW()-22,COLUMN()+10,1,1,"Risk Register"))</f>
        <v/>
      </c>
      <c r="K157" s="64">
        <f>INDIRECT(ADDRESS(ROW()-22,COLUMN()-4,1,1,"Risk Register"))</f>
        <v/>
      </c>
      <c r="L157" s="177">
        <f>INDIRECT(ADDRESS(ROW()-22,COLUMN()+13,1,1,"Risk Register"))</f>
        <v/>
      </c>
      <c r="M157" s="65">
        <f>INDIRECT(ADDRESS(ROW()-22,COLUMN()+11,1,1,"Risk Register"))</f>
        <v/>
      </c>
      <c r="N157" s="62" t="n"/>
      <c r="O157" s="62" t="n"/>
      <c r="P157" s="63">
        <f>INDIRECT(ADDRESS(ROW()-22,COLUMN()+12,1,1,"Risk Register"))</f>
        <v/>
      </c>
      <c r="Q157" s="61" t="n"/>
      <c r="R157" s="67">
        <f>INDIRECT(ADDRESS(ROW()-22,COLUMN()-6,1,1,"Risk Register"))</f>
        <v/>
      </c>
      <c r="S157" s="68">
        <f>INDIRECT(ADDRESS(ROW()-22,COLUMN()-5,1,1,"Risk Register"))</f>
        <v/>
      </c>
      <c r="T157" s="69" t="n"/>
      <c r="U157" s="61" t="n"/>
      <c r="V157" s="61" t="n"/>
      <c r="W157" s="61" t="n"/>
      <c r="X157" s="61" t="n"/>
      <c r="Y157" s="61" t="n"/>
      <c r="Z157" s="61" t="n"/>
      <c r="AA157" s="61" t="n"/>
      <c r="AB157" s="61" t="n"/>
      <c r="AC157" s="61" t="n"/>
      <c r="AD157" s="61" t="n"/>
      <c r="AE157" s="61" t="n"/>
      <c r="AF157" s="61" t="n"/>
      <c r="AG157" s="61" t="n"/>
      <c r="AH157" s="61" t="n"/>
      <c r="AI157" s="61" t="n"/>
      <c r="AJ157" s="61" t="n"/>
      <c r="AK157" s="61" t="n"/>
      <c r="AL157" s="61" t="n"/>
      <c r="AM157" s="61" t="n"/>
      <c r="AN157" s="61" t="n"/>
      <c r="AO157" s="61" t="n"/>
      <c r="AP157" s="61" t="n"/>
      <c r="AQ157" s="61" t="n"/>
      <c r="AR157" s="61" t="n"/>
      <c r="AS157" s="61" t="n"/>
      <c r="AT157" s="61" t="n"/>
      <c r="AU157" s="61" t="n"/>
      <c r="AV157" s="61" t="n"/>
      <c r="AW157" s="61" t="n"/>
      <c r="AX157" s="61" t="n"/>
      <c r="AY157" s="61" t="n"/>
      <c r="AZ157" s="61" t="n"/>
      <c r="BA157" s="61" t="n"/>
      <c r="BB157" s="61" t="n"/>
      <c r="BC157" s="61" t="n"/>
      <c r="BD157" s="61" t="n"/>
      <c r="BE157" s="61" t="n"/>
      <c r="BF157" s="61" t="n"/>
      <c r="BG157" s="61" t="n"/>
      <c r="BH157" s="61" t="n"/>
      <c r="BI157" s="61" t="n"/>
      <c r="BJ157" s="61" t="n"/>
      <c r="BK157" s="61" t="n"/>
      <c r="BL157" s="61" t="n"/>
      <c r="BM157" s="61" t="n"/>
      <c r="BN157" s="61" t="n"/>
      <c r="BO157" s="61" t="n"/>
      <c r="BP157" s="61" t="n"/>
      <c r="BQ157" s="61" t="n"/>
      <c r="BR157" s="61" t="n"/>
      <c r="BS157" s="61" t="n"/>
      <c r="BT157" s="61" t="n"/>
      <c r="BU157" s="61" t="n"/>
      <c r="BV157" s="57">
        <f>INDIRECT(ADDRESS(ROW()-22,COLUMN()-47,1,1,"Risk Register"))</f>
        <v/>
      </c>
      <c r="BW157" s="58">
        <f>INDIRECT(ADDRESS(ROW()-22,COLUMN()-46,1,1,"Risk Register"))</f>
        <v/>
      </c>
      <c r="BX157" s="69" t="n"/>
      <c r="BY157" s="61" t="n"/>
      <c r="BZ157" s="61" t="n"/>
      <c r="CA157" s="61" t="n"/>
      <c r="CB157" s="61" t="n"/>
      <c r="CC157" s="61" t="n"/>
      <c r="CD157" s="61" t="n"/>
      <c r="CE157" s="61" t="n"/>
      <c r="CF157" s="61" t="n"/>
      <c r="CG157" s="61" t="n"/>
      <c r="CH157" s="61" t="n"/>
      <c r="CI157" s="61" t="n"/>
      <c r="CJ157" s="61" t="n"/>
      <c r="CK157" s="61" t="n"/>
      <c r="CL157" s="61" t="n"/>
      <c r="CM157" s="61" t="n"/>
      <c r="CN157" s="61" t="n"/>
      <c r="CO157" s="61" t="n"/>
      <c r="CP157" s="61" t="n"/>
      <c r="CQ157" s="61" t="n"/>
      <c r="CR157" s="61" t="n"/>
      <c r="CS157" s="61" t="n"/>
      <c r="CT157" s="61" t="n"/>
      <c r="CU157" s="61" t="n"/>
      <c r="CV157" s="61" t="n"/>
      <c r="CW157" s="61" t="n"/>
      <c r="CX157" s="61" t="n"/>
      <c r="CY157" s="61" t="n"/>
      <c r="CZ157" s="61" t="n"/>
      <c r="DA157" s="61" t="n"/>
      <c r="DB157" s="61" t="n"/>
      <c r="DC157" s="61" t="n"/>
      <c r="DD157" s="61" t="n"/>
      <c r="DE157" s="61" t="n"/>
      <c r="DF157" s="61" t="n"/>
      <c r="DG157" s="61" t="n"/>
      <c r="DH157" s="61" t="n"/>
      <c r="DI157" s="61" t="n"/>
      <c r="DJ157" s="61" t="n"/>
      <c r="DK157" s="61" t="n"/>
      <c r="DL157" s="61" t="n"/>
      <c r="DM157" s="61" t="n"/>
      <c r="DN157" s="61" t="n"/>
      <c r="DO157" s="61" t="n"/>
      <c r="DP157" s="61" t="n"/>
      <c r="DQ157" s="61" t="n"/>
      <c r="DR157" s="61" t="n"/>
      <c r="DS157" s="61" t="n"/>
      <c r="DT157" s="61" t="n"/>
      <c r="DU157" s="61" t="n"/>
      <c r="DV157" s="61" t="n"/>
      <c r="DW157" s="61" t="n"/>
      <c r="DX157" s="61" t="n"/>
    </row>
    <row r="158" ht="15.6" customHeight="1">
      <c r="D158" s="70" t="inlineStr">
        <is>
          <t>END OF MATRIX DATA  (max 130 records)</t>
        </is>
      </c>
      <c r="T158" s="151" t="n"/>
      <c r="BX158" s="151" t="n"/>
    </row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>
      <c r="C181" s="22" t="inlineStr">
        <is>
          <t>Impact Values</t>
        </is>
      </c>
      <c r="D181" s="23" t="n"/>
    </row>
    <row r="182">
      <c r="C182" s="24" t="inlineStr">
        <is>
          <t>Very Low</t>
        </is>
      </c>
      <c r="D182" s="28" t="n">
        <v>0.05</v>
      </c>
    </row>
    <row r="183">
      <c r="C183" s="24" t="inlineStr">
        <is>
          <t>Low</t>
        </is>
      </c>
      <c r="D183" s="28" t="n">
        <v>0.1</v>
      </c>
    </row>
    <row r="184">
      <c r="C184" s="24" t="inlineStr">
        <is>
          <t>Moderate</t>
        </is>
      </c>
      <c r="D184" s="28" t="n">
        <v>0.2</v>
      </c>
    </row>
    <row r="185">
      <c r="C185" s="24" t="inlineStr">
        <is>
          <t>High</t>
        </is>
      </c>
      <c r="D185" s="28" t="n">
        <v>0.4</v>
      </c>
    </row>
    <row r="186">
      <c r="C186" s="26" t="inlineStr">
        <is>
          <t>Very High</t>
        </is>
      </c>
      <c r="D186" s="29" t="n">
        <v>0.8</v>
      </c>
    </row>
    <row r="187"/>
    <row r="188">
      <c r="C188" s="22" t="inlineStr">
        <is>
          <t>Probability Values</t>
        </is>
      </c>
      <c r="D188" s="23" t="n"/>
    </row>
    <row r="189">
      <c r="C189" s="24" t="inlineStr">
        <is>
          <t>Very Low</t>
        </is>
      </c>
      <c r="D189" s="28" t="n">
        <v>0.1</v>
      </c>
    </row>
    <row r="190">
      <c r="C190" s="24" t="inlineStr">
        <is>
          <t>Low</t>
        </is>
      </c>
      <c r="D190" s="28" t="n">
        <v>0.3</v>
      </c>
    </row>
    <row r="191">
      <c r="C191" s="24" t="inlineStr">
        <is>
          <t>Moderate</t>
        </is>
      </c>
      <c r="D191" s="28" t="n">
        <v>0.5</v>
      </c>
    </row>
    <row r="192">
      <c r="C192" s="24" t="inlineStr">
        <is>
          <t>High</t>
        </is>
      </c>
      <c r="D192" s="28" t="n">
        <v>0.7</v>
      </c>
    </row>
    <row r="193">
      <c r="C193" s="26" t="inlineStr">
        <is>
          <t>Very High</t>
        </is>
      </c>
      <c r="D193" s="29" t="n">
        <v>0.9</v>
      </c>
    </row>
    <row r="194"/>
    <row r="195">
      <c r="C195" s="22" t="inlineStr">
        <is>
          <t>Green/Yellow/Red Threshold Values</t>
        </is>
      </c>
      <c r="D195" s="30" t="n"/>
    </row>
    <row r="196">
      <c r="C196" s="24" t="inlineStr">
        <is>
          <t>Green - maximum score</t>
        </is>
      </c>
      <c r="D196" s="31" t="n">
        <v>0.05</v>
      </c>
    </row>
    <row r="197">
      <c r="C197" s="24" t="inlineStr">
        <is>
          <t>Yellow - minimum score</t>
        </is>
      </c>
      <c r="D197" s="31" t="n">
        <v>0.06</v>
      </c>
    </row>
    <row r="198">
      <c r="C198" s="24" t="inlineStr">
        <is>
          <t>Yellow - maximum score</t>
        </is>
      </c>
      <c r="D198" s="31" t="n">
        <v>0.14</v>
      </c>
    </row>
    <row r="199">
      <c r="C199" s="26" t="inlineStr">
        <is>
          <t>Red - minimum score</t>
        </is>
      </c>
      <c r="D199" s="32" t="n">
        <v>0.15</v>
      </c>
    </row>
  </sheetData>
  <autoFilter ref="D26:P26">
    <filterColumn colId="1" hiddenButton="0" showButton="0"/>
  </autoFilter>
  <mergeCells count="141">
    <mergeCell ref="E145:F145"/>
    <mergeCell ref="E139:F139"/>
    <mergeCell ref="E62:F62"/>
    <mergeCell ref="D12:M12"/>
    <mergeCell ref="E71:F71"/>
    <mergeCell ref="E129:F129"/>
    <mergeCell ref="E111:F111"/>
    <mergeCell ref="E142:F142"/>
    <mergeCell ref="E64:F64"/>
    <mergeCell ref="E79:F79"/>
    <mergeCell ref="E73:F73"/>
    <mergeCell ref="E131:F131"/>
    <mergeCell ref="E51:F51"/>
    <mergeCell ref="E87:F87"/>
    <mergeCell ref="E156:F156"/>
    <mergeCell ref="E153:F153"/>
    <mergeCell ref="E63:F63"/>
    <mergeCell ref="E128:F128"/>
    <mergeCell ref="E155:F155"/>
    <mergeCell ref="E137:F137"/>
    <mergeCell ref="E65:F65"/>
    <mergeCell ref="E34:F34"/>
    <mergeCell ref="E148:F148"/>
    <mergeCell ref="E105:F105"/>
    <mergeCell ref="E99:F99"/>
    <mergeCell ref="E49:F49"/>
    <mergeCell ref="E27:F27"/>
    <mergeCell ref="E36:F36"/>
    <mergeCell ref="E119:F119"/>
    <mergeCell ref="E101:F101"/>
    <mergeCell ref="E116:F116"/>
    <mergeCell ref="I17:M17"/>
    <mergeCell ref="E113:F113"/>
    <mergeCell ref="E91:F91"/>
    <mergeCell ref="E85:F85"/>
    <mergeCell ref="E100:F100"/>
    <mergeCell ref="E136:F136"/>
    <mergeCell ref="E75:F75"/>
    <mergeCell ref="E53:F53"/>
    <mergeCell ref="E115:F115"/>
    <mergeCell ref="E93:F93"/>
    <mergeCell ref="E146:F146"/>
    <mergeCell ref="E102:F102"/>
    <mergeCell ref="E117:F117"/>
    <mergeCell ref="E55:F55"/>
    <mergeCell ref="E122:F122"/>
    <mergeCell ref="D3:M3"/>
    <mergeCell ref="E67:F67"/>
    <mergeCell ref="E127:F127"/>
    <mergeCell ref="E48:F48"/>
    <mergeCell ref="E38:F38"/>
    <mergeCell ref="E147:F147"/>
    <mergeCell ref="E40:F40"/>
    <mergeCell ref="D17:H17"/>
    <mergeCell ref="E90:F90"/>
    <mergeCell ref="E104:F104"/>
    <mergeCell ref="E26:F26"/>
    <mergeCell ref="E110:F110"/>
    <mergeCell ref="E154:F154"/>
    <mergeCell ref="E124:F124"/>
    <mergeCell ref="E120:F120"/>
    <mergeCell ref="E76:F76"/>
    <mergeCell ref="D5:H5"/>
    <mergeCell ref="E66:F66"/>
    <mergeCell ref="E58:F58"/>
    <mergeCell ref="E50:F50"/>
    <mergeCell ref="E121:F121"/>
    <mergeCell ref="E130:F130"/>
    <mergeCell ref="E68:F68"/>
    <mergeCell ref="E151:F151"/>
    <mergeCell ref="E52:F52"/>
    <mergeCell ref="E83:F83"/>
    <mergeCell ref="E123:F123"/>
    <mergeCell ref="E135:F135"/>
    <mergeCell ref="E92:F92"/>
    <mergeCell ref="E141:F141"/>
    <mergeCell ref="E39:F39"/>
    <mergeCell ref="E132:F132"/>
    <mergeCell ref="E150:F150"/>
    <mergeCell ref="E44:F44"/>
    <mergeCell ref="E107:F107"/>
    <mergeCell ref="E29:F29"/>
    <mergeCell ref="E143:F143"/>
    <mergeCell ref="E94:F94"/>
    <mergeCell ref="E103:F103"/>
    <mergeCell ref="E152:F152"/>
    <mergeCell ref="E69:F69"/>
    <mergeCell ref="E84:F84"/>
    <mergeCell ref="E78:F78"/>
    <mergeCell ref="E118:F118"/>
    <mergeCell ref="E31:F31"/>
    <mergeCell ref="E149:F149"/>
    <mergeCell ref="E114:F114"/>
    <mergeCell ref="E59:F59"/>
    <mergeCell ref="E77:F77"/>
    <mergeCell ref="E133:F133"/>
    <mergeCell ref="E46:F46"/>
    <mergeCell ref="E108:F108"/>
    <mergeCell ref="E86:F86"/>
    <mergeCell ref="E80:F80"/>
    <mergeCell ref="E95:F95"/>
    <mergeCell ref="E89:F89"/>
    <mergeCell ref="E61:F61"/>
    <mergeCell ref="I5:M5"/>
    <mergeCell ref="E70:F70"/>
    <mergeCell ref="E144:F144"/>
    <mergeCell ref="E57:F57"/>
    <mergeCell ref="E54:F54"/>
    <mergeCell ref="E32:F32"/>
    <mergeCell ref="E125:F125"/>
    <mergeCell ref="E72:F72"/>
    <mergeCell ref="E41:F41"/>
    <mergeCell ref="E134:F134"/>
    <mergeCell ref="B17:B23"/>
    <mergeCell ref="E81:F81"/>
    <mergeCell ref="E112:F112"/>
    <mergeCell ref="E96:F96"/>
    <mergeCell ref="E56:F56"/>
    <mergeCell ref="E43:F43"/>
    <mergeCell ref="E106:F106"/>
    <mergeCell ref="E33:F33"/>
    <mergeCell ref="E98:F98"/>
    <mergeCell ref="E42:F42"/>
    <mergeCell ref="D15:M15"/>
    <mergeCell ref="D24:M24"/>
    <mergeCell ref="E88:F88"/>
    <mergeCell ref="E126:F126"/>
    <mergeCell ref="E82:F82"/>
    <mergeCell ref="E140:F140"/>
    <mergeCell ref="E35:F35"/>
    <mergeCell ref="B5:B11"/>
    <mergeCell ref="E138:F138"/>
    <mergeCell ref="E28:F28"/>
    <mergeCell ref="E60:F60"/>
    <mergeCell ref="E74:F74"/>
    <mergeCell ref="E30:F30"/>
    <mergeCell ref="E45:F45"/>
    <mergeCell ref="E37:F37"/>
    <mergeCell ref="E97:F97"/>
    <mergeCell ref="E109:F109"/>
    <mergeCell ref="E47:F47"/>
  </mergeCells>
  <conditionalFormatting sqref="D27:D156">
    <cfRule type="cellIs" priority="21" operator="notEqual" dxfId="9" stopIfTrue="1">
      <formula>0</formula>
    </cfRule>
  </conditionalFormatting>
  <conditionalFormatting sqref="E27:F156">
    <cfRule type="expression" priority="42" dxfId="8" stopIfTrue="1">
      <formula>($D27&gt;0)</formula>
    </cfRule>
    <cfRule type="expression" priority="41" dxfId="9" stopIfTrue="1">
      <formula>AND($D27&gt;0,$E27&gt;0)</formula>
    </cfRule>
  </conditionalFormatting>
  <conditionalFormatting sqref="G27:G157">
    <cfRule type="expression" priority="22" dxfId="29" stopIfTrue="1">
      <formula>AND(0.0001&lt;G27,G27&lt;$X$7,H27="opportunity")</formula>
    </cfRule>
    <cfRule type="expression" priority="23" dxfId="28" stopIfTrue="1">
      <formula>AND($X$7&lt;=G27,G27&lt;$X$8,H27="opportunity")</formula>
    </cfRule>
    <cfRule type="expression" priority="24" dxfId="27" stopIfTrue="1">
      <formula>AND(G27&gt;=$X$9,H27="threat")</formula>
    </cfRule>
    <cfRule type="expression" priority="7" dxfId="3">
      <formula>AND(0.0001&lt;G27,G27&lt;$X$7,H27="threat")</formula>
    </cfRule>
    <cfRule type="expression" priority="8" dxfId="25">
      <formula>AND($X$7&lt;=G27,G27&lt;$X$8,H27="threat")</formula>
    </cfRule>
    <cfRule type="expression" priority="9" dxfId="2">
      <formula>AND(G27&gt;=$X$9,H27="opportunity")</formula>
    </cfRule>
  </conditionalFormatting>
  <conditionalFormatting sqref="H27:H157">
    <cfRule type="expression" priority="40" dxfId="8" stopIfTrue="1">
      <formula>($D27&gt;0)</formula>
    </cfRule>
    <cfRule type="expression" priority="39" dxfId="9" stopIfTrue="1">
      <formula>AND($D27&gt;0,$H27&gt;0)</formula>
    </cfRule>
  </conditionalFormatting>
  <conditionalFormatting sqref="I27:I157">
    <cfRule type="expression" priority="25" dxfId="9" stopIfTrue="1">
      <formula>AND($D27&gt;0,$I27&gt;0)</formula>
    </cfRule>
    <cfRule type="expression" priority="26" dxfId="8" stopIfTrue="1">
      <formula>($D27&gt;0)</formula>
    </cfRule>
  </conditionalFormatting>
  <conditionalFormatting sqref="J27:J157">
    <cfRule type="expression" priority="35" dxfId="9" stopIfTrue="1">
      <formula>AND($D27&gt;0,$J27&gt;0)</formula>
    </cfRule>
    <cfRule type="expression" priority="36" dxfId="8" stopIfTrue="1">
      <formula>($D27&gt;0)</formula>
    </cfRule>
  </conditionalFormatting>
  <conditionalFormatting sqref="K27:K157">
    <cfRule type="expression" priority="37" dxfId="9" stopIfTrue="1">
      <formula>AND($D27&gt;0,$K27&gt;0)</formula>
    </cfRule>
    <cfRule type="expression" priority="38" dxfId="8" stopIfTrue="1">
      <formula>($D27&gt;0)</formula>
    </cfRule>
  </conditionalFormatting>
  <conditionalFormatting sqref="L27:L157">
    <cfRule type="expression" priority="29" dxfId="9" stopIfTrue="1">
      <formula>AND($D27&gt;0,$L27&gt;0)</formula>
    </cfRule>
    <cfRule type="expression" priority="30" dxfId="8" stopIfTrue="1">
      <formula>($D27&gt;0)</formula>
    </cfRule>
  </conditionalFormatting>
  <conditionalFormatting sqref="M27:M157">
    <cfRule type="expression" priority="27" dxfId="9" stopIfTrue="1">
      <formula>AND($D27&gt;0,$M27&gt;0)</formula>
    </cfRule>
    <cfRule type="expression" priority="28" dxfId="8" stopIfTrue="1">
      <formula>($D27&gt;0)</formula>
    </cfRule>
  </conditionalFormatting>
  <conditionalFormatting sqref="N27:N156">
    <cfRule type="expression" priority="31" dxfId="9" stopIfTrue="1">
      <formula>AND($D27&gt;0,$N27&gt;0)</formula>
    </cfRule>
    <cfRule type="expression" priority="32" dxfId="8" stopIfTrue="1">
      <formula>($D27&gt;0)</formula>
    </cfRule>
  </conditionalFormatting>
  <conditionalFormatting sqref="O27:O156">
    <cfRule type="expression" priority="33" dxfId="9" stopIfTrue="1">
      <formula>AND($D27&gt;0,$O27&gt;0)</formula>
    </cfRule>
    <cfRule type="expression" priority="34" dxfId="8" stopIfTrue="1">
      <formula>($D27&gt;0)</formula>
    </cfRule>
  </conditionalFormatting>
  <conditionalFormatting sqref="P27:P157">
    <cfRule type="expression" priority="2" dxfId="7">
      <formula>AND($X$7&lt;=P27,P27&lt;$X$9,H27="opportunity")</formula>
    </cfRule>
    <cfRule type="expression" priority="3" dxfId="6">
      <formula>AND(0.0001&lt;P27,P27&lt;$X$7,H27="opportunity")</formula>
    </cfRule>
    <cfRule type="expression" priority="4" dxfId="5">
      <formula>AND(P27&gt;=$X$9,H27="threat")</formula>
    </cfRule>
    <cfRule type="expression" priority="5" dxfId="4">
      <formula>AND($X$7&lt;=P27,P27&lt;$X$9,H27="threat")</formula>
    </cfRule>
    <cfRule type="expression" priority="6" dxfId="3">
      <formula>AND(0.0001&lt;P27,P27&lt;$X$7,H27="threat")</formula>
    </cfRule>
    <cfRule type="expression" priority="1" dxfId="2">
      <formula>AND(P27&gt;=$X$9,H27="opportunity")</formula>
    </cfRule>
  </conditionalFormatting>
  <conditionalFormatting sqref="R27:S157">
    <cfRule type="cellIs" priority="20" operator="equal" dxfId="0" stopIfTrue="1">
      <formula>0</formula>
    </cfRule>
  </conditionalFormatting>
  <conditionalFormatting sqref="BV27:BW157">
    <cfRule type="cellIs" priority="16" operator="equal" dxfId="0" stopIfTrue="1">
      <formula>0</formula>
    </cfRule>
  </conditionalFormatting>
  <pageMargins left="0.787401575" right="0.787401575" top="0.984251969" bottom="0.984251969" header="0.5" footer="0.5"/>
  <pageSetup orientation="landscape"/>
  <headerFooter alignWithMargins="0">
    <oddHeader>&amp;C&amp;"Arial,Bold"&amp;A</oddHeader>
    <oddFooter>&amp;L&amp;"Arial,Italic"&amp;8 &amp;D &amp;T&amp;C&amp;"Arial,Italic"&amp;8 &amp;F&amp;R&amp;"Arial,Italic"&amp;8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Stefan Schlüter</dc:creator>
  <dc:title xmlns:dc="http://purl.org/dc/elements/1.1/">Risk Register</dc:title>
  <dc:subject xmlns:dc="http://purl.org/dc/elements/1.1/">Risk Management</dc:subject>
  <dcterms:created xmlns:dcterms="http://purl.org/dc/terms/" xmlns:xsi="http://www.w3.org/2001/XMLSchema-instance" xsi:type="dcterms:W3CDTF">2005-08-08T17:00:19Z</dcterms:created>
  <dcterms:modified xmlns:dcterms="http://purl.org/dc/terms/" xmlns:xsi="http://www.w3.org/2001/XMLSchema-instance" xsi:type="dcterms:W3CDTF">2026-04-05T10:35:00Z</dcterms:modified>
  <cp:lastModifiedBy>Ho Keng Hua (BD/MIL-ICC)</cp:lastModifiedBy>
  <cp:category>Projectmanagement</cp:category>
  <cp:keywords>Riskmanagement, Projectmanagement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0x0101008BC22E5C6BB1884297D61CA9CD41774D01004D3FCCE20506444A85BCD8F5224518F4</vt:lpwstr>
  </property>
  <property name="_dlc_DocIdItemGuid" fmtid="{D5CDD505-2E9C-101B-9397-08002B2CF9AE}" pid="3">
    <vt:lpwstr xmlns:vt="http://schemas.openxmlformats.org/officeDocument/2006/docPropsVTypes">05a5e042-2e01-4b1b-8d0d-c7b8ec53c19c</vt:lpwstr>
  </property>
  <property name="DMSKeywords" fmtid="{D5CDD505-2E9C-101B-9397-08002B2CF9AE}" pid="4">
    <vt:lpwstr xmlns:vt="http://schemas.openxmlformats.org/officeDocument/2006/docPropsVTypes"/>
  </property>
  <property name="ecm_ItemDeleteBlockHolders" fmtid="{D5CDD505-2E9C-101B-9397-08002B2CF9AE}" pid="5">
    <vt:lpwstr xmlns:vt="http://schemas.openxmlformats.org/officeDocument/2006/docPropsVTypes"/>
  </property>
  <property name="ecm_RecordRestrictions" fmtid="{D5CDD505-2E9C-101B-9397-08002B2CF9AE}" pid="6">
    <vt:lpwstr xmlns:vt="http://schemas.openxmlformats.org/officeDocument/2006/docPropsVTypes"/>
  </property>
  <property name="ecm_ItemLockHolders" fmtid="{D5CDD505-2E9C-101B-9397-08002B2CF9AE}" pid="7">
    <vt:lpwstr xmlns:vt="http://schemas.openxmlformats.org/officeDocument/2006/docPropsVTypes"/>
  </property>
  <property name="ILMRevision" fmtid="{D5CDD505-2E9C-101B-9397-08002B2CF9AE}" pid="8">
    <vt:lpwstr xmlns:vt="http://schemas.openxmlformats.org/officeDocument/2006/docPropsVTypes"/>
  </property>
  <property name="ConceptualVersion" fmtid="{D5CDD505-2E9C-101B-9397-08002B2CF9AE}" pid="9">
    <vt:lpwstr xmlns:vt="http://schemas.openxmlformats.org/officeDocument/2006/docPropsVTypes"/>
  </property>
  <property name="ConceptualVersionTreeview" fmtid="{D5CDD505-2E9C-101B-9397-08002B2CF9AE}" pid="10">
    <vt:lpwstr xmlns:vt="http://schemas.openxmlformats.org/officeDocument/2006/docPropsVTypes"/>
  </property>
  <property name="ILMComments" fmtid="{D5CDD505-2E9C-101B-9397-08002B2CF9AE}" pid="11">
    <vt:lpwstr xmlns:vt="http://schemas.openxmlformats.org/officeDocument/2006/docPropsVTypes"/>
  </property>
  <property name="ILMExternalReference" fmtid="{D5CDD505-2E9C-101B-9397-08002B2CF9AE}" pid="12">
    <vt:lpwstr xmlns:vt="http://schemas.openxmlformats.org/officeDocument/2006/docPropsVTypes"/>
  </property>
  <property name="DocIdOfLinkItem" fmtid="{D5CDD505-2E9C-101B-9397-08002B2CF9AE}" pid="13">
    <vt:lpwstr xmlns:vt="http://schemas.openxmlformats.org/officeDocument/2006/docPropsVTypes"/>
  </property>
</Properties>
</file>